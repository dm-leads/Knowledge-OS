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кономика" sheetId="1" r:id="rId3"/>
  </sheets>
  <definedNames/>
  <calcPr/>
</workbook>
</file>

<file path=xl/sharedStrings.xml><?xml version="1.0" encoding="utf-8"?>
<sst xmlns="http://schemas.openxmlformats.org/spreadsheetml/2006/main" count="93" uniqueCount="76">
  <si>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</si>
  <si>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</si>
  <si>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</si>
  <si>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</si>
  <si>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</si>
  <si>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</si>
  <si>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</si>
  <si>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</si>
  <si>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</si>
  <si>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 
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</si>
  <si>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</si>
  <si>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</si>
  <si>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</si>
  <si>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</si>
  <si>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 
платящего</t>
  </si>
  <si>
    <t>стоимость привлечения платящего</t>
  </si>
  <si>
    <t>стоимость заказа
или оплаты</t>
  </si>
  <si>
    <t>cтоимость 
привлечения
пользователя</t>
  </si>
  <si>
    <t>маржа 
на 1-го 
привлеченного</t>
  </si>
  <si>
    <t>прибыль
на пользователя</t>
  </si>
  <si>
    <t>чистая прибыль 
с потока 
пользователей</t>
  </si>
  <si>
    <t>прибыль 
с потока 
пользователей</t>
  </si>
  <si>
    <t>выручка</t>
  </si>
  <si>
    <t>доход 
с потока 
пользователей</t>
  </si>
  <si>
    <t>расходы 
на привлечение
 пользователей</t>
  </si>
  <si>
    <t xml:space="preserve"> издержки
на потоке 
пользователей</t>
  </si>
  <si>
    <t>расходы в месяц 
ограниченные 
сверху</t>
  </si>
  <si>
    <r>
      <rPr>
        <rFont val="&quot;Trebuchet MS&quot;"/>
        <b/>
        <sz val="9.0"/>
      </rPr>
      <t xml:space="preserve">Users 
</t>
    </r>
    <r>
      <rPr>
        <rFont val="&quot;Trebuchet MS&quot;"/>
        <b val="0"/>
        <i/>
        <sz val="9.0"/>
      </rPr>
      <t>or Leads </t>
    </r>
  </si>
  <si>
    <r>
      <rPr>
        <rFont val="&quot;Trebuchet MS&quot;"/>
        <b/>
        <sz val="9.0"/>
      </rPr>
      <t xml:space="preserve">С1
</t>
    </r>
    <r>
      <rPr>
        <rFont val="&quot;Trebuchet MS&quot;"/>
        <b val="0"/>
        <i/>
        <sz val="8.0"/>
      </rPr>
      <t>conv
to buyer</t>
    </r>
  </si>
  <si>
    <t>Buyers</t>
  </si>
  <si>
    <t xml:space="preserve">Payments
</t>
  </si>
  <si>
    <r>
      <rPr>
        <rFont val="&quot;Trebuchet MS&quot;"/>
        <b/>
        <sz val="9.0"/>
      </rPr>
      <t>AMPPU</t>
    </r>
    <r>
      <rPr>
        <rFont val="&quot;Trebuchet MS&quot;"/>
        <b val="0"/>
        <i/>
        <sz val="9.0"/>
      </rPr>
      <t xml:space="preserve">
</t>
    </r>
    <r>
      <rPr>
        <rFont val="&quot;Trebuchet MS&quot;"/>
        <b val="0"/>
        <i/>
        <sz val="8.0"/>
      </rPr>
      <t>or CLTV</t>
    </r>
  </si>
  <si>
    <t>Av. Price</t>
  </si>
  <si>
    <r>
      <rPr>
        <rFont val="&quot;Trebuchet MS&quot;"/>
        <b/>
        <sz val="9.0"/>
      </rPr>
      <t xml:space="preserve">Margin
</t>
    </r>
    <r>
      <rPr>
        <rFont val="&quot;Trebuchet MS&quot;"/>
        <b val="0"/>
        <i/>
        <sz val="8.0"/>
      </rPr>
      <t>or Commision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</si>
  <si>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Cost 
of Goods 
Sold</t>
    </r>
  </si>
  <si>
    <r>
      <rPr>
        <rFont val="&quot;Trebuchet MS&quot;"/>
        <b/>
        <sz val="9.0"/>
      </rPr>
      <t>Discounts</t>
    </r>
    <r>
      <rPr>
        <rFont val="&quot;Trebuchet MS&quot;"/>
        <b/>
        <sz val="8.0"/>
      </rPr>
      <t xml:space="preserve">
</t>
    </r>
    <r>
      <rPr>
        <rFont val="&quot;Trebuchet MS&quot;"/>
        <b val="0"/>
        <i/>
        <sz val="8.0"/>
      </rPr>
      <t>скидка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</si>
  <si>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 xml:space="preserve">1st sale </t>
    </r>
  </si>
  <si>
    <r>
      <rPr>
        <rFont val="&quot;Trebuchet MS&quot;"/>
        <b/>
        <sz val="9.0"/>
      </rPr>
      <t xml:space="preserve">Av. Payment 
Count
</t>
    </r>
    <r>
      <rPr>
        <rFont val="&quot;Trebuchet MS&quot;"/>
        <b val="0"/>
        <i/>
        <sz val="8.0"/>
      </rPr>
      <t>or LifeTime</t>
    </r>
  </si>
  <si>
    <t>CAC, Customer Acquisition Costs</t>
  </si>
  <si>
    <r>
      <rPr>
        <rFont val="&quot;Trebuchet MS&quot;"/>
        <b/>
        <sz val="9.0"/>
      </rPr>
      <t xml:space="preserve">CPO </t>
    </r>
    <r>
      <rPr>
        <rFont val="&quot;Trebuchet MS&quot;"/>
        <b val="0"/>
        <i/>
        <sz val="9.0"/>
      </rPr>
      <t>or</t>
    </r>
    <r>
      <rPr>
        <rFont val="&quot;Trebuchet MS&quot;"/>
        <b/>
        <sz val="9.0"/>
      </rPr>
      <t xml:space="preserve"> SPS
</t>
    </r>
    <r>
      <rPr>
        <rFont val="&quot;Trebuchet MS&quot;"/>
        <b val="0"/>
        <i/>
        <sz val="8.0"/>
      </rPr>
      <t>Cost per Order, 
Cost per Sale</t>
    </r>
  </si>
  <si>
    <r>
      <rPr>
        <rFont val="&quot;Trebuchet MS&quot;"/>
        <b/>
        <sz val="9.0"/>
      </rPr>
      <t xml:space="preserve">CPUser
</t>
    </r>
    <r>
      <rPr>
        <rFont val="&quot;Trebuchet MS&quot;"/>
        <b val="0"/>
        <i/>
        <sz val="8.0"/>
      </rPr>
      <t>or CPLead</t>
    </r>
  </si>
  <si>
    <r>
      <rPr>
        <rFont val="&quot;Trebuchet MS&quot;"/>
        <b/>
        <sz val="9.0"/>
      </rPr>
      <t xml:space="preserve">AMPU 
</t>
    </r>
    <r>
      <rPr>
        <rFont val="&quot;Trebuchet MS&quot;"/>
        <b val="0"/>
        <i/>
        <sz val="8.0"/>
      </rPr>
      <t>or LTV</t>
    </r>
  </si>
  <si>
    <t>AMPU−
CPUser</t>
  </si>
  <si>
    <t>Profit net</t>
  </si>
  <si>
    <t>Profit</t>
  </si>
  <si>
    <t>Revenue</t>
  </si>
  <si>
    <t>Gross Profit</t>
  </si>
  <si>
    <r>
      <rPr>
        <rFont val="&quot;Trebuchet MS&quot;"/>
        <b/>
        <sz val="9.0"/>
      </rPr>
      <t xml:space="preserve">Acq. Costs
</t>
    </r>
    <r>
      <rPr>
        <rFont val="&quot;Trebuchet MS&quot;"/>
        <b val="0"/>
        <i/>
        <sz val="8.0"/>
      </rPr>
      <t>до продажи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</si>
  <si>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total</t>
    </r>
    <r>
      <rPr>
        <rFont val="&quot;Trebuchet MS&quot;"/>
        <b/>
        <sz val="8.0"/>
      </rPr>
      <t xml:space="preserve">
</t>
    </r>
    <r>
      <rPr>
        <rFont val="&quot;Trebuchet MS&quot;"/>
        <b val="0"/>
        <i/>
        <sz val="8.0"/>
      </rPr>
      <t>после 
продажи</t>
    </r>
  </si>
  <si>
    <r>
      <rPr>
        <rFont val="&quot;Trebuchet MS&quot;"/>
        <b/>
        <sz val="9.0"/>
      </rPr>
      <t xml:space="preserve">Fix Costs 
</t>
    </r>
    <r>
      <rPr>
        <rFont val="&quot;Trebuchet MS&quot;"/>
        <b val="0"/>
        <i/>
        <sz val="8.0"/>
      </rPr>
      <t>в месяц</t>
    </r>
  </si>
  <si>
    <t>Freedom24</t>
  </si>
  <si>
    <t>не купило акции</t>
  </si>
  <si>
    <t>рост конверсии на 0,5 п.п.</t>
  </si>
  <si>
    <t>оптимизировали звонки и скрипт продаж</t>
  </si>
  <si>
    <t>рост конверсии</t>
  </si>
  <si>
    <t>аналогичный эффект</t>
  </si>
  <si>
    <t>привлечение пользователей</t>
  </si>
  <si>
    <t>воронки в месяц</t>
  </si>
  <si>
    <t>users</t>
  </si>
  <si>
    <t>конв.</t>
  </si>
  <si>
    <t>±</t>
  </si>
  <si>
    <t>открыл лендинг</t>
  </si>
  <si>
    <t>оставил заявку</t>
  </si>
  <si>
    <t>дозвонились до лида</t>
  </si>
  <si>
    <t>открыл счет и купил акций</t>
  </si>
  <si>
    <t>воронки в неделю</t>
  </si>
  <si>
    <t>воронки в неделю AAB</t>
  </si>
  <si>
    <t>min</t>
  </si>
  <si>
    <t>max</t>
  </si>
  <si>
    <t>flowwow</t>
  </si>
  <si>
    <t xml:space="preserve">Если конверсия вырастет на 0,5 п.п. то </t>
  </si>
  <si>
    <t>снизить стоимость привлечения</t>
  </si>
  <si>
    <t>повысить маржинальность</t>
  </si>
  <si>
    <t>Цель A</t>
  </si>
  <si>
    <t>Цель B</t>
  </si>
  <si>
    <t>если изменим конверсию на 0,5%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</si>
</sst>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"/>
    <numFmt numFmtId="165" formatCode="0.0%"/>
    <numFmt numFmtId="166" formatCode="# ### ##0 [$р.-419]"/>
    <numFmt numFmtId="167" formatCode="# ### ##0 месяца"/>
    <numFmt numFmtId="168" formatCode="# ### ##0.00 [$р.-419]"/>
    <numFmt numFmtId="169" formatCode="±0.00%"/>
    <numFmt numFmtId="170" formatCode="#,##0[$ руб.]"/>
    <numFmt numFmtId="171" formatCode="# ### ##0.0 [$р.-419]"/>
    <numFmt numFmtId="172" formatCode="#,##0.0,, &quot;млн &quot;[$р.]"/>
  </numFmts>
  <fonts count="23">
    <font>
      <sz val="10.0"/>
      <color rgb="FF000000"/>
      <name val="Arial"/>
    </font>
    <font>
      <sz val="8.0"/>
      <name val="Trebuchet MS"/>
    </font>
    <font>
      <sz val="8.0"/>
      <name val="&quot;Trebuchet MS&quot;"/>
    </font>
    <font>
      <name val="Arial"/>
    </font>
    <font>
      <sz val="7.0"/>
      <name val="Trebuchet MS"/>
    </font>
    <font>
      <sz val="6.0"/>
      <name val="&quot;Trebuchet MS&quot;"/>
    </font>
    <font>
      <b/>
      <sz val="8.0"/>
      <name val="Trebuchet MS"/>
    </font>
    <font>
      <b/>
      <sz val="9.0"/>
      <name val="&quot;Trebuchet MS&quot;"/>
    </font>
    <font>
      <b/>
      <sz val="9.0"/>
      <name val="Trebuchet MS"/>
    </font>
    <font>
      <sz val="10.0"/>
      <name val="Trebuchet MS"/>
    </font>
    <font>
      <sz val="10.0"/>
      <color rgb="FF000000"/>
      <name val="Trebuchet MS"/>
    </font>
    <font>
      <i/>
      <sz val="8.0"/>
      <name val="Trebuchet MS"/>
    </font>
    <font>
      <name val="Trebuchet MS"/>
    </font>
    <font>
      <i/>
      <sz val="9.0"/>
      <name val="Trebuchet MS"/>
    </font>
    <font>
      <b/>
      <sz val="10.0"/>
      <name val="Trebuchet MS"/>
    </font>
    <font>
      <b/>
      <sz val="10.0"/>
      <color rgb="FFB7B7B7"/>
      <name val="Trebuchet MS"/>
    </font>
    <font/>
    <font>
      <b/>
      <name val="Trebuchet MS"/>
    </font>
    <font>
      <b/>
    </font>
    <font>
      <sz val="16.0"/>
      <color rgb="FF989AA5"/>
      <name val="Trebuchet MS"/>
    </font>
    <font>
      <b/>
      <sz val="8.0"/>
      <color rgb="FF999999"/>
      <name val="Trebuchet MS"/>
    </font>
    <font>
      <sz val="10.0"/>
      <color rgb="FF999999"/>
      <name val="Trebuchet MS"/>
    </font>
    <font>
      <color rgb="FF999999"/>
      <name val="Trebuchet MS"/>
    </font>
  </fonts>
  <fills count="9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/>
    </xf>
    <xf borderId="0" fillId="4" fontId="1" numFmtId="0" xfId="0" applyAlignment="1" applyFill="1" applyFont="1">
      <alignment horizontal="center" shrinkToFit="0" vertical="center" wrapText="1"/>
    </xf>
    <xf borderId="0" fillId="4" fontId="3" numFmtId="0" xfId="0" applyFont="1"/>
    <xf borderId="0" fillId="0" fontId="1" numFmtId="0" xfId="0" applyAlignment="1" applyFont="1">
      <alignment shrinkToFit="0" vertical="center" wrapText="1"/>
    </xf>
    <xf borderId="0" fillId="0" fontId="3" numFmtId="0" xfId="0" applyFont="1"/>
    <xf borderId="0" fillId="5" fontId="2" numFmtId="0" xfId="0" applyAlignment="1" applyFill="1" applyFont="1">
      <alignment horizontal="center"/>
    </xf>
    <xf borderId="0" fillId="2" fontId="4" numFmtId="0" xfId="0" applyAlignment="1" applyFont="1">
      <alignment horizontal="right" shrinkToFit="0" vertical="center" wrapText="1"/>
    </xf>
    <xf borderId="0" fillId="2" fontId="5" numFmtId="0" xfId="0" applyAlignment="1" applyFont="1">
      <alignment horizontal="right" vertical="top"/>
    </xf>
    <xf borderId="0" fillId="2" fontId="5" numFmtId="0" xfId="0" applyAlignment="1" applyFont="1">
      <alignment horizontal="right" vertical="top"/>
    </xf>
    <xf borderId="0" fillId="0" fontId="5" numFmtId="0" xfId="0" applyAlignment="1" applyFont="1">
      <alignment horizontal="right" vertical="top"/>
    </xf>
    <xf borderId="0" fillId="3" fontId="5" numFmtId="0" xfId="0" applyAlignment="1" applyFont="1">
      <alignment horizontal="right" vertical="top"/>
    </xf>
    <xf borderId="0" fillId="3" fontId="5" numFmtId="0" xfId="0" applyAlignment="1" applyFont="1">
      <alignment horizontal="right" vertical="top"/>
    </xf>
    <xf borderId="0" fillId="3" fontId="5" numFmtId="164" xfId="0" applyAlignment="1" applyFont="1" applyNumberFormat="1">
      <alignment horizontal="right" vertical="top"/>
    </xf>
    <xf borderId="0" fillId="4" fontId="4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vertical="top"/>
    </xf>
    <xf borderId="0" fillId="0" fontId="4" numFmtId="0" xfId="0" applyAlignment="1" applyFont="1">
      <alignment shrinkToFit="0" vertical="center" wrapText="1"/>
    </xf>
    <xf borderId="0" fillId="3" fontId="5" numFmtId="0" xfId="0" applyAlignment="1" applyFont="1">
      <alignment horizontal="center" vertical="top"/>
    </xf>
    <xf borderId="0" fillId="3" fontId="5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right" readingOrder="0" shrinkToFit="0" vertical="center" wrapText="1"/>
    </xf>
    <xf borderId="0" fillId="5" fontId="5" numFmtId="0" xfId="0" applyAlignment="1" applyFont="1">
      <alignment horizontal="right" vertical="top"/>
    </xf>
    <xf borderId="0" fillId="2" fontId="6" numFmtId="0" xfId="0" applyAlignment="1" applyFont="1">
      <alignment horizontal="right" shrinkToFit="0" vertical="top" wrapText="1"/>
    </xf>
    <xf borderId="0" fillId="2" fontId="7" numFmtId="0" xfId="0" applyAlignment="1" applyFont="1">
      <alignment horizontal="right" vertical="top"/>
    </xf>
    <xf borderId="0" fillId="2" fontId="7" numFmtId="0" xfId="0" applyAlignment="1" applyFont="1">
      <alignment horizontal="right" vertical="top"/>
    </xf>
    <xf borderId="0" fillId="0" fontId="7" numFmtId="0" xfId="0" applyAlignment="1" applyFont="1">
      <alignment horizontal="right" vertical="top"/>
    </xf>
    <xf borderId="0" fillId="3" fontId="7" numFmtId="0" xfId="0" applyAlignment="1" applyFont="1">
      <alignment horizontal="right" vertical="top"/>
    </xf>
    <xf borderId="0" fillId="3" fontId="7" numFmtId="0" xfId="0" applyAlignment="1" applyFont="1">
      <alignment horizontal="right" vertical="top"/>
    </xf>
    <xf borderId="0" fillId="3" fontId="7" numFmtId="0" xfId="0" applyAlignment="1" applyFont="1">
      <alignment horizontal="right" shrinkToFit="0" vertical="top" wrapText="1"/>
    </xf>
    <xf borderId="0" fillId="3" fontId="7" numFmtId="0" xfId="0" applyAlignment="1" applyFont="1">
      <alignment horizontal="right" shrinkToFit="0" vertical="top" wrapText="1"/>
    </xf>
    <xf borderId="0" fillId="3" fontId="7" numFmtId="164" xfId="0" applyAlignment="1" applyFont="1" applyNumberFormat="1">
      <alignment horizontal="right" vertical="top"/>
    </xf>
    <xf borderId="0" fillId="4" fontId="6" numFmtId="0" xfId="0" applyAlignment="1" applyFont="1">
      <alignment horizontal="center" readingOrder="0" shrinkToFit="0" vertical="top" wrapText="1"/>
    </xf>
    <xf borderId="0" fillId="4" fontId="7" numFmtId="0" xfId="0" applyAlignment="1" applyFont="1">
      <alignment horizontal="center" vertical="top"/>
    </xf>
    <xf borderId="0" fillId="0" fontId="1" numFmtId="0" xfId="0" applyAlignment="1" applyFont="1">
      <alignment shrinkToFit="0" vertical="top" wrapText="1"/>
    </xf>
    <xf borderId="0" fillId="3" fontId="7" numFmtId="0" xfId="0" applyAlignment="1" applyFont="1">
      <alignment horizontal="center" vertical="top"/>
    </xf>
    <xf borderId="0" fillId="3" fontId="7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6" numFmtId="0" xfId="0" applyAlignment="1" applyFont="1">
      <alignment horizontal="right" readingOrder="0" shrinkToFit="0" vertical="top" wrapText="1"/>
    </xf>
    <xf borderId="0" fillId="5" fontId="7" numFmtId="0" xfId="0" applyAlignment="1" applyFont="1">
      <alignment horizontal="right" vertical="top"/>
    </xf>
    <xf borderId="0" fillId="5" fontId="7" numFmtId="0" xfId="0" applyAlignment="1" applyFont="1">
      <alignment horizontal="right" vertical="top"/>
    </xf>
    <xf borderId="0" fillId="0" fontId="8" numFmtId="0" xfId="0" applyAlignment="1" applyFont="1">
      <alignment readingOrder="0" vertical="center"/>
    </xf>
    <xf borderId="0" fillId="0" fontId="9" numFmtId="3" xfId="0" applyAlignment="1" applyFont="1" applyNumberFormat="1">
      <alignment readingOrder="0" vertical="center"/>
    </xf>
    <xf borderId="0" fillId="0" fontId="9" numFmtId="165" xfId="0" applyAlignment="1" applyFont="1" applyNumberFormat="1">
      <alignment readingOrder="0" vertical="center"/>
    </xf>
    <xf borderId="0" fillId="0" fontId="9" numFmtId="1" xfId="0" applyAlignment="1" applyFont="1" applyNumberFormat="1">
      <alignment readingOrder="0" vertical="center"/>
    </xf>
    <xf borderId="0" fillId="0" fontId="9" numFmtId="166" xfId="0" applyAlignment="1" applyFont="1" applyNumberFormat="1">
      <alignment horizontal="right" vertical="center"/>
    </xf>
    <xf borderId="0" fillId="0" fontId="9" numFmtId="166" xfId="0" applyAlignment="1" applyFont="1" applyNumberFormat="1">
      <alignment horizontal="right" readingOrder="0" vertical="center"/>
    </xf>
    <xf borderId="0" fillId="0" fontId="9" numFmtId="9" xfId="0" applyAlignment="1" applyFont="1" applyNumberFormat="1">
      <alignment horizontal="right" readingOrder="0" vertical="center"/>
    </xf>
    <xf borderId="0" fillId="0" fontId="9" numFmtId="1" xfId="0" applyAlignment="1" applyFont="1" applyNumberFormat="1">
      <alignment horizontal="right" readingOrder="0" vertical="center"/>
    </xf>
    <xf borderId="0" fillId="0" fontId="9" numFmtId="0" xfId="0" applyAlignment="1" applyFont="1">
      <alignment vertical="center"/>
    </xf>
    <xf borderId="0" fillId="0" fontId="9" numFmtId="166" xfId="0" applyAlignment="1" applyFont="1" applyNumberFormat="1">
      <alignment horizontal="right" readingOrder="0" vertical="center"/>
    </xf>
    <xf borderId="0" fillId="0" fontId="9" numFmtId="2" xfId="0" applyAlignment="1" applyFont="1" applyNumberFormat="1">
      <alignment vertical="center"/>
    </xf>
    <xf borderId="0" fillId="6" fontId="10" numFmtId="166" xfId="0" applyAlignment="1" applyFill="1" applyFont="1" applyNumberFormat="1">
      <alignment horizontal="right" readingOrder="0" vertical="center"/>
    </xf>
    <xf borderId="0" fillId="0" fontId="9" numFmtId="0" xfId="0" applyAlignment="1" applyFont="1">
      <alignment shrinkToFit="0" vertical="center" wrapText="1"/>
    </xf>
    <xf borderId="0" fillId="0" fontId="11" numFmtId="0" xfId="0" applyAlignment="1" applyFont="1">
      <alignment horizontal="left" readingOrder="0" vertical="center"/>
    </xf>
    <xf borderId="0" fillId="0" fontId="9" numFmtId="0" xfId="0" applyAlignment="1" applyFont="1">
      <alignment readingOrder="0" vertical="center"/>
    </xf>
    <xf borderId="0" fillId="0" fontId="9" numFmtId="1" xfId="0" applyAlignment="1" applyFont="1" applyNumberFormat="1">
      <alignment vertical="center"/>
    </xf>
    <xf borderId="0" fillId="0" fontId="9" numFmtId="9" xfId="0" applyAlignment="1" applyFont="1" applyNumberFormat="1">
      <alignment horizontal="right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8" numFmtId="166" xfId="0" applyAlignment="1" applyFont="1" applyNumberFormat="1">
      <alignment horizontal="left" vertical="center"/>
    </xf>
    <xf borderId="0" fillId="0" fontId="12" numFmtId="3" xfId="0" applyAlignment="1" applyFont="1" applyNumberFormat="1">
      <alignment vertical="center"/>
    </xf>
    <xf borderId="0" fillId="0" fontId="12" numFmtId="4" xfId="0" applyAlignment="1" applyFont="1" applyNumberFormat="1">
      <alignment vertical="center"/>
    </xf>
    <xf borderId="0" fillId="0" fontId="12" numFmtId="0" xfId="0" applyAlignment="1" applyFont="1">
      <alignment horizontal="right" vertical="center"/>
    </xf>
    <xf borderId="0" fillId="0" fontId="12" numFmtId="166" xfId="0" applyAlignment="1" applyFont="1" applyNumberFormat="1">
      <alignment vertical="center"/>
    </xf>
    <xf borderId="0" fillId="0" fontId="12" numFmtId="9" xfId="0" applyAlignment="1" applyFont="1" applyNumberFormat="1">
      <alignment vertical="center"/>
    </xf>
    <xf borderId="0" fillId="0" fontId="12" numFmtId="164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7" fontId="9" numFmtId="165" xfId="0" applyAlignment="1" applyFill="1" applyFont="1" applyNumberFormat="1">
      <alignment readingOrder="0" vertical="center"/>
    </xf>
    <xf borderId="0" fillId="6" fontId="10" numFmtId="167" xfId="0" applyAlignment="1" applyFont="1" applyNumberFormat="1">
      <alignment horizontal="right" readingOrder="0" vertical="center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vertical="center"/>
    </xf>
    <xf borderId="0" fillId="0" fontId="9" numFmtId="10" xfId="0" applyAlignment="1" applyFont="1" applyNumberFormat="1">
      <alignment horizontal="right" vertical="center"/>
    </xf>
    <xf borderId="0" fillId="0" fontId="13" numFmtId="0" xfId="0" applyAlignment="1" applyFont="1">
      <alignment horizontal="center" readingOrder="0" vertical="center"/>
    </xf>
    <xf borderId="0" fillId="8" fontId="9" numFmtId="3" xfId="0" applyAlignment="1" applyFill="1" applyFont="1" applyNumberFormat="1">
      <alignment readingOrder="0" vertical="center"/>
    </xf>
    <xf borderId="0" fillId="8" fontId="9" numFmtId="166" xfId="0" applyAlignment="1" applyFont="1" applyNumberFormat="1">
      <alignment horizontal="right" readingOrder="0" vertical="center"/>
    </xf>
    <xf borderId="0" fillId="0" fontId="9" numFmtId="10" xfId="0" applyAlignment="1" applyFont="1" applyNumberFormat="1">
      <alignment readingOrder="0" vertical="center"/>
    </xf>
    <xf borderId="0" fillId="0" fontId="14" numFmtId="0" xfId="0" applyAlignment="1" applyFont="1">
      <alignment horizontal="right" readingOrder="0" vertical="center"/>
    </xf>
    <xf borderId="0" fillId="0" fontId="15" numFmtId="1" xfId="0" applyAlignment="1" applyFont="1" applyNumberFormat="1">
      <alignment readingOrder="0" vertical="center"/>
    </xf>
    <xf borderId="0" fillId="0" fontId="9" numFmtId="0" xfId="0" applyAlignment="1" applyFont="1">
      <alignment horizontal="right" readingOrder="0" vertical="center"/>
    </xf>
    <xf borderId="0" fillId="0" fontId="9" numFmtId="0" xfId="0" applyAlignment="1" applyFont="1">
      <alignment horizontal="right" vertical="center"/>
    </xf>
    <xf borderId="0" fillId="0" fontId="12" numFmtId="0" xfId="0" applyAlignment="1" applyFont="1">
      <alignment readingOrder="0" vertical="center"/>
    </xf>
    <xf borderId="0" fillId="0" fontId="9" numFmtId="3" xfId="0" applyAlignment="1" applyFont="1" applyNumberFormat="1">
      <alignment vertical="center"/>
    </xf>
    <xf borderId="0" fillId="0" fontId="9" numFmtId="10" xfId="0" applyAlignment="1" applyFont="1" applyNumberFormat="1">
      <alignment vertical="center"/>
    </xf>
    <xf borderId="0" fillId="3" fontId="9" numFmtId="3" xfId="0" applyAlignment="1" applyFont="1" applyNumberFormat="1">
      <alignment vertical="center"/>
    </xf>
    <xf borderId="0" fillId="3" fontId="9" numFmtId="9" xfId="0" applyAlignment="1" applyFont="1" applyNumberFormat="1">
      <alignment readingOrder="0" vertical="center"/>
    </xf>
    <xf borderId="0" fillId="3" fontId="9" numFmtId="165" xfId="0" applyAlignment="1" applyFont="1" applyNumberFormat="1">
      <alignment readingOrder="0" vertical="center"/>
    </xf>
    <xf borderId="0" fillId="3" fontId="9" numFmtId="3" xfId="0" applyAlignment="1" applyFont="1" applyNumberFormat="1">
      <alignment readingOrder="0" vertical="center"/>
    </xf>
    <xf borderId="0" fillId="0" fontId="9" numFmtId="168" xfId="0" applyAlignment="1" applyFont="1" applyNumberFormat="1">
      <alignment horizontal="right" readingOrder="0" vertical="center"/>
    </xf>
    <xf borderId="0" fillId="0" fontId="9" numFmtId="9" xfId="0" applyAlignment="1" applyFont="1" applyNumberFormat="1">
      <alignment vertical="center"/>
    </xf>
    <xf borderId="0" fillId="0" fontId="9" numFmtId="3" xfId="0" applyAlignment="1" applyFont="1" applyNumberForma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3" fontId="9" numFmtId="169" xfId="0" applyAlignment="1" applyFont="1" applyNumberFormat="1">
      <alignment vertical="center"/>
    </xf>
    <xf borderId="0" fillId="0" fontId="9" numFmtId="9" xfId="0" applyAlignment="1" applyFont="1" applyNumberFormat="1">
      <alignment readingOrder="0" vertical="center"/>
    </xf>
    <xf borderId="0" fillId="0" fontId="16" numFmtId="0" xfId="0" applyAlignment="1" applyFont="1">
      <alignment vertical="center"/>
    </xf>
    <xf borderId="0" fillId="0" fontId="9" numFmtId="170" xfId="0" applyAlignment="1" applyFont="1" applyNumberFormat="1">
      <alignment readingOrder="0" shrinkToFit="0" vertical="center" wrapText="1"/>
    </xf>
    <xf borderId="0" fillId="0" fontId="9" numFmtId="10" xfId="0" applyAlignment="1" applyFont="1" applyNumberFormat="1">
      <alignment horizontal="right" readingOrder="0" vertical="center"/>
    </xf>
    <xf borderId="0" fillId="0" fontId="14" numFmtId="0" xfId="0" applyAlignment="1" applyFont="1">
      <alignment vertical="center"/>
    </xf>
    <xf borderId="0" fillId="0" fontId="14" numFmtId="166" xfId="0" applyAlignment="1" applyFont="1" applyNumberFormat="1">
      <alignment horizontal="right" readingOrder="0" vertical="center"/>
    </xf>
    <xf borderId="0" fillId="8" fontId="9" numFmtId="3" xfId="0" applyAlignment="1" applyFont="1" applyNumberFormat="1">
      <alignment vertical="center"/>
    </xf>
    <xf borderId="0" fillId="0" fontId="9" numFmtId="0" xfId="0" applyAlignment="1" applyFont="1">
      <alignment horizontal="right" shrinkToFit="0" vertical="center" wrapText="1"/>
    </xf>
    <xf borderId="0" fillId="0" fontId="9" numFmtId="10" xfId="0" applyAlignment="1" applyFont="1" applyNumberFormat="1">
      <alignment horizontal="right" shrinkToFit="0" vertical="center" wrapText="1"/>
    </xf>
    <xf borderId="0" fillId="0" fontId="9" numFmtId="1" xfId="0" applyAlignment="1" applyFont="1" applyNumberFormat="1">
      <alignment horizontal="right" shrinkToFit="0" vertical="center" wrapText="1"/>
    </xf>
    <xf borderId="0" fillId="0" fontId="9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0" fillId="0" fontId="9" numFmtId="1" xfId="0" applyAlignment="1" applyFont="1" applyNumberFormat="1">
      <alignment horizontal="right" readingOrder="0" shrinkToFit="0" vertical="center" wrapText="1"/>
    </xf>
    <xf borderId="0" fillId="0" fontId="9" numFmtId="3" xfId="0" applyAlignment="1" applyFont="1" applyNumberFormat="1">
      <alignment horizontal="right" shrinkToFit="0" vertical="center" wrapText="1"/>
    </xf>
    <xf borderId="0" fillId="0" fontId="9" numFmtId="3" xfId="0" applyAlignment="1" applyFont="1" applyNumberFormat="1">
      <alignment horizontal="righ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2" numFmtId="9" xfId="0" applyAlignment="1" applyFont="1" applyNumberFormat="1">
      <alignment readingOrder="0" shrinkToFit="0" vertical="center" wrapText="1"/>
    </xf>
    <xf borderId="0" fillId="0" fontId="12" numFmtId="1" xfId="0" applyAlignment="1" applyFont="1" applyNumberFormat="1">
      <alignment shrinkToFit="0" vertical="center" wrapText="1"/>
    </xf>
    <xf borderId="0" fillId="0" fontId="12" numFmtId="10" xfId="0" applyAlignment="1" applyFont="1" applyNumberFormat="1">
      <alignment readingOrder="0" vertical="center"/>
    </xf>
    <xf borderId="0" fillId="0" fontId="17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vertical="center"/>
    </xf>
    <xf borderId="0" fillId="0" fontId="17" numFmtId="3" xfId="0" applyAlignment="1" applyFont="1" applyNumberFormat="1">
      <alignment readingOrder="0" shrinkToFit="0" vertical="center" wrapText="1"/>
    </xf>
    <xf borderId="0" fillId="0" fontId="17" numFmtId="165" xfId="0" applyAlignment="1" applyFont="1" applyNumberForma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7" numFmtId="0" xfId="0" applyAlignment="1" applyFont="1">
      <alignment shrinkToFit="0" vertical="center" wrapText="1"/>
    </xf>
    <xf borderId="0" fillId="0" fontId="14" numFmtId="168" xfId="0" applyAlignment="1" applyFont="1" applyNumberFormat="1">
      <alignment horizontal="right" readingOrder="0" vertical="center"/>
    </xf>
    <xf borderId="0" fillId="0" fontId="12" numFmtId="3" xfId="0" applyAlignment="1" applyFont="1" applyNumberFormat="1">
      <alignment readingOrder="0" shrinkToFit="0" vertical="center" wrapText="1"/>
    </xf>
    <xf borderId="0" fillId="0" fontId="12" numFmtId="165" xfId="0" applyAlignment="1" applyFont="1" applyNumberFormat="1">
      <alignment readingOrder="0" shrinkToFit="0" vertical="center" wrapText="1"/>
    </xf>
    <xf borderId="0" fillId="3" fontId="12" numFmtId="10" xfId="0" applyAlignment="1" applyFont="1" applyNumberFormat="1">
      <alignment readingOrder="0" shrinkToFit="0" vertical="center" wrapText="1"/>
    </xf>
    <xf borderId="0" fillId="0" fontId="12" numFmtId="10" xfId="0" applyAlignment="1" applyFont="1" applyNumberFormat="1">
      <alignment shrinkToFit="0" vertical="center" wrapText="1"/>
    </xf>
    <xf borderId="0" fillId="0" fontId="12" numFmtId="0" xfId="0" applyAlignment="1" applyFont="1">
      <alignment horizontal="right" readingOrder="0" shrinkToFit="0" vertical="center" wrapText="1"/>
    </xf>
    <xf borderId="0" fillId="0" fontId="12" numFmtId="3" xfId="0" applyAlignment="1" applyFont="1" applyNumberFormat="1">
      <alignment shrinkToFit="0" vertical="center" wrapText="1"/>
    </xf>
    <xf borderId="0" fillId="0" fontId="12" numFmtId="4" xfId="0" applyAlignment="1" applyFont="1" applyNumberFormat="1">
      <alignment readingOrder="0" shrinkToFit="0" vertical="center" wrapText="1"/>
    </xf>
    <xf borderId="0" fillId="0" fontId="12" numFmtId="1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9" numFmtId="166" xfId="0" applyAlignment="1" applyFont="1" applyNumberFormat="1">
      <alignment shrinkToFit="0" vertical="center" wrapText="1"/>
    </xf>
    <xf borderId="0" fillId="0" fontId="9" numFmtId="171" xfId="0" applyAlignment="1" applyFont="1" applyNumberFormat="1">
      <alignment horizontal="right" readingOrder="0" vertical="center"/>
    </xf>
    <xf borderId="0" fillId="4" fontId="9" numFmtId="9" xfId="0" applyAlignment="1" applyFont="1" applyNumberFormat="1">
      <alignment horizontal="right" readingOrder="0" vertical="center"/>
    </xf>
    <xf borderId="0" fillId="6" fontId="19" numFmtId="0" xfId="0" applyAlignment="1" applyFont="1">
      <alignment readingOrder="0" vertical="center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vertical="center"/>
    </xf>
    <xf borderId="0" fillId="0" fontId="21" numFmtId="10" xfId="0" applyAlignment="1" applyFont="1" applyNumberFormat="1">
      <alignment readingOrder="0" vertical="center"/>
    </xf>
    <xf borderId="0" fillId="0" fontId="21" numFmtId="1" xfId="0" applyAlignment="1" applyFont="1" applyNumberFormat="1">
      <alignment vertical="center"/>
    </xf>
    <xf borderId="0" fillId="0" fontId="21" numFmtId="1" xfId="0" applyAlignment="1" applyFont="1" applyNumberFormat="1">
      <alignment readingOrder="0" vertical="center"/>
    </xf>
    <xf borderId="0" fillId="0" fontId="21" numFmtId="166" xfId="0" applyAlignment="1" applyFont="1" applyNumberFormat="1">
      <alignment horizontal="right" vertical="center"/>
    </xf>
    <xf borderId="0" fillId="0" fontId="21" numFmtId="166" xfId="0" applyAlignment="1" applyFont="1" applyNumberFormat="1">
      <alignment horizontal="right" readingOrder="0" vertical="center"/>
    </xf>
    <xf borderId="0" fillId="4" fontId="21" numFmtId="9" xfId="0" applyAlignment="1" applyFont="1" applyNumberFormat="1">
      <alignment horizontal="right" readingOrder="0" vertical="center"/>
    </xf>
    <xf borderId="0" fillId="0" fontId="21" numFmtId="9" xfId="0" applyAlignment="1" applyFont="1" applyNumberFormat="1">
      <alignment horizontal="right" vertical="center"/>
    </xf>
    <xf borderId="0" fillId="0" fontId="21" numFmtId="164" xfId="0" applyAlignment="1" applyFont="1" applyNumberFormat="1">
      <alignment horizontal="right" readingOrder="0" vertical="center"/>
    </xf>
    <xf borderId="0" fillId="0" fontId="22" numFmtId="0" xfId="0" applyAlignment="1" applyFont="1">
      <alignment vertical="center"/>
    </xf>
    <xf borderId="0" fillId="0" fontId="21" numFmtId="166" xfId="0" applyAlignment="1" applyFont="1" applyNumberFormat="1">
      <alignment horizontal="right" readingOrder="0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3" fontId="9" numFmtId="10" xfId="0" applyAlignment="1" applyFont="1" applyNumberFormat="1">
      <alignment readingOrder="0" vertical="center"/>
    </xf>
    <xf borderId="0" fillId="0" fontId="17" numFmtId="0" xfId="0" applyAlignment="1" applyFont="1">
      <alignment horizontal="left" readingOrder="0" shrinkToFit="0" vertical="center" wrapText="1"/>
    </xf>
    <xf borderId="0" fillId="3" fontId="9" numFmtId="166" xfId="0" applyAlignment="1" applyFont="1" applyNumberFormat="1">
      <alignment horizontal="right" readingOrder="0" vertical="center"/>
    </xf>
    <xf borderId="0" fillId="3" fontId="9" numFmtId="9" xfId="0" applyAlignment="1" applyFont="1" applyNumberFormat="1">
      <alignment horizontal="right" readingOrder="0" vertical="center"/>
    </xf>
    <xf borderId="0" fillId="0" fontId="12" numFmtId="3" xfId="0" applyAlignment="1" applyFont="1" applyNumberFormat="1">
      <alignment readingOrder="0" vertical="center"/>
    </xf>
    <xf borderId="0" fillId="0" fontId="12" numFmtId="165" xfId="0" applyAlignment="1" applyFont="1" applyNumberFormat="1">
      <alignment horizontal="right" readingOrder="0" vertical="center"/>
    </xf>
    <xf borderId="0" fillId="0" fontId="12" numFmtId="1" xfId="0" applyAlignment="1" applyFont="1" applyNumberFormat="1">
      <alignment readingOrder="0" vertical="center"/>
    </xf>
    <xf borderId="0" fillId="0" fontId="12" numFmtId="166" xfId="0" applyAlignment="1" applyFont="1" applyNumberFormat="1">
      <alignment horizontal="right" readingOrder="0" vertical="center"/>
    </xf>
    <xf borderId="0" fillId="0" fontId="12" numFmtId="9" xfId="0" applyAlignment="1" applyFont="1" applyNumberFormat="1">
      <alignment readingOrder="0" vertical="center"/>
    </xf>
    <xf borderId="0" fillId="0" fontId="12" numFmtId="166" xfId="0" applyAlignment="1" applyFont="1" applyNumberFormat="1">
      <alignment horizontal="right" vertical="center"/>
    </xf>
    <xf borderId="0" fillId="0" fontId="12" numFmtId="171" xfId="0" applyAlignment="1" applyFont="1" applyNumberFormat="1">
      <alignment horizontal="right" vertical="center"/>
    </xf>
    <xf borderId="0" fillId="0" fontId="12" numFmtId="172" xfId="0" applyAlignment="1" applyFont="1" applyNumberFormat="1">
      <alignment vertical="center"/>
    </xf>
    <xf borderId="0" fillId="0" fontId="9" numFmtId="172" xfId="0" applyAlignment="1" applyFont="1" applyNumberFormat="1">
      <alignment horizontal="right" readingOrder="0" vertical="center"/>
    </xf>
    <xf borderId="0" fillId="6" fontId="19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6.63"/>
    <col customWidth="1" min="2" max="2" width="10.63"/>
    <col customWidth="1" min="3" max="3" width="7.5"/>
    <col customWidth="1" min="4" max="4" width="6.63"/>
    <col customWidth="1" min="5" max="5" width="7.5"/>
    <col customWidth="1" min="6" max="6" width="2.63"/>
    <col customWidth="1" min="7" max="10" width="8.88"/>
    <col customWidth="1" hidden="1" min="11" max="12" width="8.88"/>
    <col customWidth="1" min="13" max="13" width="8.88"/>
    <col customWidth="1" min="14" max="14" width="10.13"/>
    <col customWidth="1" hidden="1" min="15" max="15" width="10.13"/>
    <col customWidth="1" min="16" max="16" width="2.63"/>
    <col customWidth="1" min="17" max="17" width="10.13"/>
    <col customWidth="1" min="18" max="18" width="10.75"/>
    <col customWidth="1" hidden="1" min="19" max="19" width="5.63"/>
    <col customWidth="1" hidden="1" min="20" max="20" width="12.25"/>
    <col customWidth="1" min="21" max="21" width="2.63"/>
    <col customWidth="1" min="22" max="24" width="10.5"/>
    <col customWidth="1" min="25" max="25" width="13.63"/>
    <col customWidth="1" min="26" max="27" width="14.88"/>
  </cols>
  <sheetData>
    <row r="1">
      <c r="A1" s="1"/>
      <c r="B1" s="2" t="s">
        <v>0</v>
      </c>
      <c r="F1" s="3"/>
      <c r="G1" s="4" t="s">
        <v>1</v>
      </c>
      <c r="N1" s="5"/>
      <c r="O1" s="6"/>
      <c r="P1" s="7"/>
      <c r="Q1" s="4" t="s">
        <v>2</v>
      </c>
      <c r="T1" s="8"/>
      <c r="U1" s="7"/>
      <c r="V1" s="9" t="s">
        <v>3</v>
      </c>
      <c r="AC1" s="7"/>
      <c r="AD1" s="7"/>
      <c r="AE1" s="7"/>
      <c r="AF1" s="7"/>
      <c r="AG1" s="7"/>
      <c r="AH1" s="7"/>
      <c r="AI1" s="7"/>
      <c r="AJ1" s="7"/>
      <c r="AK1" s="7"/>
      <c r="AL1" s="7"/>
    </row>
    <row r="2">
      <c r="A2" s="10"/>
      <c r="B2" s="11" t="s">
        <v>4</v>
      </c>
      <c r="C2" s="12" t="s">
        <v>5</v>
      </c>
      <c r="D2" s="12" t="s">
        <v>6</v>
      </c>
      <c r="E2" s="11" t="s">
        <v>7</v>
      </c>
      <c r="F2" s="13"/>
      <c r="G2" s="14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5" t="s">
        <v>13</v>
      </c>
      <c r="M2" s="16" t="s">
        <v>14</v>
      </c>
      <c r="N2" s="17" t="s">
        <v>15</v>
      </c>
      <c r="O2" s="18" t="s">
        <v>16</v>
      </c>
      <c r="P2" s="19"/>
      <c r="Q2" s="20" t="s">
        <v>17</v>
      </c>
      <c r="R2" s="21" t="s">
        <v>18</v>
      </c>
      <c r="S2" s="20" t="s">
        <v>19</v>
      </c>
      <c r="T2" s="22"/>
      <c r="U2" s="23"/>
      <c r="V2" s="24" t="s">
        <v>20</v>
      </c>
      <c r="W2" s="24" t="s">
        <v>21</v>
      </c>
      <c r="X2" s="24" t="s">
        <v>22</v>
      </c>
      <c r="Y2" s="24" t="s">
        <v>23</v>
      </c>
      <c r="Z2" s="24" t="s">
        <v>24</v>
      </c>
      <c r="AA2" s="24" t="s">
        <v>25</v>
      </c>
      <c r="AB2" s="24" t="s">
        <v>26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</row>
    <row r="3">
      <c r="A3" s="25"/>
      <c r="B3" s="26" t="s">
        <v>27</v>
      </c>
      <c r="C3" s="27" t="s">
        <v>28</v>
      </c>
      <c r="D3" s="27" t="s">
        <v>29</v>
      </c>
      <c r="E3" s="26" t="s">
        <v>30</v>
      </c>
      <c r="F3" s="28"/>
      <c r="G3" s="29" t="s">
        <v>31</v>
      </c>
      <c r="H3" s="30" t="s">
        <v>32</v>
      </c>
      <c r="I3" s="31" t="s">
        <v>33</v>
      </c>
      <c r="J3" s="29" t="s">
        <v>34</v>
      </c>
      <c r="K3" s="32" t="s">
        <v>35</v>
      </c>
      <c r="L3" s="30" t="s">
        <v>36</v>
      </c>
      <c r="M3" s="33" t="s">
        <v>37</v>
      </c>
      <c r="N3" s="34" t="s">
        <v>38</v>
      </c>
      <c r="O3" s="35" t="s">
        <v>39</v>
      </c>
      <c r="P3" s="36"/>
      <c r="Q3" s="37" t="s">
        <v>40</v>
      </c>
      <c r="R3" s="37" t="s">
        <v>41</v>
      </c>
      <c r="S3" s="38" t="s">
        <v>42</v>
      </c>
      <c r="T3" s="39"/>
      <c r="U3" s="40"/>
      <c r="V3" s="41" t="s">
        <v>43</v>
      </c>
      <c r="W3" s="41" t="s">
        <v>44</v>
      </c>
      <c r="X3" s="41" t="s">
        <v>45</v>
      </c>
      <c r="Y3" s="42" t="s">
        <v>46</v>
      </c>
      <c r="Z3" s="41" t="s">
        <v>47</v>
      </c>
      <c r="AA3" s="41" t="s">
        <v>48</v>
      </c>
      <c r="AB3" s="42" t="s">
        <v>49</v>
      </c>
      <c r="AC3" s="40"/>
      <c r="AD3" s="36"/>
      <c r="AE3" s="36"/>
      <c r="AF3" s="36"/>
      <c r="AG3" s="36"/>
      <c r="AH3" s="36"/>
      <c r="AI3" s="36"/>
      <c r="AJ3" s="36"/>
      <c r="AK3" s="36"/>
      <c r="AL3" s="36"/>
    </row>
    <row r="4" ht="22.5" customHeight="1">
      <c r="A4" s="43" t="s">
        <v>50</v>
      </c>
      <c r="B4" s="44">
        <v>54300.0</v>
      </c>
      <c r="C4" s="45">
        <f>D4/B4</f>
        <v>0.003996316759</v>
      </c>
      <c r="D4" s="44">
        <v>217.0</v>
      </c>
      <c r="E4" s="46">
        <f>D4*M4</f>
        <v>217</v>
      </c>
      <c r="F4" s="46"/>
      <c r="G4" s="47">
        <f>H4*M4</f>
        <v>5100</v>
      </c>
      <c r="H4" s="48">
        <v>5100.0</v>
      </c>
      <c r="I4" s="49"/>
      <c r="J4" s="49"/>
      <c r="K4" s="49"/>
      <c r="L4" s="49"/>
      <c r="M4" s="50">
        <v>1.0</v>
      </c>
      <c r="N4" s="47">
        <f>Z4/D4</f>
        <v>4700.460829</v>
      </c>
      <c r="O4" s="51"/>
      <c r="P4" s="48"/>
      <c r="Q4" s="52">
        <f>Z4/B4</f>
        <v>18.78453039</v>
      </c>
      <c r="R4" s="52">
        <f>C4*G4</f>
        <v>20.38121547</v>
      </c>
      <c r="S4" s="51"/>
      <c r="T4" s="53"/>
      <c r="U4" s="48"/>
      <c r="V4" s="48"/>
      <c r="W4" s="48">
        <f>B4*(R4-Q4)</f>
        <v>86700</v>
      </c>
      <c r="X4" s="54">
        <f>H4*E4</f>
        <v>1106700</v>
      </c>
      <c r="Y4" s="54">
        <f>G4*D4</f>
        <v>1106700</v>
      </c>
      <c r="Z4" s="48">
        <v>1020000.0</v>
      </c>
      <c r="AA4" s="48"/>
      <c r="AB4" s="48">
        <v>890000.0</v>
      </c>
      <c r="AC4" s="55"/>
      <c r="AD4" s="55"/>
      <c r="AE4" s="55"/>
      <c r="AF4" s="55"/>
      <c r="AG4" s="55"/>
      <c r="AH4" s="55"/>
      <c r="AI4" s="55"/>
      <c r="AJ4" s="55"/>
      <c r="AK4" s="55"/>
      <c r="AL4" s="55"/>
    </row>
    <row r="5" ht="17.25" customHeight="1">
      <c r="A5" s="56" t="s">
        <v>51</v>
      </c>
      <c r="B5" s="57"/>
      <c r="C5" s="45">
        <f>1-C4</f>
        <v>0.9960036832</v>
      </c>
      <c r="D5" s="58"/>
      <c r="E5" s="46"/>
      <c r="F5" s="46"/>
      <c r="G5" s="47"/>
      <c r="H5" s="48"/>
      <c r="I5" s="49"/>
      <c r="J5" s="49"/>
      <c r="K5" s="59"/>
      <c r="L5" s="59"/>
      <c r="M5" s="60"/>
      <c r="N5" s="47"/>
      <c r="O5" s="61"/>
      <c r="P5" s="61"/>
      <c r="Q5" s="48"/>
      <c r="R5" s="48"/>
      <c r="S5" s="62"/>
      <c r="T5" s="51"/>
      <c r="U5" s="51"/>
      <c r="V5" s="48"/>
      <c r="W5" s="48"/>
      <c r="X5" s="48"/>
      <c r="Y5" s="48"/>
      <c r="Z5" s="48"/>
      <c r="AA5" s="48"/>
      <c r="AB5" s="55"/>
      <c r="AC5" s="63"/>
      <c r="AD5" s="63"/>
      <c r="AE5" s="63"/>
      <c r="AF5" s="63"/>
      <c r="AG5" s="63"/>
      <c r="AH5" s="63"/>
      <c r="AI5" s="63"/>
      <c r="AJ5" s="63"/>
      <c r="AK5" s="63"/>
      <c r="AL5" s="63"/>
    </row>
    <row r="6" ht="17.25" customHeight="1">
      <c r="A6" s="64"/>
      <c r="B6" s="65"/>
      <c r="C6" s="66"/>
      <c r="D6" s="67"/>
      <c r="E6" s="68"/>
      <c r="F6" s="68"/>
      <c r="G6" s="68"/>
      <c r="H6" s="69"/>
      <c r="I6" s="69"/>
      <c r="J6" s="69"/>
      <c r="K6" s="70"/>
      <c r="L6" s="70"/>
      <c r="M6" s="61"/>
      <c r="N6" s="68"/>
      <c r="O6" s="61"/>
      <c r="P6" s="61"/>
      <c r="Q6" s="68"/>
      <c r="R6" s="68"/>
      <c r="S6" s="71"/>
      <c r="T6" s="69"/>
      <c r="U6" s="61"/>
      <c r="V6" s="68"/>
      <c r="W6" s="68"/>
      <c r="X6" s="65"/>
      <c r="Y6" s="68"/>
      <c r="Z6" s="48"/>
      <c r="AA6" s="48"/>
      <c r="AB6" s="55"/>
      <c r="AC6" s="63"/>
      <c r="AD6" s="63"/>
      <c r="AE6" s="63"/>
      <c r="AF6" s="63"/>
      <c r="AG6" s="63"/>
      <c r="AH6" s="63"/>
      <c r="AI6" s="63"/>
      <c r="AJ6" s="63"/>
      <c r="AK6" s="63"/>
      <c r="AL6" s="63"/>
    </row>
    <row r="7" ht="22.5" customHeight="1">
      <c r="A7" s="72" t="s">
        <v>52</v>
      </c>
      <c r="B7" s="44">
        <v>54300.0</v>
      </c>
      <c r="C7" s="73">
        <f>C4+0.5%</f>
        <v>0.008996316759</v>
      </c>
      <c r="D7" s="44">
        <f t="shared" ref="D7:D8" si="1">C7*B7</f>
        <v>488.5</v>
      </c>
      <c r="E7" s="46"/>
      <c r="F7" s="46"/>
      <c r="G7" s="47">
        <f>G4</f>
        <v>5100</v>
      </c>
      <c r="H7" s="48"/>
      <c r="I7" s="49"/>
      <c r="J7" s="49"/>
      <c r="K7" s="49"/>
      <c r="L7" s="49"/>
      <c r="M7" s="50"/>
      <c r="N7" s="47"/>
      <c r="O7" s="51"/>
      <c r="P7" s="48"/>
      <c r="Q7" s="52">
        <f>Q4</f>
        <v>18.78453039</v>
      </c>
      <c r="R7" s="52">
        <f t="shared" ref="R7:R8" si="2">G7*C7</f>
        <v>45.88121547</v>
      </c>
      <c r="S7" s="51"/>
      <c r="T7" s="53"/>
      <c r="U7" s="48"/>
      <c r="V7" s="48"/>
      <c r="W7" s="48">
        <f t="shared" ref="W7:W9" si="3">B7*(R7-Q7)</f>
        <v>1471350</v>
      </c>
      <c r="Z7" s="48"/>
      <c r="AA7" s="48"/>
      <c r="AB7" s="54">
        <f>W7*AC7</f>
        <v>8828100</v>
      </c>
      <c r="AC7" s="74">
        <v>6.0</v>
      </c>
      <c r="AD7" s="55"/>
      <c r="AE7" s="55"/>
      <c r="AF7" s="55"/>
      <c r="AG7" s="55"/>
      <c r="AH7" s="55"/>
      <c r="AI7" s="55"/>
      <c r="AJ7" s="55"/>
      <c r="AK7" s="55"/>
      <c r="AL7" s="55"/>
    </row>
    <row r="8" ht="22.5" customHeight="1">
      <c r="A8" s="75" t="s">
        <v>53</v>
      </c>
      <c r="B8" s="44">
        <f>B7</f>
        <v>54300</v>
      </c>
      <c r="C8" s="73">
        <v>0.006</v>
      </c>
      <c r="D8" s="44">
        <f t="shared" si="1"/>
        <v>325.8</v>
      </c>
      <c r="E8" s="46"/>
      <c r="F8" s="46"/>
      <c r="G8" s="47">
        <f>G4</f>
        <v>5100</v>
      </c>
      <c r="H8" s="48"/>
      <c r="I8" s="49"/>
      <c r="J8" s="49"/>
      <c r="K8" s="49"/>
      <c r="L8" s="49"/>
      <c r="M8" s="50"/>
      <c r="N8" s="47"/>
      <c r="O8" s="51"/>
      <c r="P8" s="48"/>
      <c r="Q8" s="52">
        <f>Q4</f>
        <v>18.78453039</v>
      </c>
      <c r="R8" s="52">
        <f t="shared" si="2"/>
        <v>30.6</v>
      </c>
      <c r="S8" s="51"/>
      <c r="T8" s="53"/>
      <c r="U8" s="48"/>
      <c r="V8" s="48"/>
      <c r="W8" s="48">
        <f t="shared" si="3"/>
        <v>641580</v>
      </c>
      <c r="Z8" s="48"/>
      <c r="AA8" s="48"/>
      <c r="AB8" s="54"/>
      <c r="AC8" s="74"/>
      <c r="AD8" s="55"/>
      <c r="AE8" s="55"/>
      <c r="AF8" s="55"/>
      <c r="AG8" s="55"/>
      <c r="AH8" s="55"/>
      <c r="AI8" s="55"/>
      <c r="AJ8" s="55"/>
      <c r="AK8" s="55"/>
      <c r="AL8" s="55"/>
    </row>
    <row r="9" ht="22.5" customHeight="1">
      <c r="A9" s="72" t="s">
        <v>54</v>
      </c>
      <c r="B9" s="44">
        <v>54300.0</v>
      </c>
      <c r="C9" s="73">
        <v>0.019</v>
      </c>
      <c r="D9" s="44">
        <f>B9*C9</f>
        <v>1031.7</v>
      </c>
      <c r="E9" s="46">
        <f>D9*M9</f>
        <v>1031.7</v>
      </c>
      <c r="F9" s="46"/>
      <c r="G9" s="47">
        <f>H9*J9*M9</f>
        <v>5100</v>
      </c>
      <c r="H9" s="48">
        <v>5100.0</v>
      </c>
      <c r="I9" s="49"/>
      <c r="J9" s="49">
        <v>1.0</v>
      </c>
      <c r="K9" s="49"/>
      <c r="L9" s="49"/>
      <c r="M9" s="50">
        <v>1.0</v>
      </c>
      <c r="N9" s="47">
        <f>Z9/D9</f>
        <v>988.659494</v>
      </c>
      <c r="O9" s="51"/>
      <c r="P9" s="48"/>
      <c r="Q9" s="52">
        <f>Z9/B9</f>
        <v>18.78453039</v>
      </c>
      <c r="R9" s="52">
        <f>C9*G9</f>
        <v>96.9</v>
      </c>
      <c r="S9" s="51"/>
      <c r="T9" s="53"/>
      <c r="U9" s="48"/>
      <c r="V9" s="48"/>
      <c r="W9" s="48">
        <f t="shared" si="3"/>
        <v>4241670</v>
      </c>
      <c r="X9" s="54">
        <f>H9*E9</f>
        <v>5261670</v>
      </c>
      <c r="Y9" s="54">
        <f>G9*D9</f>
        <v>5261670</v>
      </c>
      <c r="Z9" s="48">
        <v>1020000.0</v>
      </c>
      <c r="AA9" s="48"/>
      <c r="AB9" s="48">
        <v>890000.0</v>
      </c>
      <c r="AC9" s="55"/>
      <c r="AD9" s="55"/>
      <c r="AE9" s="55"/>
      <c r="AF9" s="55"/>
      <c r="AG9" s="55"/>
      <c r="AH9" s="55"/>
      <c r="AI9" s="55"/>
      <c r="AJ9" s="55"/>
      <c r="AK9" s="55"/>
      <c r="AL9" s="55"/>
    </row>
    <row r="10" ht="17.25" customHeight="1">
      <c r="A10" s="76"/>
      <c r="B10" s="57"/>
      <c r="C10" s="45">
        <f>1-C9</f>
        <v>0.981</v>
      </c>
      <c r="D10" s="47">
        <f>D9/D4</f>
        <v>4.75437788</v>
      </c>
      <c r="E10" s="46"/>
      <c r="F10" s="46"/>
      <c r="G10" s="47"/>
      <c r="H10" s="48"/>
      <c r="I10" s="49"/>
      <c r="J10" s="49"/>
      <c r="K10" s="59"/>
      <c r="L10" s="59"/>
      <c r="M10" s="60"/>
      <c r="N10" s="47"/>
      <c r="O10" s="61"/>
      <c r="P10" s="61"/>
      <c r="Q10" s="48"/>
      <c r="R10" s="48"/>
      <c r="S10" s="62"/>
      <c r="T10" s="51"/>
      <c r="U10" s="51"/>
      <c r="V10" s="48"/>
      <c r="W10" s="48"/>
      <c r="X10" s="48"/>
      <c r="Y10" s="48"/>
      <c r="Z10" s="48"/>
      <c r="AA10" s="48"/>
      <c r="AB10" s="55"/>
      <c r="AC10" s="63"/>
      <c r="AD10" s="63"/>
      <c r="AE10" s="63"/>
      <c r="AF10" s="63"/>
      <c r="AG10" s="63"/>
      <c r="AH10" s="63"/>
      <c r="AI10" s="63"/>
      <c r="AJ10" s="63"/>
      <c r="AK10" s="63"/>
      <c r="AL10" s="63"/>
    </row>
    <row r="11" ht="17.25" customHeight="1">
      <c r="A11" s="76"/>
      <c r="B11" s="57"/>
      <c r="C11" s="77">
        <f>C5/C10-1</f>
        <v>0.01529427446</v>
      </c>
      <c r="D11" s="47"/>
      <c r="E11" s="46"/>
      <c r="F11" s="46"/>
      <c r="G11" s="47"/>
      <c r="H11" s="48"/>
      <c r="I11" s="49"/>
      <c r="J11" s="49"/>
      <c r="K11" s="59"/>
      <c r="L11" s="59"/>
      <c r="M11" s="60"/>
      <c r="N11" s="47"/>
      <c r="O11" s="61"/>
      <c r="P11" s="61"/>
      <c r="Q11" s="48"/>
      <c r="R11" s="48"/>
      <c r="S11" s="62"/>
      <c r="T11" s="51"/>
      <c r="U11" s="51"/>
      <c r="V11" s="48"/>
      <c r="W11" s="48"/>
      <c r="X11" s="48"/>
      <c r="Y11" s="48"/>
      <c r="Z11" s="48"/>
      <c r="AA11" s="48"/>
      <c r="AB11" s="55"/>
      <c r="AC11" s="63"/>
      <c r="AD11" s="63"/>
      <c r="AE11" s="63"/>
      <c r="AF11" s="63"/>
      <c r="AG11" s="63"/>
      <c r="AH11" s="63"/>
      <c r="AI11" s="63"/>
      <c r="AJ11" s="63"/>
      <c r="AK11" s="63"/>
      <c r="AL11" s="63"/>
    </row>
    <row r="12" ht="22.5" customHeight="1">
      <c r="A12" s="78" t="s">
        <v>55</v>
      </c>
      <c r="B12" s="44"/>
      <c r="C12" s="45"/>
      <c r="D12" s="44"/>
      <c r="E12" s="46"/>
      <c r="F12" s="46"/>
      <c r="G12" s="47"/>
      <c r="H12" s="48"/>
      <c r="I12" s="49"/>
      <c r="J12" s="49"/>
      <c r="K12" s="59"/>
      <c r="L12" s="59"/>
      <c r="M12" s="60"/>
      <c r="N12" s="47"/>
      <c r="O12" s="61"/>
      <c r="P12" s="61"/>
      <c r="Q12" s="48"/>
      <c r="R12" s="48"/>
      <c r="S12" s="62"/>
      <c r="T12" s="51"/>
      <c r="U12" s="51"/>
      <c r="V12" s="48"/>
      <c r="W12" s="48"/>
      <c r="X12" s="48"/>
      <c r="Y12" s="48"/>
      <c r="Z12" s="48"/>
      <c r="AA12" s="48"/>
      <c r="AB12" s="55"/>
      <c r="AC12" s="63"/>
      <c r="AD12" s="63"/>
      <c r="AE12" s="63"/>
      <c r="AF12" s="63"/>
      <c r="AG12" s="63"/>
      <c r="AH12" s="63"/>
      <c r="AI12" s="63"/>
      <c r="AJ12" s="63"/>
      <c r="AK12" s="63"/>
      <c r="AL12" s="63"/>
    </row>
    <row r="13" ht="22.5" customHeight="1">
      <c r="A13" s="72" t="s">
        <v>56</v>
      </c>
      <c r="B13" s="79">
        <f>D13/C13</f>
        <v>258162.7189</v>
      </c>
      <c r="C13" s="45">
        <f>C4</f>
        <v>0.003996316759</v>
      </c>
      <c r="D13" s="44">
        <f>D9</f>
        <v>1031.7</v>
      </c>
      <c r="E13" s="46"/>
      <c r="F13" s="46"/>
      <c r="G13" s="47"/>
      <c r="H13" s="48"/>
      <c r="I13" s="49"/>
      <c r="J13" s="49"/>
      <c r="K13" s="59"/>
      <c r="L13" s="59"/>
      <c r="M13" s="60"/>
      <c r="N13" s="47"/>
      <c r="O13" s="61"/>
      <c r="P13" s="61"/>
      <c r="Q13" s="80">
        <v>19.0</v>
      </c>
      <c r="R13" s="48">
        <f>R4</f>
        <v>20.38121547</v>
      </c>
      <c r="S13" s="62"/>
      <c r="T13" s="51"/>
      <c r="U13" s="51"/>
      <c r="V13" s="48"/>
      <c r="W13" s="48">
        <f>B13*(R13-Q13)</f>
        <v>356578.341</v>
      </c>
      <c r="X13" s="48"/>
      <c r="Y13" s="48"/>
      <c r="Z13" s="80">
        <f>Q13*B13</f>
        <v>4905091.659</v>
      </c>
      <c r="AA13" s="48"/>
      <c r="AB13" s="55"/>
      <c r="AC13" s="63"/>
      <c r="AD13" s="63"/>
      <c r="AE13" s="63"/>
      <c r="AF13" s="63"/>
      <c r="AG13" s="63"/>
      <c r="AH13" s="63"/>
      <c r="AI13" s="63"/>
      <c r="AJ13" s="63"/>
      <c r="AK13" s="63"/>
      <c r="AL13" s="63"/>
    </row>
    <row r="14" ht="17.25" customHeight="1">
      <c r="A14" s="76"/>
      <c r="B14" s="57"/>
      <c r="C14" s="81"/>
      <c r="D14" s="58"/>
      <c r="E14" s="46"/>
      <c r="F14" s="46"/>
      <c r="G14" s="47"/>
      <c r="H14" s="48"/>
      <c r="I14" s="49"/>
      <c r="J14" s="49"/>
      <c r="K14" s="59"/>
      <c r="L14" s="59"/>
      <c r="M14" s="60"/>
      <c r="N14" s="47"/>
      <c r="O14" s="61"/>
      <c r="P14" s="61"/>
      <c r="Q14" s="48"/>
      <c r="R14" s="48"/>
      <c r="S14" s="62"/>
      <c r="T14" s="51"/>
      <c r="U14" s="51"/>
      <c r="V14" s="48"/>
      <c r="W14" s="48"/>
      <c r="X14" s="48"/>
      <c r="Y14" s="48"/>
      <c r="Z14" s="48"/>
      <c r="AA14" s="48"/>
      <c r="AB14" s="55"/>
      <c r="AC14" s="63"/>
      <c r="AD14" s="63"/>
      <c r="AE14" s="63"/>
      <c r="AF14" s="63"/>
      <c r="AG14" s="63"/>
      <c r="AH14" s="63"/>
      <c r="AI14" s="63"/>
      <c r="AJ14" s="63"/>
      <c r="AK14" s="63"/>
      <c r="AL14" s="63"/>
    </row>
    <row r="15" ht="17.25" customHeight="1">
      <c r="A15" s="76"/>
      <c r="B15" s="57"/>
      <c r="C15" s="81"/>
      <c r="D15" s="58"/>
      <c r="E15" s="46"/>
      <c r="F15" s="46"/>
      <c r="G15" s="47"/>
      <c r="H15" s="48"/>
      <c r="I15" s="49"/>
      <c r="J15" s="49"/>
      <c r="K15" s="59"/>
      <c r="L15" s="59"/>
      <c r="M15" s="60"/>
      <c r="N15" s="47"/>
      <c r="O15" s="61"/>
      <c r="P15" s="61"/>
      <c r="Q15" s="48"/>
      <c r="R15" s="48"/>
      <c r="S15" s="62"/>
      <c r="T15" s="51"/>
      <c r="U15" s="51"/>
      <c r="V15" s="48"/>
      <c r="W15" s="48"/>
      <c r="X15" s="48"/>
      <c r="Y15" s="48"/>
      <c r="Z15" s="48"/>
      <c r="AA15" s="48"/>
      <c r="AB15" s="55"/>
      <c r="AC15" s="63"/>
      <c r="AD15" s="63"/>
      <c r="AE15" s="63"/>
      <c r="AF15" s="63"/>
      <c r="AG15" s="63"/>
      <c r="AH15" s="63"/>
      <c r="AI15" s="63"/>
      <c r="AJ15" s="63"/>
      <c r="AK15" s="63"/>
      <c r="AL15" s="63"/>
    </row>
    <row r="16" ht="17.25" customHeight="1">
      <c r="A16" s="43" t="s">
        <v>57</v>
      </c>
      <c r="B16" s="82" t="s">
        <v>58</v>
      </c>
      <c r="C16" s="82" t="s">
        <v>59</v>
      </c>
      <c r="D16" s="83" t="s">
        <v>60</v>
      </c>
      <c r="E16" s="46"/>
      <c r="F16" s="46"/>
      <c r="G16" s="82" t="s">
        <v>58</v>
      </c>
      <c r="H16" s="82" t="s">
        <v>59</v>
      </c>
      <c r="I16" s="83"/>
      <c r="J16" s="83" t="s">
        <v>60</v>
      </c>
      <c r="K16" s="48"/>
      <c r="L16" s="48"/>
      <c r="M16" s="84"/>
      <c r="N16" s="61"/>
      <c r="O16" s="61"/>
      <c r="P16" s="61"/>
      <c r="Q16" s="57"/>
      <c r="R16" s="85"/>
      <c r="S16" s="62"/>
      <c r="T16" s="51"/>
      <c r="U16" s="51"/>
      <c r="V16" s="61"/>
      <c r="W16" s="61"/>
      <c r="X16" s="61"/>
      <c r="Y16" s="55"/>
      <c r="Z16" s="55"/>
      <c r="AA16" s="55"/>
      <c r="AB16" s="55"/>
      <c r="AC16" s="63"/>
      <c r="AD16" s="63"/>
      <c r="AE16" s="63"/>
      <c r="AF16" s="63"/>
      <c r="AG16" s="63"/>
      <c r="AH16" s="63"/>
      <c r="AI16" s="63"/>
      <c r="AJ16" s="63"/>
      <c r="AK16" s="63"/>
      <c r="AL16" s="63"/>
    </row>
    <row r="17" ht="17.25" customHeight="1">
      <c r="A17" s="86" t="s">
        <v>61</v>
      </c>
      <c r="B17" s="87">
        <f>B4</f>
        <v>54300</v>
      </c>
      <c r="C17" s="88"/>
      <c r="D17" s="46"/>
      <c r="E17" s="46"/>
      <c r="F17" s="46"/>
      <c r="G17" s="87">
        <f>B4</f>
        <v>54300</v>
      </c>
      <c r="H17" s="88"/>
      <c r="I17" s="46"/>
      <c r="J17" s="46"/>
      <c r="K17" s="48"/>
      <c r="L17" s="48"/>
      <c r="M17" s="84"/>
      <c r="N17" s="61"/>
      <c r="O17" s="61"/>
      <c r="P17" s="61"/>
      <c r="Q17" s="57"/>
      <c r="R17" s="85"/>
      <c r="S17" s="62"/>
      <c r="T17" s="51"/>
      <c r="U17" s="51"/>
      <c r="V17" s="61"/>
      <c r="W17" s="61"/>
      <c r="X17" s="61"/>
      <c r="Y17" s="55"/>
      <c r="Z17" s="55"/>
      <c r="AA17" s="55"/>
      <c r="AB17" s="55"/>
      <c r="AC17" s="63"/>
      <c r="AD17" s="63"/>
      <c r="AE17" s="63"/>
      <c r="AF17" s="63"/>
      <c r="AG17" s="63"/>
      <c r="AH17" s="63"/>
      <c r="AI17" s="63"/>
      <c r="AJ17" s="63"/>
      <c r="AK17" s="63"/>
      <c r="AL17" s="63"/>
    </row>
    <row r="18" ht="17.25" customHeight="1">
      <c r="A18" s="57" t="s">
        <v>62</v>
      </c>
      <c r="B18" s="89">
        <v>543.0</v>
      </c>
      <c r="C18" s="90">
        <f>B18/B17</f>
        <v>0.01</v>
      </c>
      <c r="D18" s="58"/>
      <c r="E18" s="88"/>
      <c r="F18" s="88"/>
      <c r="G18" s="89">
        <v>543.0</v>
      </c>
      <c r="H18" s="91">
        <f t="shared" ref="H18:H19" si="4">H19/N19</f>
        <v>0.0475437788</v>
      </c>
      <c r="I18" s="58"/>
      <c r="J18" s="58"/>
      <c r="K18" s="59"/>
      <c r="L18" s="59"/>
      <c r="M18" s="84"/>
      <c r="N18" s="61"/>
      <c r="O18" s="61"/>
      <c r="P18" s="61"/>
      <c r="Q18" s="57"/>
      <c r="R18" s="85"/>
      <c r="S18" s="62"/>
      <c r="T18" s="51"/>
      <c r="U18" s="51"/>
      <c r="V18" s="61"/>
      <c r="W18" s="61"/>
      <c r="X18" s="61"/>
      <c r="Y18" s="55"/>
      <c r="Z18" s="55"/>
      <c r="AA18" s="55"/>
      <c r="AB18" s="55"/>
      <c r="AC18" s="63"/>
      <c r="AD18" s="63"/>
      <c r="AE18" s="63"/>
      <c r="AF18" s="63"/>
      <c r="AG18" s="63"/>
      <c r="AH18" s="63"/>
      <c r="AI18" s="63"/>
      <c r="AJ18" s="63"/>
      <c r="AK18" s="63"/>
      <c r="AL18" s="63"/>
    </row>
    <row r="19" ht="17.25" customHeight="1">
      <c r="A19" s="57" t="s">
        <v>63</v>
      </c>
      <c r="B19" s="92">
        <v>434.40000000000003</v>
      </c>
      <c r="C19" s="91">
        <f>B19/B17</f>
        <v>0.008</v>
      </c>
      <c r="D19" s="58"/>
      <c r="E19" s="88"/>
      <c r="F19" s="88"/>
      <c r="G19" s="92">
        <v>434.40000000000003</v>
      </c>
      <c r="H19" s="91">
        <f t="shared" si="4"/>
        <v>0.03803502304</v>
      </c>
      <c r="I19" s="58"/>
      <c r="J19" s="58"/>
      <c r="K19" s="59"/>
      <c r="L19" s="59"/>
      <c r="M19" s="84"/>
      <c r="N19" s="59">
        <f t="shared" ref="N19:N20" si="5">B19/B18</f>
        <v>0.8</v>
      </c>
      <c r="O19" s="61"/>
      <c r="P19" s="61"/>
      <c r="Q19" s="93"/>
      <c r="R19" s="93"/>
      <c r="S19" s="62"/>
      <c r="T19" s="94"/>
      <c r="U19" s="51"/>
      <c r="V19" s="52"/>
      <c r="W19" s="52"/>
      <c r="X19" s="52"/>
      <c r="Y19" s="95"/>
      <c r="Z19" s="96"/>
      <c r="AA19" s="96"/>
      <c r="AB19" s="55"/>
      <c r="AC19" s="63"/>
      <c r="AD19" s="63"/>
      <c r="AE19" s="63"/>
      <c r="AF19" s="63"/>
      <c r="AG19" s="63"/>
      <c r="AH19" s="63"/>
      <c r="AI19" s="63"/>
      <c r="AJ19" s="63"/>
      <c r="AK19" s="63"/>
      <c r="AL19" s="63"/>
    </row>
    <row r="20" ht="17.25" customHeight="1">
      <c r="A20" s="57" t="s">
        <v>64</v>
      </c>
      <c r="B20" s="92">
        <v>217.0</v>
      </c>
      <c r="C20" s="91">
        <f>C19*50%</f>
        <v>0.004</v>
      </c>
      <c r="D20" s="97">
        <f>2*SQRT(C20*(1-C20)/B17)</f>
        <v>0.0005417385559</v>
      </c>
      <c r="E20" s="88"/>
      <c r="F20" s="88"/>
      <c r="G20" s="92">
        <v>217.0</v>
      </c>
      <c r="H20" s="91">
        <v>0.019</v>
      </c>
      <c r="I20" s="97"/>
      <c r="J20" s="97">
        <f>2*SQRT(H20*(1-H20)/G17)</f>
        <v>0.001171767329</v>
      </c>
      <c r="K20" s="59"/>
      <c r="L20" s="59"/>
      <c r="M20" s="84"/>
      <c r="N20" s="59">
        <f t="shared" si="5"/>
        <v>0.4995395948</v>
      </c>
      <c r="O20" s="61"/>
      <c r="P20" s="61"/>
      <c r="Q20" s="93"/>
      <c r="R20" s="93"/>
      <c r="S20" s="62"/>
      <c r="T20" s="98"/>
      <c r="U20" s="51"/>
      <c r="V20" s="52"/>
      <c r="W20" s="52"/>
      <c r="X20" s="52"/>
      <c r="Y20" s="55"/>
      <c r="Z20" s="55"/>
      <c r="AA20" s="55"/>
      <c r="AB20" s="55"/>
      <c r="AC20" s="63"/>
      <c r="AD20" s="63"/>
      <c r="AE20" s="63"/>
      <c r="AF20" s="63"/>
      <c r="AG20" s="63"/>
      <c r="AH20" s="63"/>
      <c r="AI20" s="63"/>
      <c r="AJ20" s="63"/>
      <c r="AK20" s="63"/>
      <c r="AL20" s="63"/>
    </row>
    <row r="21" ht="17.25" customHeight="1">
      <c r="A21" s="51"/>
      <c r="B21" s="44"/>
      <c r="C21" s="81"/>
      <c r="D21" s="58"/>
      <c r="E21" s="58"/>
      <c r="F21" s="58"/>
      <c r="G21" s="99"/>
      <c r="H21" s="48"/>
      <c r="I21" s="47"/>
      <c r="J21" s="47"/>
      <c r="K21" s="59"/>
      <c r="L21" s="59"/>
      <c r="M21" s="84"/>
      <c r="N21" s="61"/>
      <c r="O21" s="61"/>
      <c r="P21" s="61"/>
      <c r="Q21" s="93"/>
      <c r="R21" s="93"/>
      <c r="S21" s="62"/>
      <c r="T21" s="51"/>
      <c r="U21" s="51"/>
      <c r="V21" s="52"/>
      <c r="W21" s="52"/>
      <c r="X21" s="52"/>
      <c r="Y21" s="55"/>
      <c r="Z21" s="55"/>
      <c r="AA21" s="55"/>
      <c r="AB21" s="55"/>
      <c r="AC21" s="63"/>
      <c r="AD21" s="63"/>
      <c r="AE21" s="63"/>
      <c r="AF21" s="63"/>
      <c r="AG21" s="63"/>
      <c r="AH21" s="63"/>
      <c r="AI21" s="63"/>
      <c r="AJ21" s="63"/>
      <c r="AK21" s="63"/>
      <c r="AL21" s="63"/>
    </row>
    <row r="22" ht="17.25" customHeight="1">
      <c r="A22" s="43" t="s">
        <v>65</v>
      </c>
      <c r="B22" s="82" t="s">
        <v>58</v>
      </c>
      <c r="C22" s="82" t="s">
        <v>59</v>
      </c>
      <c r="D22" s="83" t="s">
        <v>60</v>
      </c>
      <c r="E22" s="58"/>
      <c r="F22" s="58"/>
      <c r="G22" s="47"/>
      <c r="H22" s="48"/>
      <c r="I22" s="49"/>
      <c r="J22" s="49"/>
      <c r="K22" s="59"/>
      <c r="L22" s="59"/>
      <c r="M22" s="84"/>
      <c r="N22" s="61"/>
      <c r="O22" s="61"/>
      <c r="P22" s="61"/>
      <c r="Q22" s="93"/>
      <c r="R22" s="93"/>
      <c r="S22" s="62"/>
      <c r="T22" s="51"/>
      <c r="U22" s="51"/>
      <c r="V22" s="52"/>
      <c r="W22" s="52"/>
      <c r="X22" s="52"/>
      <c r="Y22" s="55"/>
      <c r="Z22" s="55"/>
      <c r="AA22" s="55"/>
      <c r="AB22" s="55"/>
      <c r="AC22" s="63"/>
      <c r="AD22" s="63"/>
      <c r="AE22" s="63"/>
      <c r="AF22" s="63"/>
      <c r="AG22" s="63"/>
      <c r="AH22" s="63"/>
      <c r="AI22" s="63"/>
      <c r="AJ22" s="63"/>
      <c r="AK22" s="63"/>
      <c r="AL22" s="63"/>
    </row>
    <row r="23" ht="17.25" customHeight="1">
      <c r="A23" s="86" t="s">
        <v>61</v>
      </c>
      <c r="B23" s="87">
        <f>B17*7/31</f>
        <v>12261.29032</v>
      </c>
      <c r="C23" s="88"/>
      <c r="D23" s="46"/>
      <c r="E23" s="58"/>
      <c r="F23" s="58"/>
      <c r="G23" s="47"/>
      <c r="H23" s="48"/>
      <c r="I23" s="49"/>
      <c r="J23" s="49"/>
      <c r="K23" s="59"/>
      <c r="L23" s="59"/>
      <c r="M23" s="84"/>
      <c r="N23" s="86"/>
      <c r="O23" s="61"/>
      <c r="P23" s="61"/>
      <c r="Q23" s="93"/>
      <c r="R23" s="93"/>
      <c r="S23" s="62"/>
      <c r="T23" s="51"/>
      <c r="U23" s="51"/>
      <c r="V23" s="52"/>
      <c r="W23" s="52"/>
      <c r="X23" s="52"/>
      <c r="Y23" s="100"/>
      <c r="Z23" s="96"/>
      <c r="AA23" s="96"/>
      <c r="AB23" s="100"/>
      <c r="AC23" s="63"/>
      <c r="AD23" s="63"/>
      <c r="AE23" s="63"/>
      <c r="AF23" s="63"/>
      <c r="AG23" s="63"/>
      <c r="AH23" s="63"/>
      <c r="AI23" s="63"/>
      <c r="AJ23" s="63"/>
      <c r="AK23" s="63"/>
      <c r="AL23" s="63"/>
    </row>
    <row r="24" ht="17.25" customHeight="1">
      <c r="A24" s="57" t="s">
        <v>62</v>
      </c>
      <c r="B24" s="89">
        <f t="shared" ref="B24:B26" si="6">B$23*C24</f>
        <v>122.6129032</v>
      </c>
      <c r="C24" s="91">
        <f t="shared" ref="C24:C26" si="7">C18</f>
        <v>0.01</v>
      </c>
      <c r="D24" s="97">
        <f>2*SQRT(C24*(1-C24)/$B$23)</f>
        <v>0.001797130046</v>
      </c>
      <c r="E24" s="58"/>
      <c r="F24" s="58"/>
      <c r="G24" s="77">
        <f>C24-D24</f>
        <v>0.008202869954</v>
      </c>
      <c r="H24" s="101">
        <f>C24+D24</f>
        <v>0.01179713005</v>
      </c>
      <c r="I24" s="59"/>
      <c r="J24" s="59"/>
      <c r="K24" s="59"/>
      <c r="L24" s="59"/>
      <c r="M24" s="84"/>
      <c r="N24" s="61"/>
      <c r="O24" s="61"/>
      <c r="P24" s="61"/>
      <c r="Q24" s="57"/>
      <c r="R24" s="85"/>
      <c r="S24" s="62"/>
      <c r="T24" s="51"/>
      <c r="U24" s="51"/>
      <c r="V24" s="61"/>
      <c r="W24" s="61"/>
      <c r="X24" s="52"/>
      <c r="Y24" s="55"/>
      <c r="Z24" s="55"/>
      <c r="AA24" s="55"/>
      <c r="AB24" s="55"/>
      <c r="AC24" s="63"/>
      <c r="AD24" s="63"/>
      <c r="AE24" s="63"/>
      <c r="AF24" s="63"/>
      <c r="AG24" s="63"/>
      <c r="AH24" s="63"/>
      <c r="AI24" s="63"/>
      <c r="AJ24" s="63"/>
      <c r="AK24" s="63"/>
      <c r="AL24" s="63"/>
    </row>
    <row r="25" ht="17.25" customHeight="1">
      <c r="A25" s="57" t="s">
        <v>63</v>
      </c>
      <c r="B25" s="89">
        <f t="shared" si="6"/>
        <v>98.09032258</v>
      </c>
      <c r="C25" s="91">
        <f t="shared" si="7"/>
        <v>0.008</v>
      </c>
      <c r="D25" s="58"/>
      <c r="E25" s="58"/>
      <c r="F25" s="58"/>
      <c r="G25" s="47"/>
      <c r="H25" s="48"/>
      <c r="I25" s="59"/>
      <c r="J25" s="59"/>
      <c r="K25" s="59"/>
      <c r="L25" s="59"/>
      <c r="M25" s="84"/>
      <c r="N25" s="61"/>
      <c r="O25" s="61"/>
      <c r="P25" s="61"/>
      <c r="Q25" s="57"/>
      <c r="R25" s="85"/>
      <c r="S25" s="62"/>
      <c r="T25" s="51"/>
      <c r="U25" s="51"/>
      <c r="V25" s="61"/>
      <c r="W25" s="61"/>
      <c r="X25" s="52"/>
      <c r="Y25" s="55"/>
      <c r="Z25" s="55"/>
      <c r="AA25" s="55"/>
      <c r="AB25" s="55"/>
      <c r="AC25" s="63"/>
      <c r="AD25" s="63"/>
      <c r="AE25" s="63"/>
      <c r="AF25" s="63"/>
      <c r="AG25" s="63"/>
      <c r="AH25" s="63"/>
      <c r="AI25" s="63"/>
      <c r="AJ25" s="63"/>
      <c r="AK25" s="63"/>
      <c r="AL25" s="63"/>
    </row>
    <row r="26" ht="17.25" customHeight="1">
      <c r="A26" s="57" t="s">
        <v>64</v>
      </c>
      <c r="B26" s="89">
        <f t="shared" si="6"/>
        <v>49.04516129</v>
      </c>
      <c r="C26" s="91">
        <f t="shared" si="7"/>
        <v>0.004</v>
      </c>
      <c r="D26" s="97">
        <f>2*SQRT(C26*(1-C26)/$B$23)</f>
        <v>0.001140043893</v>
      </c>
      <c r="E26" s="58"/>
      <c r="F26" s="58"/>
      <c r="G26" s="77">
        <f>C26-D26</f>
        <v>0.002859956107</v>
      </c>
      <c r="H26" s="48">
        <f>C26+D26</f>
        <v>0.005140043893</v>
      </c>
      <c r="I26" s="49"/>
      <c r="J26" s="49"/>
      <c r="K26" s="59"/>
      <c r="L26" s="59"/>
      <c r="M26" s="84"/>
      <c r="N26" s="86"/>
      <c r="O26" s="61"/>
      <c r="P26" s="61"/>
      <c r="Q26" s="93"/>
      <c r="R26" s="93"/>
      <c r="S26" s="62"/>
      <c r="T26" s="51"/>
      <c r="U26" s="51"/>
      <c r="V26" s="52"/>
      <c r="W26" s="52"/>
      <c r="X26" s="52"/>
      <c r="Y26" s="100"/>
      <c r="Z26" s="96"/>
      <c r="AA26" s="96"/>
      <c r="AB26" s="100"/>
      <c r="AC26" s="63"/>
      <c r="AD26" s="63"/>
      <c r="AE26" s="63"/>
      <c r="AF26" s="63"/>
      <c r="AG26" s="63"/>
      <c r="AH26" s="63"/>
      <c r="AI26" s="63"/>
      <c r="AJ26" s="63"/>
      <c r="AK26" s="63"/>
      <c r="AL26" s="63"/>
    </row>
    <row r="27" ht="17.25" customHeight="1">
      <c r="A27" s="102"/>
      <c r="B27" s="51"/>
      <c r="C27" s="88"/>
      <c r="D27" s="58"/>
      <c r="E27" s="58"/>
      <c r="F27" s="58"/>
      <c r="G27" s="47"/>
      <c r="H27" s="48"/>
      <c r="I27" s="59"/>
      <c r="J27" s="59"/>
      <c r="K27" s="59"/>
      <c r="L27" s="59"/>
      <c r="M27" s="84"/>
      <c r="N27" s="61"/>
      <c r="O27" s="61"/>
      <c r="P27" s="61"/>
      <c r="Q27" s="57"/>
      <c r="R27" s="85"/>
      <c r="S27" s="62"/>
      <c r="T27" s="51"/>
      <c r="U27" s="51"/>
      <c r="V27" s="61"/>
      <c r="W27" s="61"/>
      <c r="X27" s="61"/>
      <c r="Y27" s="55"/>
      <c r="Z27" s="55"/>
      <c r="AA27" s="55"/>
      <c r="AB27" s="55"/>
      <c r="AC27" s="63"/>
      <c r="AD27" s="63"/>
      <c r="AE27" s="63"/>
      <c r="AF27" s="63"/>
      <c r="AG27" s="63"/>
      <c r="AH27" s="63"/>
      <c r="AI27" s="63"/>
      <c r="AJ27" s="63"/>
      <c r="AK27" s="63"/>
      <c r="AL27" s="63"/>
    </row>
    <row r="28" ht="17.25" customHeight="1">
      <c r="A28" s="43" t="s">
        <v>66</v>
      </c>
      <c r="B28" s="82" t="s">
        <v>58</v>
      </c>
      <c r="C28" s="82" t="s">
        <v>59</v>
      </c>
      <c r="D28" s="83" t="s">
        <v>60</v>
      </c>
      <c r="E28" s="58"/>
      <c r="F28" s="58"/>
      <c r="G28" s="103" t="s">
        <v>67</v>
      </c>
      <c r="H28" s="103" t="s">
        <v>68</v>
      </c>
      <c r="I28" s="59"/>
      <c r="J28" s="59"/>
      <c r="K28" s="59"/>
      <c r="L28" s="59"/>
      <c r="M28" s="84"/>
      <c r="N28" s="61"/>
      <c r="O28" s="61"/>
      <c r="P28" s="61"/>
      <c r="Q28" s="57"/>
      <c r="R28" s="85"/>
      <c r="S28" s="62"/>
      <c r="T28" s="51"/>
      <c r="U28" s="51"/>
      <c r="V28" s="61"/>
      <c r="W28" s="61"/>
      <c r="X28" s="61"/>
      <c r="Y28" s="55"/>
      <c r="Z28" s="55"/>
      <c r="AA28" s="55"/>
      <c r="AB28" s="55"/>
      <c r="AC28" s="63"/>
      <c r="AD28" s="63"/>
      <c r="AE28" s="63"/>
      <c r="AF28" s="63"/>
      <c r="AG28" s="63"/>
      <c r="AH28" s="63"/>
      <c r="AI28" s="63"/>
      <c r="AJ28" s="63"/>
      <c r="AK28" s="63"/>
      <c r="AL28" s="63"/>
    </row>
    <row r="29" ht="17.25" customHeight="1">
      <c r="A29" s="86" t="s">
        <v>61</v>
      </c>
      <c r="B29" s="104">
        <f>B23/3</f>
        <v>4087.096774</v>
      </c>
      <c r="C29" s="88"/>
      <c r="D29" s="46"/>
      <c r="E29" s="58"/>
      <c r="F29" s="58"/>
      <c r="G29" s="47"/>
      <c r="H29" s="48"/>
      <c r="I29" s="59"/>
      <c r="J29" s="59"/>
      <c r="K29" s="59"/>
      <c r="L29" s="59"/>
      <c r="M29" s="84"/>
      <c r="N29" s="61"/>
      <c r="O29" s="61"/>
      <c r="P29" s="61"/>
      <c r="Q29" s="57"/>
      <c r="R29" s="85"/>
      <c r="S29" s="62"/>
      <c r="T29" s="51"/>
      <c r="U29" s="51"/>
      <c r="V29" s="61"/>
      <c r="W29" s="61"/>
      <c r="X29" s="61"/>
      <c r="Y29" s="55"/>
      <c r="Z29" s="55"/>
      <c r="AA29" s="55"/>
      <c r="AB29" s="55"/>
      <c r="AC29" s="63"/>
      <c r="AD29" s="63"/>
      <c r="AE29" s="63"/>
      <c r="AF29" s="63"/>
      <c r="AG29" s="63"/>
      <c r="AH29" s="63"/>
      <c r="AI29" s="63"/>
      <c r="AJ29" s="63"/>
      <c r="AK29" s="63"/>
      <c r="AL29" s="63"/>
    </row>
    <row r="30" ht="17.25" customHeight="1">
      <c r="A30" s="57" t="s">
        <v>62</v>
      </c>
      <c r="B30" s="89">
        <f t="shared" ref="B30:B32" si="8">B$23*C30</f>
        <v>122.6129032</v>
      </c>
      <c r="C30" s="91">
        <f t="shared" ref="C30:C32" si="9">C24</f>
        <v>0.01</v>
      </c>
      <c r="D30" s="97">
        <f>2*SQRT(C30*(1-C30)/$B$29)</f>
        <v>0.003112720547</v>
      </c>
      <c r="E30" s="58"/>
      <c r="F30" s="58"/>
      <c r="G30" s="77">
        <f>C30-D30</f>
        <v>0.006887279453</v>
      </c>
      <c r="H30" s="101">
        <f>C30+D30</f>
        <v>0.01311272055</v>
      </c>
      <c r="I30" s="59"/>
      <c r="J30" s="59"/>
      <c r="K30" s="59"/>
      <c r="L30" s="59"/>
      <c r="M30" s="84"/>
      <c r="N30" s="61"/>
      <c r="O30" s="61"/>
      <c r="P30" s="61"/>
      <c r="Q30" s="57"/>
      <c r="R30" s="85"/>
      <c r="S30" s="62"/>
      <c r="T30" s="51"/>
      <c r="U30" s="51"/>
      <c r="V30" s="61"/>
      <c r="W30" s="61"/>
      <c r="X30" s="61"/>
      <c r="Y30" s="55"/>
      <c r="Z30" s="55"/>
      <c r="AA30" s="55"/>
      <c r="AB30" s="55"/>
      <c r="AC30" s="63"/>
      <c r="AD30" s="63"/>
      <c r="AE30" s="63"/>
      <c r="AF30" s="63"/>
      <c r="AG30" s="63"/>
      <c r="AH30" s="63"/>
      <c r="AI30" s="63"/>
      <c r="AJ30" s="63"/>
      <c r="AK30" s="63"/>
      <c r="AL30" s="63"/>
    </row>
    <row r="31" ht="17.25" customHeight="1">
      <c r="A31" s="57" t="s">
        <v>63</v>
      </c>
      <c r="B31" s="89">
        <f t="shared" si="8"/>
        <v>98.09032258</v>
      </c>
      <c r="C31" s="91">
        <f t="shared" si="9"/>
        <v>0.008</v>
      </c>
      <c r="D31" s="58"/>
      <c r="E31" s="58"/>
      <c r="F31" s="58"/>
      <c r="G31" s="47"/>
      <c r="H31" s="48"/>
      <c r="I31" s="59"/>
      <c r="J31" s="59"/>
      <c r="K31" s="59"/>
      <c r="L31" s="59"/>
      <c r="M31" s="84"/>
      <c r="N31" s="61"/>
      <c r="O31" s="61"/>
      <c r="P31" s="61"/>
      <c r="Q31" s="57"/>
      <c r="R31" s="85"/>
      <c r="S31" s="62"/>
      <c r="T31" s="51"/>
      <c r="U31" s="51"/>
      <c r="V31" s="61"/>
      <c r="W31" s="61"/>
      <c r="X31" s="61"/>
      <c r="Y31" s="55"/>
      <c r="Z31" s="55"/>
      <c r="AA31" s="55"/>
      <c r="AB31" s="55"/>
      <c r="AC31" s="63"/>
      <c r="AD31" s="63"/>
      <c r="AE31" s="63"/>
      <c r="AF31" s="63"/>
      <c r="AG31" s="63"/>
      <c r="AH31" s="63"/>
      <c r="AI31" s="63"/>
      <c r="AJ31" s="63"/>
      <c r="AK31" s="63"/>
      <c r="AL31" s="63"/>
    </row>
    <row r="32" ht="17.25" customHeight="1">
      <c r="A32" s="57" t="s">
        <v>64</v>
      </c>
      <c r="B32" s="89">
        <f t="shared" si="8"/>
        <v>49.04516129</v>
      </c>
      <c r="C32" s="91">
        <f t="shared" si="9"/>
        <v>0.004</v>
      </c>
      <c r="D32" s="97">
        <f>2*SQRT(C32*(1-C32)/$B$29)</f>
        <v>0.001974613946</v>
      </c>
      <c r="E32" s="58"/>
      <c r="F32" s="58"/>
      <c r="G32" s="47"/>
      <c r="H32" s="48"/>
      <c r="I32" s="59"/>
      <c r="J32" s="59"/>
      <c r="K32" s="59"/>
      <c r="L32" s="59"/>
      <c r="M32" s="84"/>
      <c r="N32" s="61"/>
      <c r="O32" s="61"/>
      <c r="P32" s="61"/>
      <c r="Q32" s="57"/>
      <c r="R32" s="85"/>
      <c r="S32" s="62"/>
      <c r="T32" s="51"/>
      <c r="U32" s="51"/>
      <c r="V32" s="61"/>
      <c r="W32" s="61"/>
      <c r="X32" s="61"/>
      <c r="Y32" s="55"/>
      <c r="Z32" s="55"/>
      <c r="AA32" s="55"/>
      <c r="AB32" s="55"/>
      <c r="AC32" s="63"/>
      <c r="AD32" s="63"/>
      <c r="AE32" s="63"/>
      <c r="AF32" s="63"/>
      <c r="AG32" s="63"/>
      <c r="AH32" s="63"/>
      <c r="AI32" s="63"/>
      <c r="AJ32" s="63"/>
      <c r="AK32" s="63"/>
      <c r="AL32" s="63"/>
    </row>
    <row r="33" ht="17.25" customHeight="1">
      <c r="A33" s="102"/>
      <c r="B33" s="51"/>
      <c r="C33" s="88"/>
      <c r="D33" s="58"/>
      <c r="E33" s="58"/>
      <c r="F33" s="58"/>
      <c r="G33" s="47"/>
      <c r="H33" s="48"/>
      <c r="I33" s="59"/>
      <c r="J33" s="59"/>
      <c r="K33" s="59"/>
      <c r="L33" s="59"/>
      <c r="M33" s="84"/>
      <c r="N33" s="61"/>
      <c r="O33" s="61"/>
      <c r="P33" s="61"/>
      <c r="Q33" s="57"/>
      <c r="R33" s="85"/>
      <c r="S33" s="62"/>
      <c r="T33" s="51"/>
      <c r="U33" s="51"/>
      <c r="V33" s="61"/>
      <c r="W33" s="61"/>
      <c r="X33" s="61"/>
      <c r="Y33" s="55"/>
      <c r="Z33" s="55"/>
      <c r="AA33" s="55"/>
      <c r="AB33" s="55"/>
      <c r="AC33" s="63"/>
      <c r="AD33" s="63"/>
      <c r="AE33" s="63"/>
      <c r="AF33" s="63"/>
      <c r="AG33" s="63"/>
      <c r="AH33" s="63"/>
      <c r="AI33" s="63"/>
      <c r="AJ33" s="63"/>
      <c r="AK33" s="63"/>
      <c r="AL33" s="63"/>
    </row>
    <row r="34" ht="17.25" customHeight="1">
      <c r="A34" s="102"/>
      <c r="B34" s="51"/>
      <c r="C34" s="88"/>
      <c r="D34" s="58"/>
      <c r="E34" s="58"/>
      <c r="F34" s="58"/>
      <c r="G34" s="47"/>
      <c r="H34" s="48"/>
      <c r="I34" s="59"/>
      <c r="J34" s="59"/>
      <c r="K34" s="59"/>
      <c r="L34" s="59"/>
      <c r="M34" s="84"/>
      <c r="N34" s="61"/>
      <c r="O34" s="61"/>
      <c r="P34" s="61"/>
      <c r="Q34" s="57"/>
      <c r="R34" s="85"/>
      <c r="S34" s="62"/>
      <c r="T34" s="51"/>
      <c r="U34" s="51"/>
      <c r="V34" s="61"/>
      <c r="W34" s="61"/>
      <c r="X34" s="61"/>
      <c r="Y34" s="55"/>
      <c r="Z34" s="55"/>
      <c r="AA34" s="55"/>
      <c r="AB34" s="55"/>
      <c r="AC34" s="63"/>
      <c r="AD34" s="63"/>
      <c r="AE34" s="63"/>
      <c r="AF34" s="63"/>
      <c r="AG34" s="63"/>
      <c r="AH34" s="63"/>
      <c r="AI34" s="63"/>
      <c r="AJ34" s="63"/>
      <c r="AK34" s="63"/>
      <c r="AL34" s="63"/>
    </row>
    <row r="35" ht="17.25" customHeight="1">
      <c r="A35" s="102"/>
      <c r="B35" s="51"/>
      <c r="C35" s="88"/>
      <c r="D35" s="58"/>
      <c r="E35" s="58"/>
      <c r="F35" s="58"/>
      <c r="G35" s="47"/>
      <c r="H35" s="48"/>
      <c r="I35" s="59"/>
      <c r="J35" s="59"/>
      <c r="K35" s="59"/>
      <c r="L35" s="59"/>
      <c r="M35" s="84"/>
      <c r="N35" s="61"/>
      <c r="O35" s="61"/>
      <c r="P35" s="61"/>
      <c r="Q35" s="57"/>
      <c r="R35" s="85"/>
      <c r="S35" s="62"/>
      <c r="T35" s="51"/>
      <c r="U35" s="51"/>
      <c r="V35" s="61"/>
      <c r="W35" s="61"/>
      <c r="X35" s="61"/>
      <c r="Y35" s="55"/>
      <c r="Z35" s="55"/>
      <c r="AA35" s="55"/>
      <c r="AB35" s="55"/>
      <c r="AC35" s="63"/>
      <c r="AD35" s="63"/>
      <c r="AE35" s="63"/>
      <c r="AF35" s="63"/>
      <c r="AG35" s="63"/>
      <c r="AH35" s="63"/>
      <c r="AI35" s="63"/>
      <c r="AJ35" s="63"/>
      <c r="AK35" s="63"/>
      <c r="AL35" s="63"/>
    </row>
    <row r="36" ht="17.25" customHeight="1">
      <c r="A36" s="102"/>
      <c r="B36" s="87">
        <f>B29</f>
        <v>4087.096774</v>
      </c>
      <c r="C36" s="81">
        <v>0.013</v>
      </c>
      <c r="D36" s="97">
        <f>2*SQRT(C36*(1-C36)/B36)</f>
        <v>0.003543666048</v>
      </c>
      <c r="E36" s="58"/>
      <c r="F36" s="58"/>
      <c r="G36" s="77">
        <f>C36-D36</f>
        <v>0.009456333952</v>
      </c>
      <c r="H36" s="101">
        <f>D36+G36</f>
        <v>0.013</v>
      </c>
      <c r="I36" s="59"/>
      <c r="J36" s="59"/>
      <c r="K36" s="59"/>
      <c r="L36" s="59"/>
      <c r="M36" s="84"/>
      <c r="N36" s="61"/>
      <c r="O36" s="61"/>
      <c r="P36" s="61"/>
      <c r="Q36" s="57"/>
      <c r="R36" s="85"/>
      <c r="S36" s="62"/>
      <c r="T36" s="51"/>
      <c r="U36" s="51"/>
      <c r="V36" s="61"/>
      <c r="W36" s="61"/>
      <c r="X36" s="61"/>
      <c r="Y36" s="55"/>
      <c r="Z36" s="55"/>
      <c r="AA36" s="55"/>
      <c r="AB36" s="55"/>
      <c r="AC36" s="63"/>
      <c r="AD36" s="63"/>
      <c r="AE36" s="63"/>
      <c r="AF36" s="63"/>
      <c r="AG36" s="63"/>
      <c r="AH36" s="63"/>
      <c r="AI36" s="63"/>
      <c r="AJ36" s="63"/>
      <c r="AK36" s="63"/>
      <c r="AL36" s="63"/>
    </row>
    <row r="37" ht="17.25" customHeight="1">
      <c r="A37" s="102"/>
      <c r="B37" s="51"/>
      <c r="C37" s="88"/>
      <c r="D37" s="58"/>
      <c r="E37" s="58"/>
      <c r="F37" s="58"/>
      <c r="G37" s="47"/>
      <c r="H37" s="48"/>
      <c r="I37" s="59"/>
      <c r="J37" s="59"/>
      <c r="K37" s="59"/>
      <c r="L37" s="59"/>
      <c r="M37" s="84"/>
      <c r="N37" s="61"/>
      <c r="O37" s="61"/>
      <c r="P37" s="61"/>
      <c r="Q37" s="57"/>
      <c r="R37" s="85"/>
      <c r="S37" s="62"/>
      <c r="T37" s="51"/>
      <c r="U37" s="51"/>
      <c r="V37" s="61"/>
      <c r="W37" s="61"/>
      <c r="X37" s="61"/>
      <c r="Y37" s="55"/>
      <c r="Z37" s="55"/>
      <c r="AA37" s="55"/>
      <c r="AB37" s="55"/>
      <c r="AC37" s="63"/>
      <c r="AD37" s="63"/>
      <c r="AE37" s="63"/>
      <c r="AF37" s="63"/>
      <c r="AG37" s="63"/>
      <c r="AH37" s="63"/>
      <c r="AI37" s="63"/>
      <c r="AJ37" s="63"/>
      <c r="AK37" s="63"/>
      <c r="AL37" s="63"/>
    </row>
    <row r="38" ht="17.25" customHeight="1">
      <c r="A38" s="102"/>
      <c r="B38" s="51"/>
      <c r="C38" s="88"/>
      <c r="D38" s="58"/>
      <c r="E38" s="58"/>
      <c r="F38" s="58"/>
      <c r="G38" s="47"/>
      <c r="H38" s="48"/>
      <c r="I38" s="59"/>
      <c r="J38" s="59"/>
      <c r="K38" s="59"/>
      <c r="L38" s="59"/>
      <c r="M38" s="84"/>
      <c r="N38" s="61"/>
      <c r="O38" s="61"/>
      <c r="P38" s="61"/>
      <c r="Q38" s="57"/>
      <c r="R38" s="85"/>
      <c r="S38" s="62"/>
      <c r="T38" s="51"/>
      <c r="U38" s="51"/>
      <c r="V38" s="61"/>
      <c r="W38" s="61"/>
      <c r="X38" s="61"/>
      <c r="Y38" s="55"/>
      <c r="Z38" s="55"/>
      <c r="AA38" s="55"/>
      <c r="AB38" s="55"/>
      <c r="AC38" s="63"/>
      <c r="AD38" s="63"/>
      <c r="AE38" s="63"/>
      <c r="AF38" s="63"/>
      <c r="AG38" s="63"/>
      <c r="AH38" s="63"/>
      <c r="AI38" s="63"/>
      <c r="AJ38" s="63"/>
      <c r="AK38" s="63"/>
      <c r="AL38" s="63"/>
    </row>
    <row r="39" ht="17.25" customHeight="1">
      <c r="A39" s="105"/>
      <c r="B39" s="105"/>
      <c r="C39" s="106"/>
      <c r="D39" s="107"/>
      <c r="E39" s="107"/>
      <c r="F39" s="107"/>
      <c r="G39" s="108"/>
      <c r="H39" s="105"/>
      <c r="I39" s="105"/>
      <c r="J39" s="105"/>
      <c r="K39" s="55"/>
      <c r="L39" s="55"/>
      <c r="M39" s="105"/>
      <c r="N39" s="105"/>
      <c r="O39" s="55"/>
      <c r="P39" s="55"/>
      <c r="Q39" s="105"/>
      <c r="R39" s="108"/>
      <c r="S39" s="108"/>
      <c r="T39" s="55"/>
      <c r="U39" s="55"/>
      <c r="V39" s="108"/>
      <c r="W39" s="108"/>
      <c r="X39" s="108"/>
      <c r="Y39" s="55"/>
      <c r="Z39" s="55"/>
      <c r="AA39" s="55"/>
      <c r="AB39" s="55"/>
      <c r="AC39" s="63"/>
      <c r="AD39" s="63"/>
      <c r="AE39" s="63"/>
      <c r="AF39" s="63"/>
      <c r="AG39" s="63"/>
      <c r="AH39" s="63"/>
      <c r="AI39" s="63"/>
      <c r="AJ39" s="63"/>
      <c r="AK39" s="63"/>
      <c r="AL39" s="63"/>
    </row>
    <row r="40" ht="17.25" customHeight="1">
      <c r="A40" s="105"/>
      <c r="B40" s="105"/>
      <c r="C40" s="106"/>
      <c r="D40" s="107"/>
      <c r="E40" s="107"/>
      <c r="F40" s="107"/>
      <c r="G40" s="108"/>
      <c r="H40" s="105"/>
      <c r="I40" s="105"/>
      <c r="J40" s="105"/>
      <c r="K40" s="55"/>
      <c r="L40" s="55"/>
      <c r="M40" s="105"/>
      <c r="N40" s="105"/>
      <c r="O40" s="55"/>
      <c r="P40" s="55"/>
      <c r="Q40" s="105"/>
      <c r="R40" s="108"/>
      <c r="S40" s="108"/>
      <c r="T40" s="55"/>
      <c r="U40" s="55"/>
      <c r="V40" s="108"/>
      <c r="W40" s="108"/>
      <c r="X40" s="108"/>
      <c r="Y40" s="55"/>
      <c r="Z40" s="55"/>
      <c r="AA40" s="55"/>
      <c r="AB40" s="55"/>
      <c r="AC40" s="63"/>
      <c r="AD40" s="63"/>
      <c r="AE40" s="63"/>
      <c r="AF40" s="63"/>
      <c r="AG40" s="63"/>
      <c r="AH40" s="63"/>
      <c r="AI40" s="63"/>
      <c r="AJ40" s="63"/>
      <c r="AK40" s="63"/>
      <c r="AL40" s="63"/>
    </row>
    <row r="41" ht="17.25" customHeight="1">
      <c r="A41" s="105"/>
      <c r="B41" s="105"/>
      <c r="C41" s="106"/>
      <c r="D41" s="107"/>
      <c r="E41" s="107"/>
      <c r="F41" s="107"/>
      <c r="G41" s="108"/>
      <c r="H41" s="105"/>
      <c r="I41" s="105"/>
      <c r="J41" s="105"/>
      <c r="K41" s="55"/>
      <c r="L41" s="55"/>
      <c r="M41" s="105"/>
      <c r="N41" s="105"/>
      <c r="O41" s="55"/>
      <c r="P41" s="55"/>
      <c r="Q41" s="105"/>
      <c r="R41" s="108"/>
      <c r="S41" s="108"/>
      <c r="T41" s="55"/>
      <c r="U41" s="55"/>
      <c r="V41" s="108"/>
      <c r="W41" s="108"/>
      <c r="X41" s="108"/>
      <c r="Y41" s="55"/>
      <c r="Z41" s="55"/>
      <c r="AA41" s="55"/>
      <c r="AB41" s="55"/>
      <c r="AC41" s="63"/>
      <c r="AD41" s="63"/>
      <c r="AE41" s="63"/>
      <c r="AF41" s="63"/>
      <c r="AG41" s="63"/>
      <c r="AH41" s="63"/>
      <c r="AI41" s="63"/>
      <c r="AJ41" s="63"/>
      <c r="AK41" s="63"/>
      <c r="AL41" s="63"/>
    </row>
    <row r="42" ht="17.25" customHeight="1">
      <c r="A42" s="105"/>
      <c r="B42" s="105"/>
      <c r="C42" s="106"/>
      <c r="D42" s="107"/>
      <c r="E42" s="107"/>
      <c r="F42" s="107"/>
      <c r="G42" s="108"/>
      <c r="H42" s="105"/>
      <c r="I42" s="105"/>
      <c r="J42" s="105"/>
      <c r="K42" s="55"/>
      <c r="L42" s="55"/>
      <c r="M42" s="105"/>
      <c r="N42" s="105"/>
      <c r="O42" s="55"/>
      <c r="P42" s="55"/>
      <c r="Q42" s="105"/>
      <c r="R42" s="108"/>
      <c r="S42" s="108"/>
      <c r="T42" s="55"/>
      <c r="U42" s="55"/>
      <c r="V42" s="108"/>
      <c r="W42" s="108"/>
      <c r="X42" s="108"/>
      <c r="Y42" s="55"/>
      <c r="Z42" s="55"/>
      <c r="AA42" s="55"/>
      <c r="AB42" s="55"/>
      <c r="AC42" s="63"/>
      <c r="AD42" s="63"/>
      <c r="AE42" s="63"/>
      <c r="AF42" s="63"/>
      <c r="AG42" s="63"/>
      <c r="AH42" s="63"/>
      <c r="AI42" s="63"/>
      <c r="AJ42" s="63"/>
      <c r="AK42" s="63"/>
      <c r="AL42" s="63"/>
    </row>
    <row r="43" ht="17.25" customHeight="1">
      <c r="A43" s="105"/>
      <c r="B43" s="109"/>
      <c r="C43" s="106"/>
      <c r="D43" s="110"/>
      <c r="E43" s="107"/>
      <c r="F43" s="107"/>
      <c r="G43" s="108"/>
      <c r="H43" s="105"/>
      <c r="I43" s="105"/>
      <c r="J43" s="105"/>
      <c r="K43" s="55"/>
      <c r="L43" s="55"/>
      <c r="M43" s="105"/>
      <c r="N43" s="105"/>
      <c r="O43" s="55"/>
      <c r="P43" s="55"/>
      <c r="Q43" s="105"/>
      <c r="R43" s="108"/>
      <c r="S43" s="108"/>
      <c r="T43" s="55"/>
      <c r="U43" s="55"/>
      <c r="V43" s="108"/>
      <c r="W43" s="108"/>
      <c r="X43" s="108"/>
      <c r="Y43" s="55"/>
      <c r="Z43" s="55"/>
      <c r="AA43" s="55"/>
      <c r="AB43" s="55"/>
      <c r="AC43" s="63"/>
      <c r="AD43" s="63"/>
      <c r="AE43" s="63"/>
      <c r="AF43" s="63"/>
      <c r="AG43" s="63"/>
      <c r="AH43" s="63"/>
      <c r="AI43" s="63"/>
      <c r="AJ43" s="63"/>
      <c r="AK43" s="63"/>
      <c r="AL43" s="63"/>
    </row>
    <row r="44">
      <c r="A44" s="105"/>
      <c r="B44" s="105"/>
      <c r="C44" s="106"/>
      <c r="D44" s="107"/>
      <c r="E44" s="107"/>
      <c r="F44" s="107"/>
      <c r="G44" s="108"/>
      <c r="H44" s="105"/>
      <c r="I44" s="105"/>
      <c r="J44" s="105"/>
      <c r="K44" s="55"/>
      <c r="L44" s="55"/>
      <c r="M44" s="105"/>
      <c r="N44" s="105"/>
      <c r="O44" s="55"/>
      <c r="P44" s="55"/>
      <c r="Q44" s="105"/>
      <c r="R44" s="108"/>
      <c r="S44" s="108"/>
      <c r="T44" s="55"/>
      <c r="U44" s="55"/>
      <c r="V44" s="108"/>
      <c r="W44" s="108"/>
      <c r="X44" s="108"/>
      <c r="Y44" s="55"/>
      <c r="Z44" s="55"/>
      <c r="AA44" s="55"/>
      <c r="AB44" s="55"/>
      <c r="AC44" s="63"/>
      <c r="AD44" s="63"/>
      <c r="AE44" s="63"/>
      <c r="AF44" s="63"/>
      <c r="AG44" s="63"/>
      <c r="AH44" s="63"/>
      <c r="AI44" s="63"/>
      <c r="AJ44" s="63"/>
      <c r="AK44" s="63"/>
      <c r="AL44" s="63"/>
    </row>
    <row r="45">
      <c r="A45" s="105"/>
      <c r="B45" s="105"/>
      <c r="C45" s="106"/>
      <c r="D45" s="107"/>
      <c r="E45" s="107"/>
      <c r="F45" s="107"/>
      <c r="G45" s="108"/>
      <c r="H45" s="105"/>
      <c r="I45" s="105"/>
      <c r="J45" s="105"/>
      <c r="K45" s="55"/>
      <c r="L45" s="55"/>
      <c r="M45" s="105"/>
      <c r="N45" s="105"/>
      <c r="O45" s="55"/>
      <c r="P45" s="55"/>
      <c r="Q45" s="105"/>
      <c r="R45" s="108"/>
      <c r="S45" s="108"/>
      <c r="T45" s="55"/>
      <c r="U45" s="55"/>
      <c r="V45" s="108"/>
      <c r="W45" s="108"/>
      <c r="X45" s="108"/>
      <c r="Y45" s="55"/>
      <c r="Z45" s="55"/>
      <c r="AA45" s="55"/>
      <c r="AB45" s="55"/>
      <c r="AC45" s="63"/>
      <c r="AD45" s="63"/>
      <c r="AE45" s="63"/>
      <c r="AF45" s="63"/>
      <c r="AG45" s="63"/>
      <c r="AH45" s="63"/>
      <c r="AI45" s="63"/>
      <c r="AJ45" s="63"/>
      <c r="AK45" s="63"/>
      <c r="AL45" s="63"/>
    </row>
    <row r="46">
      <c r="A46" s="105"/>
      <c r="B46" s="105"/>
      <c r="C46" s="106"/>
      <c r="D46" s="107"/>
      <c r="E46" s="107"/>
      <c r="F46" s="107"/>
      <c r="G46" s="108"/>
      <c r="H46" s="105"/>
      <c r="I46" s="105"/>
      <c r="J46" s="105"/>
      <c r="K46" s="55"/>
      <c r="L46" s="55"/>
      <c r="M46" s="105"/>
      <c r="N46" s="105"/>
      <c r="O46" s="55"/>
      <c r="P46" s="55"/>
      <c r="Q46" s="105"/>
      <c r="R46" s="108"/>
      <c r="S46" s="108"/>
      <c r="T46" s="55"/>
      <c r="U46" s="55"/>
      <c r="V46" s="108"/>
      <c r="W46" s="108"/>
      <c r="X46" s="108"/>
      <c r="Y46" s="55"/>
      <c r="Z46" s="55"/>
      <c r="AA46" s="55"/>
      <c r="AB46" s="55"/>
      <c r="AC46" s="63"/>
      <c r="AD46" s="63"/>
      <c r="AE46" s="63"/>
      <c r="AF46" s="63"/>
      <c r="AG46" s="63"/>
      <c r="AH46" s="63"/>
      <c r="AI46" s="63"/>
      <c r="AJ46" s="63"/>
      <c r="AK46" s="63"/>
      <c r="AL46" s="63"/>
    </row>
    <row r="47">
      <c r="A47" s="105"/>
      <c r="B47" s="105"/>
      <c r="C47" s="106"/>
      <c r="D47" s="107"/>
      <c r="E47" s="107"/>
      <c r="F47" s="107"/>
      <c r="G47" s="108"/>
      <c r="H47" s="105"/>
      <c r="I47" s="105"/>
      <c r="J47" s="105"/>
      <c r="K47" s="55"/>
      <c r="L47" s="55"/>
      <c r="M47" s="105"/>
      <c r="N47" s="105"/>
      <c r="O47" s="55"/>
      <c r="P47" s="55"/>
      <c r="Q47" s="105"/>
      <c r="R47" s="108"/>
      <c r="S47" s="108"/>
      <c r="T47" s="55"/>
      <c r="U47" s="55"/>
      <c r="V47" s="108"/>
      <c r="W47" s="108"/>
      <c r="X47" s="108"/>
      <c r="Y47" s="55"/>
      <c r="Z47" s="55"/>
      <c r="AA47" s="55"/>
      <c r="AB47" s="55"/>
      <c r="AC47" s="63"/>
      <c r="AD47" s="63"/>
      <c r="AE47" s="63"/>
      <c r="AF47" s="63"/>
      <c r="AG47" s="63"/>
      <c r="AH47" s="63"/>
      <c r="AI47" s="63"/>
      <c r="AJ47" s="63"/>
      <c r="AK47" s="63"/>
      <c r="AL47" s="63"/>
    </row>
    <row r="48">
      <c r="A48" s="105"/>
      <c r="B48" s="105"/>
      <c r="C48" s="106"/>
      <c r="D48" s="107"/>
      <c r="E48" s="107"/>
      <c r="F48" s="107"/>
      <c r="G48" s="108"/>
      <c r="H48" s="105"/>
      <c r="I48" s="105"/>
      <c r="J48" s="105"/>
      <c r="K48" s="55"/>
      <c r="L48" s="55"/>
      <c r="M48" s="105"/>
      <c r="N48" s="105"/>
      <c r="O48" s="55"/>
      <c r="P48" s="55"/>
      <c r="Q48" s="105"/>
      <c r="R48" s="108"/>
      <c r="S48" s="108"/>
      <c r="T48" s="55"/>
      <c r="U48" s="55"/>
      <c r="V48" s="108"/>
      <c r="W48" s="108"/>
      <c r="X48" s="108"/>
      <c r="Y48" s="55"/>
      <c r="Z48" s="55"/>
      <c r="AA48" s="55"/>
      <c r="AB48" s="55"/>
      <c r="AC48" s="63"/>
      <c r="AD48" s="63"/>
      <c r="AE48" s="63"/>
      <c r="AF48" s="63"/>
      <c r="AG48" s="63"/>
      <c r="AH48" s="63"/>
      <c r="AI48" s="63"/>
      <c r="AJ48" s="63"/>
      <c r="AK48" s="63"/>
      <c r="AL48" s="63"/>
    </row>
    <row r="49">
      <c r="A49" s="105"/>
      <c r="B49" s="105"/>
      <c r="C49" s="106"/>
      <c r="D49" s="107"/>
      <c r="E49" s="107"/>
      <c r="F49" s="107"/>
      <c r="G49" s="108"/>
      <c r="H49" s="105"/>
      <c r="I49" s="105"/>
      <c r="J49" s="105"/>
      <c r="K49" s="55"/>
      <c r="L49" s="55"/>
      <c r="M49" s="105"/>
      <c r="N49" s="105"/>
      <c r="O49" s="55"/>
      <c r="P49" s="55"/>
      <c r="Q49" s="105"/>
      <c r="R49" s="108"/>
      <c r="S49" s="108"/>
      <c r="T49" s="55"/>
      <c r="U49" s="55"/>
      <c r="V49" s="108"/>
      <c r="W49" s="108"/>
      <c r="X49" s="108"/>
      <c r="Y49" s="55"/>
      <c r="Z49" s="55"/>
      <c r="AA49" s="55"/>
      <c r="AB49" s="55"/>
      <c r="AC49" s="63"/>
      <c r="AD49" s="63"/>
      <c r="AE49" s="63"/>
      <c r="AF49" s="63"/>
      <c r="AG49" s="63"/>
      <c r="AH49" s="63"/>
      <c r="AI49" s="63"/>
      <c r="AJ49" s="63"/>
      <c r="AK49" s="63"/>
      <c r="AL49" s="63"/>
    </row>
    <row r="50">
      <c r="A50" s="105"/>
      <c r="B50" s="105"/>
      <c r="C50" s="106"/>
      <c r="D50" s="107"/>
      <c r="E50" s="107"/>
      <c r="F50" s="107"/>
      <c r="G50" s="108"/>
      <c r="H50" s="105"/>
      <c r="I50" s="105"/>
      <c r="J50" s="105"/>
      <c r="K50" s="55"/>
      <c r="L50" s="55"/>
      <c r="M50" s="105"/>
      <c r="N50" s="105"/>
      <c r="O50" s="55"/>
      <c r="P50" s="55"/>
      <c r="Q50" s="105"/>
      <c r="R50" s="108"/>
      <c r="S50" s="108"/>
      <c r="T50" s="55"/>
      <c r="U50" s="55"/>
      <c r="V50" s="108"/>
      <c r="W50" s="108"/>
      <c r="X50" s="108"/>
      <c r="Y50" s="55"/>
      <c r="Z50" s="55"/>
      <c r="AA50" s="55"/>
      <c r="AB50" s="55"/>
      <c r="AC50" s="63"/>
      <c r="AD50" s="63"/>
      <c r="AE50" s="63"/>
      <c r="AF50" s="63"/>
      <c r="AG50" s="63"/>
      <c r="AH50" s="63"/>
      <c r="AI50" s="63"/>
      <c r="AJ50" s="63"/>
      <c r="AK50" s="63"/>
      <c r="AL50" s="63"/>
    </row>
    <row r="51">
      <c r="A51" s="105"/>
      <c r="B51" s="105"/>
      <c r="C51" s="106"/>
      <c r="D51" s="107"/>
      <c r="E51" s="107"/>
      <c r="F51" s="107"/>
      <c r="G51" s="108"/>
      <c r="H51" s="105"/>
      <c r="I51" s="105"/>
      <c r="J51" s="105"/>
      <c r="K51" s="55"/>
      <c r="L51" s="55"/>
      <c r="M51" s="105"/>
      <c r="N51" s="105"/>
      <c r="O51" s="55"/>
      <c r="P51" s="55"/>
      <c r="Q51" s="105"/>
      <c r="R51" s="108"/>
      <c r="S51" s="108"/>
      <c r="T51" s="55"/>
      <c r="U51" s="55"/>
      <c r="V51" s="108"/>
      <c r="W51" s="108"/>
      <c r="X51" s="108"/>
      <c r="Y51" s="55"/>
      <c r="Z51" s="55"/>
      <c r="AA51" s="55"/>
      <c r="AB51" s="55"/>
      <c r="AC51" s="63"/>
      <c r="AD51" s="63"/>
      <c r="AE51" s="63"/>
      <c r="AF51" s="63"/>
      <c r="AG51" s="63"/>
      <c r="AH51" s="63"/>
      <c r="AI51" s="63"/>
      <c r="AJ51" s="63"/>
      <c r="AK51" s="63"/>
      <c r="AL51" s="63"/>
    </row>
    <row r="52">
      <c r="A52" s="105"/>
      <c r="B52" s="105"/>
      <c r="C52" s="106"/>
      <c r="D52" s="107"/>
      <c r="E52" s="107"/>
      <c r="F52" s="107"/>
      <c r="G52" s="108"/>
      <c r="H52" s="105"/>
      <c r="I52" s="105"/>
      <c r="J52" s="105"/>
      <c r="K52" s="55"/>
      <c r="L52" s="55"/>
      <c r="M52" s="105"/>
      <c r="N52" s="105"/>
      <c r="O52" s="55"/>
      <c r="P52" s="55"/>
      <c r="Q52" s="105"/>
      <c r="R52" s="108"/>
      <c r="S52" s="108"/>
      <c r="T52" s="55"/>
      <c r="U52" s="55"/>
      <c r="V52" s="108"/>
      <c r="W52" s="108"/>
      <c r="X52" s="108"/>
      <c r="Y52" s="55"/>
      <c r="Z52" s="55"/>
      <c r="AA52" s="55"/>
      <c r="AB52" s="55"/>
      <c r="AC52" s="63"/>
      <c r="AD52" s="63"/>
      <c r="AE52" s="63"/>
      <c r="AF52" s="63"/>
      <c r="AG52" s="63"/>
      <c r="AH52" s="63"/>
      <c r="AI52" s="63"/>
      <c r="AJ52" s="63"/>
      <c r="AK52" s="63"/>
      <c r="AL52" s="63"/>
    </row>
    <row r="53">
      <c r="A53" s="105"/>
      <c r="B53" s="105"/>
      <c r="C53" s="106"/>
      <c r="D53" s="107"/>
      <c r="E53" s="107"/>
      <c r="F53" s="107"/>
      <c r="G53" s="108"/>
      <c r="H53" s="105"/>
      <c r="I53" s="105"/>
      <c r="J53" s="105"/>
      <c r="K53" s="55"/>
      <c r="L53" s="55"/>
      <c r="M53" s="105"/>
      <c r="N53" s="105"/>
      <c r="O53" s="55"/>
      <c r="P53" s="55"/>
      <c r="Q53" s="105"/>
      <c r="R53" s="108"/>
      <c r="S53" s="108"/>
      <c r="T53" s="55"/>
      <c r="U53" s="55"/>
      <c r="V53" s="108"/>
      <c r="W53" s="108"/>
      <c r="X53" s="108"/>
      <c r="Y53" s="55"/>
      <c r="Z53" s="55"/>
      <c r="AA53" s="55"/>
      <c r="AB53" s="55"/>
      <c r="AC53" s="63"/>
      <c r="AD53" s="63"/>
      <c r="AE53" s="63"/>
      <c r="AF53" s="63"/>
      <c r="AG53" s="63"/>
      <c r="AH53" s="63"/>
      <c r="AI53" s="63"/>
      <c r="AJ53" s="63"/>
      <c r="AK53" s="63"/>
      <c r="AL53" s="63"/>
    </row>
    <row r="54">
      <c r="A54" s="105"/>
      <c r="B54" s="105"/>
      <c r="C54" s="106"/>
      <c r="D54" s="107"/>
      <c r="E54" s="107"/>
      <c r="F54" s="107"/>
      <c r="G54" s="108"/>
      <c r="H54" s="105"/>
      <c r="I54" s="105"/>
      <c r="J54" s="105"/>
      <c r="K54" s="55"/>
      <c r="L54" s="55"/>
      <c r="M54" s="105"/>
      <c r="N54" s="105"/>
      <c r="O54" s="55"/>
      <c r="P54" s="55"/>
      <c r="Q54" s="105"/>
      <c r="R54" s="108"/>
      <c r="S54" s="108"/>
      <c r="T54" s="55"/>
      <c r="U54" s="55"/>
      <c r="V54" s="108"/>
      <c r="W54" s="108"/>
      <c r="X54" s="108"/>
      <c r="Y54" s="55"/>
      <c r="Z54" s="55"/>
      <c r="AA54" s="55"/>
      <c r="AB54" s="55"/>
      <c r="AC54" s="63"/>
      <c r="AD54" s="63"/>
      <c r="AE54" s="63"/>
      <c r="AF54" s="63"/>
      <c r="AG54" s="63"/>
      <c r="AH54" s="63"/>
      <c r="AI54" s="63"/>
      <c r="AJ54" s="63"/>
      <c r="AK54" s="63"/>
      <c r="AL54" s="63"/>
    </row>
    <row r="55">
      <c r="A55" s="105"/>
      <c r="B55" s="105"/>
      <c r="C55" s="106"/>
      <c r="D55" s="107"/>
      <c r="E55" s="107"/>
      <c r="F55" s="107"/>
      <c r="G55" s="108"/>
      <c r="H55" s="105"/>
      <c r="I55" s="105"/>
      <c r="J55" s="105"/>
      <c r="K55" s="55"/>
      <c r="L55" s="55"/>
      <c r="M55" s="105"/>
      <c r="N55" s="105"/>
      <c r="O55" s="55"/>
      <c r="P55" s="55"/>
      <c r="Q55" s="105"/>
      <c r="R55" s="108"/>
      <c r="S55" s="108"/>
      <c r="T55" s="55"/>
      <c r="U55" s="55"/>
      <c r="V55" s="108"/>
      <c r="W55" s="108"/>
      <c r="X55" s="108"/>
      <c r="Y55" s="55"/>
      <c r="Z55" s="55"/>
      <c r="AA55" s="55"/>
      <c r="AB55" s="55"/>
      <c r="AC55" s="63"/>
      <c r="AD55" s="63"/>
      <c r="AE55" s="63"/>
      <c r="AF55" s="63"/>
      <c r="AG55" s="63"/>
      <c r="AH55" s="63"/>
      <c r="AI55" s="63"/>
      <c r="AJ55" s="63"/>
      <c r="AK55" s="63"/>
      <c r="AL55" s="63"/>
    </row>
    <row r="56">
      <c r="A56" s="105"/>
      <c r="B56" s="105"/>
      <c r="C56" s="106"/>
      <c r="D56" s="107"/>
      <c r="E56" s="107"/>
      <c r="F56" s="107"/>
      <c r="G56" s="108"/>
      <c r="H56" s="105"/>
      <c r="I56" s="105"/>
      <c r="J56" s="105"/>
      <c r="K56" s="55"/>
      <c r="L56" s="55"/>
      <c r="M56" s="105"/>
      <c r="N56" s="105"/>
      <c r="O56" s="55"/>
      <c r="P56" s="55"/>
      <c r="Q56" s="105"/>
      <c r="R56" s="108"/>
      <c r="S56" s="108"/>
      <c r="T56" s="55"/>
      <c r="U56" s="55"/>
      <c r="V56" s="108"/>
      <c r="W56" s="108"/>
      <c r="X56" s="108"/>
      <c r="Y56" s="55"/>
      <c r="Z56" s="55"/>
      <c r="AA56" s="55"/>
      <c r="AB56" s="55"/>
      <c r="AC56" s="63"/>
      <c r="AD56" s="63"/>
      <c r="AE56" s="63"/>
      <c r="AF56" s="63"/>
      <c r="AG56" s="63"/>
      <c r="AH56" s="63"/>
      <c r="AI56" s="63"/>
      <c r="AJ56" s="63"/>
      <c r="AK56" s="63"/>
      <c r="AL56" s="63"/>
    </row>
    <row r="57">
      <c r="A57" s="61"/>
      <c r="B57" s="109"/>
      <c r="C57" s="109"/>
      <c r="D57" s="107"/>
      <c r="E57" s="107"/>
      <c r="F57" s="107"/>
      <c r="G57" s="108"/>
      <c r="H57" s="109"/>
      <c r="I57" s="109"/>
      <c r="J57" s="109"/>
      <c r="K57" s="55"/>
      <c r="L57" s="55"/>
      <c r="M57" s="109"/>
      <c r="N57" s="109"/>
      <c r="O57" s="55"/>
      <c r="P57" s="55"/>
      <c r="Q57" s="109"/>
      <c r="R57" s="108"/>
      <c r="S57" s="108"/>
      <c r="T57" s="96"/>
      <c r="U57" s="96"/>
      <c r="V57" s="111"/>
      <c r="W57" s="111"/>
      <c r="X57" s="111"/>
      <c r="Y57" s="55"/>
      <c r="Z57" s="55"/>
      <c r="AA57" s="55"/>
      <c r="AB57" s="96"/>
      <c r="AC57" s="61"/>
      <c r="AD57" s="61"/>
      <c r="AE57" s="61"/>
      <c r="AF57" s="61"/>
      <c r="AG57" s="61"/>
      <c r="AH57" s="61"/>
      <c r="AI57" s="61"/>
      <c r="AJ57" s="61"/>
      <c r="AK57" s="61"/>
      <c r="AL57" s="61"/>
    </row>
    <row r="58">
      <c r="A58" s="112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108"/>
      <c r="T58" s="55"/>
      <c r="U58" s="55"/>
      <c r="V58" s="105"/>
      <c r="W58" s="105"/>
      <c r="X58" s="105"/>
      <c r="Y58" s="55"/>
      <c r="Z58" s="55"/>
      <c r="AA58" s="55"/>
      <c r="AB58" s="55"/>
      <c r="AC58" s="63"/>
      <c r="AD58" s="63"/>
      <c r="AE58" s="63"/>
      <c r="AF58" s="63"/>
      <c r="AG58" s="63"/>
      <c r="AH58" s="63"/>
      <c r="AI58" s="63"/>
      <c r="AJ58" s="63"/>
      <c r="AK58" s="63"/>
      <c r="AL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</row>
    <row r="60">
      <c r="A60" s="63"/>
      <c r="B60" s="63"/>
      <c r="C60" s="63"/>
      <c r="D60" s="63"/>
      <c r="E60" s="63"/>
      <c r="F60" s="63"/>
      <c r="G60" s="63"/>
      <c r="H60" s="11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</row>
    <row r="61">
      <c r="A61" s="63"/>
      <c r="B61" s="113"/>
      <c r="C61" s="114"/>
      <c r="D61" s="63"/>
      <c r="E61" s="63"/>
      <c r="F61" s="63"/>
      <c r="G61" s="86"/>
      <c r="H61" s="114"/>
      <c r="I61" s="63"/>
      <c r="J61" s="63"/>
      <c r="K61" s="63"/>
      <c r="L61" s="63"/>
      <c r="M61" s="113"/>
      <c r="N61" s="63"/>
      <c r="O61" s="63"/>
      <c r="P61" s="63"/>
      <c r="Q61" s="63"/>
      <c r="R61" s="115"/>
      <c r="S61" s="63"/>
      <c r="T61" s="63"/>
      <c r="U61" s="63"/>
      <c r="V61" s="63"/>
      <c r="W61" s="63"/>
      <c r="X61" s="63"/>
      <c r="Y61" s="63"/>
      <c r="Z61" s="113"/>
      <c r="AA61" s="11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</row>
    <row r="62">
      <c r="A62" s="63"/>
      <c r="B62" s="113"/>
      <c r="C62" s="116"/>
      <c r="D62" s="113"/>
      <c r="E62" s="113"/>
      <c r="F62" s="113"/>
      <c r="G62" s="63"/>
      <c r="H62" s="113"/>
      <c r="I62" s="63"/>
      <c r="J62" s="63"/>
      <c r="K62" s="63"/>
      <c r="L62" s="63"/>
      <c r="M62" s="113"/>
      <c r="N62" s="63"/>
      <c r="O62" s="63"/>
      <c r="P62" s="63"/>
      <c r="Q62" s="63"/>
      <c r="R62" s="115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</row>
    <row r="63">
      <c r="A63" s="117"/>
      <c r="B63" s="113"/>
      <c r="C63" s="114"/>
      <c r="D63" s="113"/>
      <c r="E63" s="113"/>
      <c r="F63" s="113"/>
      <c r="G63" s="63"/>
      <c r="H63" s="113"/>
      <c r="I63" s="63"/>
      <c r="J63" s="63"/>
      <c r="K63" s="63"/>
      <c r="L63" s="63"/>
      <c r="M63" s="113"/>
      <c r="N63" s="63"/>
      <c r="O63" s="63"/>
      <c r="P63" s="63"/>
      <c r="Q63" s="63"/>
      <c r="R63" s="115"/>
      <c r="S63" s="63"/>
      <c r="T63" s="63"/>
      <c r="U63" s="63"/>
      <c r="V63" s="63"/>
      <c r="W63" s="63"/>
      <c r="X63" s="63"/>
      <c r="Y63" s="63"/>
      <c r="Z63" s="61"/>
      <c r="AA63" s="61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</row>
    <row r="64">
      <c r="A64" s="118"/>
      <c r="B64" s="119"/>
      <c r="C64" s="120"/>
      <c r="D64" s="121"/>
      <c r="E64" s="121"/>
      <c r="F64" s="121"/>
      <c r="G64" s="103"/>
      <c r="H64" s="103"/>
      <c r="I64" s="120"/>
      <c r="J64" s="120"/>
      <c r="K64" s="122"/>
      <c r="L64" s="122"/>
      <c r="M64" s="121"/>
      <c r="N64" s="121"/>
      <c r="O64" s="122"/>
      <c r="P64" s="122"/>
      <c r="Q64" s="121"/>
      <c r="R64" s="123"/>
      <c r="S64" s="122"/>
      <c r="T64" s="122"/>
      <c r="U64" s="122"/>
      <c r="V64" s="122"/>
      <c r="W64" s="122"/>
      <c r="X64" s="103"/>
      <c r="Y64" s="103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</row>
    <row r="65">
      <c r="A65" s="99"/>
      <c r="B65" s="124"/>
      <c r="C65" s="125"/>
      <c r="D65" s="113"/>
      <c r="E65" s="113"/>
      <c r="F65" s="113"/>
      <c r="G65" s="48"/>
      <c r="H65" s="48"/>
      <c r="I65" s="125"/>
      <c r="J65" s="125"/>
      <c r="K65" s="63"/>
      <c r="L65" s="63"/>
      <c r="M65" s="113"/>
      <c r="N65" s="113"/>
      <c r="O65" s="63"/>
      <c r="P65" s="63"/>
      <c r="Q65" s="113"/>
      <c r="R65" s="93"/>
      <c r="S65" s="63"/>
      <c r="T65" s="63"/>
      <c r="U65" s="63"/>
      <c r="V65" s="63"/>
      <c r="W65" s="63"/>
      <c r="X65" s="48"/>
      <c r="Y65" s="48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</row>
    <row r="66">
      <c r="A66" s="113"/>
      <c r="B66" s="124"/>
      <c r="C66" s="125"/>
      <c r="D66" s="113"/>
      <c r="E66" s="113"/>
      <c r="F66" s="113"/>
      <c r="G66" s="48"/>
      <c r="H66" s="48"/>
      <c r="I66" s="125"/>
      <c r="J66" s="125"/>
      <c r="K66" s="63"/>
      <c r="L66" s="63"/>
      <c r="M66" s="113"/>
      <c r="N66" s="63"/>
      <c r="O66" s="63"/>
      <c r="P66" s="63"/>
      <c r="Q66" s="63"/>
      <c r="R66" s="93"/>
      <c r="S66" s="63"/>
      <c r="T66" s="63"/>
      <c r="U66" s="63"/>
      <c r="V66" s="63"/>
      <c r="W66" s="63"/>
      <c r="X66" s="48"/>
      <c r="Y66" s="48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</row>
    <row r="67">
      <c r="A67" s="113"/>
      <c r="B67" s="124"/>
      <c r="C67" s="126"/>
      <c r="D67" s="113"/>
      <c r="E67" s="113"/>
      <c r="F67" s="113"/>
      <c r="G67" s="48"/>
      <c r="H67" s="48"/>
      <c r="I67" s="125"/>
      <c r="J67" s="125"/>
      <c r="K67" s="63"/>
      <c r="L67" s="63"/>
      <c r="M67" s="113"/>
      <c r="N67" s="63"/>
      <c r="O67" s="63"/>
      <c r="P67" s="63"/>
      <c r="Q67" s="63"/>
      <c r="R67" s="93"/>
      <c r="S67" s="63"/>
      <c r="T67" s="63"/>
      <c r="U67" s="63"/>
      <c r="V67" s="63"/>
      <c r="W67" s="63"/>
      <c r="X67" s="48"/>
      <c r="Y67" s="48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</row>
    <row r="68">
      <c r="A68" s="113"/>
      <c r="B68" s="124"/>
      <c r="C68" s="126"/>
      <c r="D68" s="113"/>
      <c r="E68" s="113"/>
      <c r="F68" s="113"/>
      <c r="G68" s="48"/>
      <c r="H68" s="48"/>
      <c r="I68" s="125"/>
      <c r="J68" s="125"/>
      <c r="K68" s="63"/>
      <c r="L68" s="63"/>
      <c r="M68" s="113"/>
      <c r="N68" s="63"/>
      <c r="O68" s="63"/>
      <c r="P68" s="63"/>
      <c r="Q68" s="63"/>
      <c r="R68" s="93"/>
      <c r="S68" s="63"/>
      <c r="T68" s="63"/>
      <c r="U68" s="63"/>
      <c r="V68" s="63"/>
      <c r="W68" s="63"/>
      <c r="X68" s="48"/>
      <c r="Y68" s="48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</row>
    <row r="69">
      <c r="A69" s="113"/>
      <c r="B69" s="61"/>
      <c r="C69" s="127"/>
      <c r="D69" s="113"/>
      <c r="E69" s="113"/>
      <c r="F69" s="113"/>
      <c r="G69" s="63"/>
      <c r="H69" s="48"/>
      <c r="I69" s="63"/>
      <c r="J69" s="63"/>
      <c r="K69" s="113"/>
      <c r="L69" s="113"/>
      <c r="M69" s="11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113"/>
      <c r="AA69" s="11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</row>
    <row r="70">
      <c r="A70" s="113"/>
      <c r="B70" s="63"/>
      <c r="C70" s="63"/>
      <c r="D70" s="113"/>
      <c r="E70" s="113"/>
      <c r="F70" s="113"/>
      <c r="G70" s="113"/>
      <c r="H70" s="113"/>
      <c r="I70" s="63"/>
      <c r="J70" s="63"/>
      <c r="K70" s="63"/>
      <c r="L70" s="63"/>
      <c r="M70" s="11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</row>
    <row r="71">
      <c r="A71" s="113"/>
      <c r="B71" s="63"/>
      <c r="C71" s="63"/>
      <c r="D71" s="113"/>
      <c r="E71" s="113"/>
      <c r="F71" s="113"/>
      <c r="G71" s="63"/>
      <c r="H71" s="128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129"/>
      <c r="W72" s="129"/>
      <c r="X72" s="129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</row>
    <row r="74">
      <c r="A74" s="63"/>
      <c r="B74" s="113"/>
      <c r="C74" s="114"/>
      <c r="D74" s="63"/>
      <c r="E74" s="63"/>
      <c r="F74" s="63"/>
      <c r="G74" s="63"/>
      <c r="H74" s="113"/>
      <c r="I74" s="63"/>
      <c r="J74" s="63"/>
      <c r="K74" s="63"/>
      <c r="L74" s="63"/>
      <c r="M74" s="11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</row>
    <row r="75">
      <c r="A75" s="63"/>
      <c r="B75" s="113"/>
      <c r="C75" s="114"/>
      <c r="D75" s="63"/>
      <c r="E75" s="63"/>
      <c r="F75" s="63"/>
      <c r="G75" s="63"/>
      <c r="H75" s="113"/>
      <c r="I75" s="63"/>
      <c r="J75" s="63"/>
      <c r="K75" s="63"/>
      <c r="L75" s="63"/>
      <c r="M75" s="11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</row>
    <row r="76">
      <c r="A76" s="63"/>
      <c r="B76" s="113"/>
      <c r="C76" s="114"/>
      <c r="D76" s="63"/>
      <c r="E76" s="63"/>
      <c r="F76" s="63"/>
      <c r="G76" s="63"/>
      <c r="H76" s="113"/>
      <c r="I76" s="63"/>
      <c r="J76" s="63"/>
      <c r="K76" s="114"/>
      <c r="L76" s="114"/>
      <c r="M76" s="11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11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</row>
    <row r="78">
      <c r="A78" s="63"/>
      <c r="B78" s="63"/>
      <c r="C78" s="114"/>
      <c r="D78" s="63"/>
      <c r="E78" s="63"/>
      <c r="F78" s="63"/>
      <c r="G78" s="61"/>
      <c r="H78" s="113"/>
      <c r="I78" s="114"/>
      <c r="J78" s="114"/>
      <c r="K78" s="63"/>
      <c r="L78" s="63"/>
      <c r="M78" s="11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</row>
    <row r="79">
      <c r="A79" s="63"/>
      <c r="B79" s="63"/>
      <c r="C79" s="114"/>
      <c r="D79" s="63"/>
      <c r="E79" s="63"/>
      <c r="F79" s="63"/>
      <c r="G79" s="61"/>
      <c r="H79" s="113"/>
      <c r="I79" s="63"/>
      <c r="J79" s="63"/>
      <c r="K79" s="113"/>
      <c r="L79" s="113"/>
      <c r="M79" s="11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</row>
    <row r="81">
      <c r="A81" s="63"/>
      <c r="B81" s="63"/>
      <c r="C81" s="114"/>
      <c r="D81" s="63"/>
      <c r="E81" s="63"/>
      <c r="F81" s="63"/>
      <c r="G81" s="63"/>
      <c r="H81" s="113"/>
      <c r="I81" s="63"/>
      <c r="J81" s="63"/>
      <c r="K81" s="63"/>
      <c r="L81" s="63"/>
      <c r="M81" s="11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</row>
    <row r="83">
      <c r="A83" s="113"/>
      <c r="B83" s="113"/>
      <c r="C83" s="114"/>
      <c r="D83" s="63"/>
      <c r="E83" s="63"/>
      <c r="F83" s="63"/>
      <c r="G83" s="63"/>
      <c r="H83" s="113"/>
      <c r="I83" s="63"/>
      <c r="J83" s="63"/>
      <c r="K83" s="63"/>
      <c r="L83" s="63"/>
      <c r="M83" s="11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</row>
    <row r="84">
      <c r="A84" s="113"/>
      <c r="B84" s="61"/>
      <c r="C84" s="61"/>
      <c r="D84" s="86"/>
      <c r="E84" s="86"/>
      <c r="F84" s="86"/>
      <c r="G84" s="63"/>
      <c r="H84" s="113"/>
      <c r="I84" s="63"/>
      <c r="J84" s="63"/>
      <c r="K84" s="63"/>
      <c r="L84" s="63"/>
      <c r="M84" s="11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1"/>
      <c r="AA84" s="61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</row>
    <row r="85">
      <c r="A85" s="113"/>
      <c r="B85" s="124"/>
      <c r="C85" s="114"/>
      <c r="D85" s="113"/>
      <c r="E85" s="113"/>
      <c r="F85" s="113"/>
      <c r="G85" s="63"/>
      <c r="H85" s="63"/>
      <c r="I85" s="63"/>
      <c r="J85" s="63"/>
      <c r="K85" s="63"/>
      <c r="L85" s="63"/>
      <c r="M85" s="63"/>
      <c r="N85" s="130"/>
      <c r="O85" s="63"/>
      <c r="P85" s="63"/>
      <c r="Q85" s="130"/>
      <c r="R85" s="63"/>
      <c r="S85" s="63"/>
      <c r="T85" s="63"/>
      <c r="U85" s="63"/>
      <c r="V85" s="63"/>
      <c r="W85" s="63"/>
      <c r="X85" s="63"/>
      <c r="Y85" s="63"/>
      <c r="Z85" s="113"/>
      <c r="AA85" s="11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</row>
    <row r="88">
      <c r="A88" s="113"/>
      <c r="B88" s="113"/>
      <c r="C88" s="114"/>
      <c r="D88" s="63"/>
      <c r="E88" s="63"/>
      <c r="F88" s="63"/>
      <c r="G88" s="63"/>
      <c r="H88" s="113"/>
      <c r="I88" s="63"/>
      <c r="J88" s="63"/>
      <c r="K88" s="63"/>
      <c r="L88" s="63"/>
      <c r="M88" s="11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</row>
    <row r="89">
      <c r="A89" s="63"/>
      <c r="B89" s="113"/>
      <c r="C89" s="114"/>
      <c r="D89" s="63"/>
      <c r="E89" s="63"/>
      <c r="F89" s="63"/>
      <c r="G89" s="11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113"/>
      <c r="AA89" s="11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</row>
    <row r="90">
      <c r="A90" s="63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</row>
    <row r="93">
      <c r="A93" s="113"/>
      <c r="B93" s="115"/>
      <c r="C93" s="114"/>
      <c r="D93" s="113"/>
      <c r="E93" s="113"/>
      <c r="F93" s="113"/>
      <c r="G93" s="63"/>
      <c r="H93" s="113"/>
      <c r="I93" s="114"/>
      <c r="J93" s="114"/>
      <c r="K93" s="63"/>
      <c r="L93" s="63"/>
      <c r="M93" s="113"/>
      <c r="N93" s="63"/>
      <c r="O93" s="63"/>
      <c r="P93" s="63"/>
      <c r="Q93" s="11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</row>
    <row r="94">
      <c r="A94" s="113"/>
      <c r="B94" s="63"/>
      <c r="C94" s="63"/>
      <c r="D94" s="113"/>
      <c r="E94" s="113"/>
      <c r="F94" s="113"/>
      <c r="G94" s="63"/>
      <c r="H94" s="113"/>
      <c r="I94" s="114"/>
      <c r="J94" s="114"/>
      <c r="K94" s="63"/>
      <c r="L94" s="63"/>
      <c r="M94" s="11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122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</row>
    <row r="97">
      <c r="A97" s="63"/>
      <c r="B97" s="115"/>
      <c r="C97" s="114"/>
      <c r="D97" s="131"/>
      <c r="E97" s="131"/>
      <c r="F97" s="131"/>
      <c r="G97" s="63"/>
      <c r="H97" s="113"/>
      <c r="I97" s="114"/>
      <c r="J97" s="114"/>
      <c r="K97" s="63"/>
      <c r="L97" s="63"/>
      <c r="M97" s="113"/>
      <c r="N97" s="113"/>
      <c r="O97" s="63"/>
      <c r="P97" s="63"/>
      <c r="Q97" s="113"/>
      <c r="R97" s="63"/>
      <c r="S97" s="63"/>
      <c r="T97" s="63"/>
      <c r="U97" s="63"/>
      <c r="V97" s="63"/>
      <c r="W97" s="63"/>
      <c r="X97" s="63"/>
      <c r="Y97" s="63"/>
      <c r="Z97" s="115"/>
      <c r="AA97" s="115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</row>
    <row r="881" ht="17.25" customHeight="1">
      <c r="A881" s="76" t="s">
        <v>69</v>
      </c>
      <c r="B881" s="44">
        <v>36812.0</v>
      </c>
      <c r="C881" s="81">
        <v>0.017</v>
      </c>
      <c r="D881" s="58">
        <f>C881*B881</f>
        <v>625.804</v>
      </c>
      <c r="E881" s="46">
        <f>M881*D881</f>
        <v>750.9648</v>
      </c>
      <c r="F881" s="46"/>
      <c r="G881" s="47">
        <f>H881*J881*M881</f>
        <v>720</v>
      </c>
      <c r="H881" s="48">
        <v>3000.0</v>
      </c>
      <c r="I881" s="49"/>
      <c r="J881" s="49">
        <v>0.2</v>
      </c>
      <c r="K881" s="59"/>
      <c r="L881" s="59"/>
      <c r="M881" s="60">
        <v>1.2</v>
      </c>
      <c r="N881" s="47">
        <f>Z881/D881</f>
        <v>639.1777617</v>
      </c>
      <c r="O881" s="61"/>
      <c r="P881" s="61"/>
      <c r="Q881" s="48">
        <v>11.0</v>
      </c>
      <c r="R881" s="48">
        <f>C881*G881</f>
        <v>12.24</v>
      </c>
      <c r="S881" s="62"/>
      <c r="T881" s="51"/>
      <c r="U881" s="51"/>
      <c r="V881" s="48"/>
      <c r="W881" s="48">
        <f>Y881-Z881</f>
        <v>50578.88</v>
      </c>
      <c r="X881" s="48">
        <f>H881*E881</f>
        <v>2252894.4</v>
      </c>
      <c r="Y881" s="48">
        <f>G881*D881</f>
        <v>450578.88</v>
      </c>
      <c r="Z881" s="48">
        <v>400000.0</v>
      </c>
      <c r="AA881" s="48"/>
      <c r="AB881" s="55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</row>
    <row r="882" ht="17.25" customHeight="1">
      <c r="A882" s="102"/>
      <c r="B882" s="58"/>
      <c r="C882" s="88"/>
      <c r="D882" s="58"/>
      <c r="E882" s="58"/>
      <c r="F882" s="58"/>
      <c r="G882" s="47"/>
      <c r="H882" s="48"/>
      <c r="I882" s="59"/>
      <c r="J882" s="59"/>
      <c r="K882" s="59"/>
      <c r="L882" s="59"/>
      <c r="M882" s="84"/>
      <c r="N882" s="61"/>
      <c r="O882" s="61"/>
      <c r="P882" s="61"/>
      <c r="Q882" s="48"/>
      <c r="R882" s="85"/>
      <c r="S882" s="62"/>
      <c r="T882" s="51"/>
      <c r="U882" s="51"/>
      <c r="V882" s="48"/>
      <c r="W882" s="48"/>
      <c r="X882" s="48"/>
      <c r="Y882" s="55"/>
      <c r="Z882" s="55"/>
      <c r="AA882" s="55"/>
      <c r="AB882" s="55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</row>
    <row r="883" ht="17.25" hidden="1" customHeight="1">
      <c r="A883" s="132" t="s">
        <v>70</v>
      </c>
      <c r="B883" s="44">
        <f>B881</f>
        <v>36812</v>
      </c>
      <c r="C883" s="81">
        <f>C881+0.5%</f>
        <v>0.022</v>
      </c>
      <c r="D883" s="58">
        <f>C883*B883</f>
        <v>809.864</v>
      </c>
      <c r="E883" s="46">
        <f>D883*M883</f>
        <v>971.8368</v>
      </c>
      <c r="F883" s="46"/>
      <c r="G883" s="47">
        <f>H883*J883*M883</f>
        <v>720</v>
      </c>
      <c r="H883" s="48">
        <v>3000.0</v>
      </c>
      <c r="I883" s="49"/>
      <c r="J883" s="49">
        <v>0.2</v>
      </c>
      <c r="K883" s="59"/>
      <c r="L883" s="59"/>
      <c r="M883" s="60">
        <f>M881</f>
        <v>1.2</v>
      </c>
      <c r="N883" s="61"/>
      <c r="O883" s="61"/>
      <c r="P883" s="61"/>
      <c r="Q883" s="48">
        <f>Z883/B883</f>
        <v>10.86602195</v>
      </c>
      <c r="R883" s="48">
        <f>C883*G883</f>
        <v>15.84</v>
      </c>
      <c r="S883" s="62"/>
      <c r="T883" s="51"/>
      <c r="U883" s="51"/>
      <c r="V883" s="48"/>
      <c r="W883" s="48">
        <f>Y883-Z883</f>
        <v>183102.08</v>
      </c>
      <c r="X883" s="48">
        <f>H883*E883</f>
        <v>2915510.4</v>
      </c>
      <c r="Y883" s="48">
        <f>D883*G883</f>
        <v>583102.08</v>
      </c>
      <c r="Z883" s="133">
        <f>Z881</f>
        <v>400000</v>
      </c>
      <c r="AA883" s="55"/>
      <c r="AB883" s="55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</row>
    <row r="884" ht="17.25" hidden="1" customHeight="1">
      <c r="A884" s="102"/>
      <c r="B884" s="57"/>
      <c r="C884" s="81"/>
      <c r="D884" s="58"/>
      <c r="E884" s="58"/>
      <c r="F884" s="58"/>
      <c r="G884" s="47"/>
      <c r="H884" s="48"/>
      <c r="I884" s="48"/>
      <c r="J884" s="48"/>
      <c r="K884" s="59"/>
      <c r="L884" s="59"/>
      <c r="M884" s="84"/>
      <c r="N884" s="61"/>
      <c r="O884" s="61"/>
      <c r="P884" s="61"/>
      <c r="Q884" s="48"/>
      <c r="R884" s="85"/>
      <c r="S884" s="62"/>
      <c r="T884" s="51"/>
      <c r="U884" s="51"/>
      <c r="V884" s="48"/>
      <c r="W884" s="48"/>
      <c r="X884" s="48"/>
      <c r="Y884" s="133">
        <f>Y883-Y881</f>
        <v>132523.2</v>
      </c>
      <c r="Z884" s="55"/>
      <c r="AA884" s="55"/>
      <c r="AB884" s="55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</row>
    <row r="885" ht="17.25" hidden="1" customHeight="1">
      <c r="A885" s="102"/>
      <c r="B885" s="57"/>
      <c r="C885" s="81"/>
      <c r="D885" s="58"/>
      <c r="E885" s="58"/>
      <c r="F885" s="58"/>
      <c r="G885" s="47"/>
      <c r="H885" s="48"/>
      <c r="I885" s="48"/>
      <c r="J885" s="48"/>
      <c r="K885" s="59"/>
      <c r="L885" s="59"/>
      <c r="M885" s="84"/>
      <c r="N885" s="61"/>
      <c r="O885" s="61"/>
      <c r="P885" s="61"/>
      <c r="Q885" s="48"/>
      <c r="R885" s="85"/>
      <c r="S885" s="62"/>
      <c r="T885" s="51"/>
      <c r="U885" s="51"/>
      <c r="V885" s="48"/>
      <c r="W885" s="48"/>
      <c r="X885" s="48"/>
      <c r="Y885" s="55"/>
      <c r="Z885" s="55"/>
      <c r="AA885" s="55"/>
      <c r="AB885" s="55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</row>
    <row r="886" ht="17.25" hidden="1" customHeight="1">
      <c r="A886" s="132" t="s">
        <v>71</v>
      </c>
      <c r="B886" s="57">
        <v>36812.0</v>
      </c>
      <c r="C886" s="81">
        <v>0.017</v>
      </c>
      <c r="D886" s="58">
        <f t="shared" ref="D886:D887" si="10">C886*B886</f>
        <v>625.804</v>
      </c>
      <c r="E886" s="46">
        <v>758.0</v>
      </c>
      <c r="F886" s="46"/>
      <c r="G886" s="47">
        <f t="shared" ref="G886:G887" si="11">H886*J886*M886</f>
        <v>726.7451151</v>
      </c>
      <c r="H886" s="48">
        <v>3000.0</v>
      </c>
      <c r="I886" s="49"/>
      <c r="J886" s="49">
        <v>0.2</v>
      </c>
      <c r="K886" s="59"/>
      <c r="L886" s="59"/>
      <c r="M886" s="60">
        <f t="shared" ref="M886:M887" si="12">E886/D886</f>
        <v>1.211241858</v>
      </c>
      <c r="N886" s="47">
        <f t="shared" ref="N886:N887" si="13">Z886/D886</f>
        <v>423.5294118</v>
      </c>
      <c r="O886" s="61"/>
      <c r="P886" s="61"/>
      <c r="Q886" s="134">
        <v>7.2</v>
      </c>
      <c r="R886" s="48">
        <f t="shared" ref="R886:R887" si="14">C886*G886</f>
        <v>12.35466696</v>
      </c>
      <c r="S886" s="62"/>
      <c r="T886" s="51"/>
      <c r="U886" s="51"/>
      <c r="V886" s="48"/>
      <c r="W886" s="48">
        <f t="shared" ref="W886:W887" si="15">Y886-Z886</f>
        <v>189753.6</v>
      </c>
      <c r="X886" s="48">
        <f t="shared" ref="X886:X887" si="16">H886*E886</f>
        <v>2274000</v>
      </c>
      <c r="Y886" s="48">
        <f t="shared" ref="Y886:Y887" si="17">D886*G886</f>
        <v>454800</v>
      </c>
      <c r="Z886" s="48">
        <f t="shared" ref="Z886:Z887" si="18">Q886*B886</f>
        <v>265046.4</v>
      </c>
      <c r="AA886" s="48"/>
      <c r="AB886" s="55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</row>
    <row r="887" ht="17.25" hidden="1" customHeight="1">
      <c r="A887" s="132" t="s">
        <v>72</v>
      </c>
      <c r="B887" s="57">
        <v>36812.0</v>
      </c>
      <c r="C887" s="81">
        <v>0.017</v>
      </c>
      <c r="D887" s="58">
        <f t="shared" si="10"/>
        <v>625.804</v>
      </c>
      <c r="E887" s="46">
        <v>758.0</v>
      </c>
      <c r="F887" s="46"/>
      <c r="G887" s="47">
        <f t="shared" si="11"/>
        <v>1090.117673</v>
      </c>
      <c r="H887" s="48">
        <v>3000.0</v>
      </c>
      <c r="I887" s="135"/>
      <c r="J887" s="135">
        <v>0.3</v>
      </c>
      <c r="K887" s="59"/>
      <c r="L887" s="59"/>
      <c r="M887" s="60">
        <f t="shared" si="12"/>
        <v>1.211241858</v>
      </c>
      <c r="N887" s="47">
        <f t="shared" si="13"/>
        <v>639.1777617</v>
      </c>
      <c r="O887" s="61"/>
      <c r="P887" s="61"/>
      <c r="Q887" s="52">
        <f>Q883</f>
        <v>10.86602195</v>
      </c>
      <c r="R887" s="48">
        <f t="shared" si="14"/>
        <v>18.53200043</v>
      </c>
      <c r="S887" s="62"/>
      <c r="T887" s="51"/>
      <c r="U887" s="51"/>
      <c r="V887" s="48"/>
      <c r="W887" s="48">
        <f t="shared" si="15"/>
        <v>282200</v>
      </c>
      <c r="X887" s="48">
        <f t="shared" si="16"/>
        <v>2274000</v>
      </c>
      <c r="Y887" s="48">
        <f t="shared" si="17"/>
        <v>682200</v>
      </c>
      <c r="Z887" s="48">
        <f t="shared" si="18"/>
        <v>400000</v>
      </c>
      <c r="AA887" s="48"/>
      <c r="AB887" s="55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</row>
    <row r="888" ht="17.25" hidden="1" customHeight="1">
      <c r="A888" s="102"/>
      <c r="B888" s="51"/>
      <c r="C888" s="88"/>
      <c r="D888" s="46"/>
      <c r="E888" s="46"/>
      <c r="F888" s="46"/>
      <c r="G888" s="47"/>
      <c r="H888" s="48"/>
      <c r="I888" s="49"/>
      <c r="J888" s="49"/>
      <c r="K888" s="48"/>
      <c r="L888" s="48"/>
      <c r="M888" s="84"/>
      <c r="N888" s="61"/>
      <c r="O888" s="61"/>
      <c r="P888" s="61"/>
      <c r="Q888" s="57"/>
      <c r="R888" s="85"/>
      <c r="S888" s="62"/>
      <c r="T888" s="51"/>
      <c r="U888" s="51"/>
      <c r="V888" s="61"/>
      <c r="W888" s="61"/>
      <c r="X888" s="61"/>
      <c r="Y888" s="55"/>
      <c r="Z888" s="55"/>
      <c r="AA888" s="55"/>
      <c r="AB888" s="55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</row>
    <row r="889" ht="17.25" hidden="1" customHeight="1">
      <c r="A889" s="132" t="s">
        <v>73</v>
      </c>
      <c r="B889" s="57">
        <f>B887</f>
        <v>36812</v>
      </c>
      <c r="C889" s="81">
        <v>0.02</v>
      </c>
      <c r="D889" s="58">
        <f>C889*B889</f>
        <v>736.24</v>
      </c>
      <c r="E889" s="46">
        <f>M889*D889</f>
        <v>883.488</v>
      </c>
      <c r="F889" s="46"/>
      <c r="G889" s="47">
        <f>H889*J889*M889</f>
        <v>1080</v>
      </c>
      <c r="H889" s="48">
        <v>3000.0</v>
      </c>
      <c r="I889" s="135"/>
      <c r="J889" s="135">
        <v>0.3</v>
      </c>
      <c r="K889" s="59"/>
      <c r="L889" s="59"/>
      <c r="M889" s="60">
        <v>1.2</v>
      </c>
      <c r="N889" s="47">
        <f>Z889/D889</f>
        <v>543.3010975</v>
      </c>
      <c r="O889" s="61"/>
      <c r="P889" s="61"/>
      <c r="Q889" s="52">
        <f>Z889/B889</f>
        <v>10.86602195</v>
      </c>
      <c r="R889" s="48">
        <f>C889*G889</f>
        <v>21.6</v>
      </c>
      <c r="S889" s="62"/>
      <c r="T889" s="51"/>
      <c r="U889" s="51"/>
      <c r="V889" s="48"/>
      <c r="W889" s="48">
        <f>Y889-Z889</f>
        <v>395139.2</v>
      </c>
      <c r="X889" s="48">
        <f>H889*E889</f>
        <v>2650464</v>
      </c>
      <c r="Y889" s="48">
        <f>D889*G889</f>
        <v>795139.2</v>
      </c>
      <c r="Z889" s="48">
        <f>Z887</f>
        <v>400000</v>
      </c>
      <c r="AA889" s="48"/>
      <c r="AB889" s="55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</row>
    <row r="890" ht="17.25" hidden="1" customHeight="1">
      <c r="A890" s="136"/>
      <c r="B890" s="51"/>
      <c r="C890" s="88"/>
      <c r="D890" s="58"/>
      <c r="E890" s="58"/>
      <c r="F890" s="58"/>
      <c r="G890" s="47"/>
      <c r="H890" s="48"/>
      <c r="I890" s="59"/>
      <c r="J890" s="59"/>
      <c r="K890" s="59"/>
      <c r="L890" s="59"/>
      <c r="M890" s="84"/>
      <c r="N890" s="61"/>
      <c r="O890" s="61"/>
      <c r="P890" s="61"/>
      <c r="Q890" s="57"/>
      <c r="R890" s="85"/>
      <c r="S890" s="62"/>
      <c r="T890" s="51"/>
      <c r="U890" s="51"/>
      <c r="V890" s="61"/>
      <c r="W890" s="61"/>
      <c r="X890" s="61"/>
      <c r="Y890" s="55"/>
      <c r="Z890" s="55"/>
      <c r="AA890" s="55"/>
      <c r="AB890" s="55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</row>
    <row r="891" ht="17.25" hidden="1" customHeight="1">
      <c r="A891" s="137" t="s">
        <v>74</v>
      </c>
      <c r="B891" s="138">
        <v>60000.0</v>
      </c>
      <c r="C891" s="139">
        <v>0.02</v>
      </c>
      <c r="D891" s="140">
        <f t="shared" ref="D891:D894" si="19">C891*B891</f>
        <v>1200</v>
      </c>
      <c r="E891" s="141">
        <f t="shared" ref="E891:E894" si="20">M891*D891</f>
        <v>1440</v>
      </c>
      <c r="F891" s="141"/>
      <c r="G891" s="142">
        <f t="shared" ref="G891:G894" si="21">H891*J891*M891</f>
        <v>1080</v>
      </c>
      <c r="H891" s="143">
        <v>3000.0</v>
      </c>
      <c r="I891" s="144"/>
      <c r="J891" s="144">
        <v>0.3</v>
      </c>
      <c r="K891" s="145"/>
      <c r="L891" s="145"/>
      <c r="M891" s="146">
        <v>1.2</v>
      </c>
      <c r="N891" s="142">
        <f t="shared" ref="N891:N894" si="22">Z891/D891</f>
        <v>550</v>
      </c>
      <c r="O891" s="147"/>
      <c r="P891" s="147"/>
      <c r="Q891" s="148">
        <v>11.0</v>
      </c>
      <c r="R891" s="143">
        <f t="shared" ref="R891:R894" si="23">C891*G891</f>
        <v>21.6</v>
      </c>
      <c r="S891" s="149"/>
      <c r="T891" s="150"/>
      <c r="U891" s="150"/>
      <c r="V891" s="143"/>
      <c r="W891" s="143">
        <f t="shared" ref="W891:W894" si="24">Y891-Z891</f>
        <v>636000</v>
      </c>
      <c r="X891" s="143">
        <f t="shared" ref="X891:X894" si="25">H891*E891</f>
        <v>4320000</v>
      </c>
      <c r="Y891" s="143">
        <f>D891*G891</f>
        <v>1296000</v>
      </c>
      <c r="Z891" s="143">
        <f>Q891*B891</f>
        <v>660000</v>
      </c>
      <c r="AA891" s="143"/>
      <c r="AB891" s="151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</row>
    <row r="892" ht="17.25" customHeight="1">
      <c r="A892" s="153" t="s">
        <v>75</v>
      </c>
      <c r="B892" s="44">
        <v>36812.0</v>
      </c>
      <c r="C892" s="154">
        <f>1.7%+0.5%</f>
        <v>0.022</v>
      </c>
      <c r="D892" s="58">
        <f t="shared" si="19"/>
        <v>809.864</v>
      </c>
      <c r="E892" s="46">
        <f t="shared" si="20"/>
        <v>971.8368</v>
      </c>
      <c r="F892" s="46"/>
      <c r="G892" s="47">
        <f t="shared" si="21"/>
        <v>720</v>
      </c>
      <c r="H892" s="48">
        <v>3000.0</v>
      </c>
      <c r="I892" s="49"/>
      <c r="J892" s="49">
        <v>0.2</v>
      </c>
      <c r="K892" s="59"/>
      <c r="L892" s="59"/>
      <c r="M892" s="60">
        <f>M881</f>
        <v>1.2</v>
      </c>
      <c r="N892" s="47">
        <f t="shared" si="22"/>
        <v>493.9100886</v>
      </c>
      <c r="O892" s="61"/>
      <c r="P892" s="61"/>
      <c r="Q892" s="48">
        <f t="shared" ref="Q892:Q893" si="26">Z892/B892</f>
        <v>10.86602195</v>
      </c>
      <c r="R892" s="48">
        <f t="shared" si="23"/>
        <v>15.84</v>
      </c>
      <c r="S892" s="62"/>
      <c r="T892" s="51"/>
      <c r="U892" s="51"/>
      <c r="V892" s="48"/>
      <c r="W892" s="48">
        <f t="shared" si="24"/>
        <v>183102.08</v>
      </c>
      <c r="X892" s="48">
        <f t="shared" si="25"/>
        <v>2915510.4</v>
      </c>
      <c r="Y892" s="48">
        <f t="shared" ref="Y892:Y894" si="27">G892*D892</f>
        <v>583102.08</v>
      </c>
      <c r="Z892" s="48">
        <v>400000.0</v>
      </c>
      <c r="AA892" s="48"/>
      <c r="AB892" s="55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</row>
    <row r="893" ht="17.25" customHeight="1">
      <c r="A893" s="155"/>
      <c r="B893" s="44">
        <v>36812.0</v>
      </c>
      <c r="C893" s="81">
        <v>0.017</v>
      </c>
      <c r="D893" s="58">
        <f t="shared" si="19"/>
        <v>625.804</v>
      </c>
      <c r="E893" s="46">
        <f t="shared" si="20"/>
        <v>750.9648</v>
      </c>
      <c r="F893" s="46"/>
      <c r="G893" s="47">
        <f t="shared" si="21"/>
        <v>936</v>
      </c>
      <c r="H893" s="156">
        <v>3900.0</v>
      </c>
      <c r="I893" s="49"/>
      <c r="J893" s="49">
        <v>0.2</v>
      </c>
      <c r="K893" s="59"/>
      <c r="L893" s="59"/>
      <c r="M893" s="60">
        <v>1.2</v>
      </c>
      <c r="N893" s="47">
        <f t="shared" si="22"/>
        <v>639.1777617</v>
      </c>
      <c r="O893" s="61"/>
      <c r="P893" s="61"/>
      <c r="Q893" s="48">
        <f t="shared" si="26"/>
        <v>10.86602195</v>
      </c>
      <c r="R893" s="48">
        <f t="shared" si="23"/>
        <v>15.912</v>
      </c>
      <c r="S893" s="62"/>
      <c r="T893" s="51"/>
      <c r="U893" s="51"/>
      <c r="V893" s="48"/>
      <c r="W893" s="48">
        <f t="shared" si="24"/>
        <v>185752.544</v>
      </c>
      <c r="X893" s="48">
        <f t="shared" si="25"/>
        <v>2928762.72</v>
      </c>
      <c r="Y893" s="48">
        <f t="shared" si="27"/>
        <v>585752.544</v>
      </c>
      <c r="Z893" s="48">
        <v>400000.0</v>
      </c>
      <c r="AA893" s="48"/>
      <c r="AB893" s="55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</row>
    <row r="894" ht="17.25" customHeight="1">
      <c r="A894" s="155"/>
      <c r="B894" s="44">
        <v>36812.0</v>
      </c>
      <c r="C894" s="81">
        <v>0.017</v>
      </c>
      <c r="D894" s="58">
        <f t="shared" si="19"/>
        <v>625.804</v>
      </c>
      <c r="E894" s="46">
        <f t="shared" si="20"/>
        <v>750.9648</v>
      </c>
      <c r="F894" s="46"/>
      <c r="G894" s="47">
        <f t="shared" si="21"/>
        <v>720</v>
      </c>
      <c r="H894" s="48">
        <v>3000.0</v>
      </c>
      <c r="I894" s="49"/>
      <c r="J894" s="49">
        <v>0.2</v>
      </c>
      <c r="K894" s="59"/>
      <c r="L894" s="59"/>
      <c r="M894" s="60">
        <v>1.2</v>
      </c>
      <c r="N894" s="47">
        <f t="shared" si="22"/>
        <v>411.7647059</v>
      </c>
      <c r="O894" s="61"/>
      <c r="P894" s="61"/>
      <c r="Q894" s="156">
        <v>7.0</v>
      </c>
      <c r="R894" s="48">
        <f t="shared" si="23"/>
        <v>12.24</v>
      </c>
      <c r="S894" s="62"/>
      <c r="T894" s="51"/>
      <c r="U894" s="51"/>
      <c r="V894" s="48"/>
      <c r="W894" s="48">
        <f t="shared" si="24"/>
        <v>192894.88</v>
      </c>
      <c r="X894" s="48">
        <f t="shared" si="25"/>
        <v>2252894.4</v>
      </c>
      <c r="Y894" s="48">
        <f t="shared" si="27"/>
        <v>450578.88</v>
      </c>
      <c r="Z894" s="48">
        <f>Q894*B894</f>
        <v>257684</v>
      </c>
      <c r="AA894" s="48"/>
      <c r="AB894" s="55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</row>
    <row r="895" ht="17.25" customHeight="1">
      <c r="A895" s="155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55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</row>
    <row r="896" ht="17.25" customHeight="1">
      <c r="A896" s="155"/>
      <c r="B896" s="92">
        <v>60000.0</v>
      </c>
      <c r="C896" s="154">
        <v>0.023</v>
      </c>
      <c r="D896" s="58">
        <f>C896*B896</f>
        <v>1380</v>
      </c>
      <c r="E896" s="46">
        <f>M896*D896</f>
        <v>1656</v>
      </c>
      <c r="F896" s="46"/>
      <c r="G896" s="47">
        <f>H896*J896*M896</f>
        <v>1080</v>
      </c>
      <c r="H896" s="48">
        <v>3000.0</v>
      </c>
      <c r="I896" s="157"/>
      <c r="J896" s="157">
        <v>0.3</v>
      </c>
      <c r="K896" s="59"/>
      <c r="L896" s="59"/>
      <c r="M896" s="60">
        <v>1.2</v>
      </c>
      <c r="N896" s="47">
        <f>Z896/D896</f>
        <v>478.2608696</v>
      </c>
      <c r="O896" s="61"/>
      <c r="P896" s="61"/>
      <c r="Q896" s="48">
        <v>11.0</v>
      </c>
      <c r="R896" s="48">
        <f>C896*G896</f>
        <v>24.84</v>
      </c>
      <c r="S896" s="62"/>
      <c r="T896" s="51"/>
      <c r="U896" s="51"/>
      <c r="V896" s="48"/>
      <c r="W896" s="48">
        <f>Y896-Z896</f>
        <v>830400</v>
      </c>
      <c r="X896" s="48">
        <f>H896*E896</f>
        <v>4968000</v>
      </c>
      <c r="Y896" s="48">
        <f>G896*D896</f>
        <v>1490400</v>
      </c>
      <c r="Z896" s="48">
        <f>Q896*B896</f>
        <v>660000</v>
      </c>
      <c r="AA896" s="48"/>
      <c r="AB896" s="55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</row>
    <row r="897" ht="17.25" customHeight="1">
      <c r="A897" s="155"/>
      <c r="B897" s="158"/>
      <c r="C897" s="159"/>
      <c r="D897" s="158"/>
      <c r="E897" s="160"/>
      <c r="F897" s="160"/>
      <c r="G897" s="161"/>
      <c r="H897" s="161"/>
      <c r="I897" s="162"/>
      <c r="J897" s="162"/>
      <c r="K897" s="61"/>
      <c r="L897" s="61"/>
      <c r="M897" s="86"/>
      <c r="N897" s="163"/>
      <c r="O897" s="61"/>
      <c r="P897" s="61"/>
      <c r="Q897" s="164"/>
      <c r="R897" s="164"/>
      <c r="S897" s="86"/>
      <c r="T897" s="86"/>
      <c r="U897" s="61"/>
      <c r="V897" s="165"/>
      <c r="W897" s="165"/>
      <c r="X897" s="165"/>
      <c r="Y897" s="165"/>
      <c r="Z897" s="166"/>
      <c r="AA897" s="166"/>
      <c r="AB897" s="55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</row>
    <row r="898" ht="17.25" customHeight="1">
      <c r="A898" s="155"/>
      <c r="B898" s="158"/>
      <c r="C898" s="159"/>
      <c r="D898" s="158"/>
      <c r="E898" s="160"/>
      <c r="F898" s="160"/>
      <c r="G898" s="161"/>
      <c r="H898" s="161"/>
      <c r="I898" s="162"/>
      <c r="J898" s="162"/>
      <c r="K898" s="61"/>
      <c r="L898" s="61"/>
      <c r="M898" s="86"/>
      <c r="N898" s="163"/>
      <c r="O898" s="61"/>
      <c r="P898" s="61"/>
      <c r="Q898" s="164"/>
      <c r="R898" s="164"/>
      <c r="S898" s="86"/>
      <c r="T898" s="86"/>
      <c r="U898" s="61"/>
      <c r="V898" s="165"/>
      <c r="W898" s="165"/>
      <c r="X898" s="165"/>
      <c r="Y898" s="165"/>
      <c r="Z898" s="166"/>
      <c r="AA898" s="166"/>
      <c r="AB898" s="55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</row>
    <row r="899" ht="17.25" customHeight="1">
      <c r="A899" s="155"/>
      <c r="B899" s="158"/>
      <c r="C899" s="159"/>
      <c r="D899" s="158"/>
      <c r="E899" s="160"/>
      <c r="F899" s="160"/>
      <c r="G899" s="161"/>
      <c r="H899" s="161"/>
      <c r="I899" s="162"/>
      <c r="J899" s="162"/>
      <c r="K899" s="61"/>
      <c r="L899" s="61"/>
      <c r="M899" s="86"/>
      <c r="N899" s="163"/>
      <c r="O899" s="61"/>
      <c r="P899" s="61"/>
      <c r="Q899" s="164"/>
      <c r="R899" s="164"/>
      <c r="S899" s="86"/>
      <c r="T899" s="86"/>
      <c r="U899" s="61"/>
      <c r="V899" s="165"/>
      <c r="W899" s="165"/>
      <c r="X899" s="165"/>
      <c r="Y899" s="165"/>
      <c r="Z899" s="166"/>
      <c r="AA899" s="166"/>
      <c r="AB899" s="55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</row>
    <row r="900" ht="17.25" customHeight="1">
      <c r="A900" s="155"/>
      <c r="B900" s="158"/>
      <c r="C900" s="159"/>
      <c r="D900" s="158"/>
      <c r="E900" s="160"/>
      <c r="F900" s="160"/>
      <c r="G900" s="161"/>
      <c r="H900" s="161"/>
      <c r="I900" s="162"/>
      <c r="J900" s="162"/>
      <c r="K900" s="61"/>
      <c r="L900" s="61"/>
      <c r="M900" s="86"/>
      <c r="N900" s="163"/>
      <c r="O900" s="61"/>
      <c r="P900" s="61"/>
      <c r="Q900" s="164"/>
      <c r="R900" s="164"/>
      <c r="S900" s="86"/>
      <c r="T900" s="86"/>
      <c r="U900" s="61"/>
      <c r="V900" s="165"/>
      <c r="W900" s="165"/>
      <c r="X900" s="165"/>
      <c r="Y900" s="165"/>
      <c r="Z900" s="166"/>
      <c r="AA900" s="166"/>
      <c r="AB900" s="55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</row>
    <row r="901" ht="17.25" customHeight="1">
      <c r="A901" s="155"/>
      <c r="B901" s="158"/>
      <c r="C901" s="159"/>
      <c r="D901" s="158"/>
      <c r="E901" s="160"/>
      <c r="F901" s="160"/>
      <c r="G901" s="161"/>
      <c r="H901" s="161"/>
      <c r="I901" s="162"/>
      <c r="J901" s="162"/>
      <c r="K901" s="61"/>
      <c r="L901" s="61"/>
      <c r="M901" s="86"/>
      <c r="N901" s="163"/>
      <c r="O901" s="61"/>
      <c r="P901" s="61"/>
      <c r="Q901" s="164"/>
      <c r="R901" s="164"/>
      <c r="S901" s="86"/>
      <c r="T901" s="86"/>
      <c r="U901" s="61"/>
      <c r="V901" s="165"/>
      <c r="W901" s="165"/>
      <c r="X901" s="165"/>
      <c r="Y901" s="165"/>
      <c r="Z901" s="166"/>
      <c r="AA901" s="166"/>
      <c r="AB901" s="55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</row>
    <row r="902" ht="17.25" customHeight="1">
      <c r="A902" s="155"/>
      <c r="B902" s="158"/>
      <c r="C902" s="159"/>
      <c r="D902" s="158"/>
      <c r="E902" s="160"/>
      <c r="F902" s="160"/>
      <c r="G902" s="161"/>
      <c r="H902" s="161"/>
      <c r="I902" s="162"/>
      <c r="J902" s="162"/>
      <c r="K902" s="61"/>
      <c r="L902" s="61"/>
      <c r="M902" s="86"/>
      <c r="N902" s="163"/>
      <c r="O902" s="61"/>
      <c r="P902" s="61"/>
      <c r="Q902" s="164"/>
      <c r="R902" s="164"/>
      <c r="S902" s="86"/>
      <c r="T902" s="86"/>
      <c r="U902" s="61"/>
      <c r="V902" s="165"/>
      <c r="W902" s="165"/>
      <c r="X902" s="165"/>
      <c r="Y902" s="165"/>
      <c r="Z902" s="166"/>
      <c r="AA902" s="166"/>
      <c r="AB902" s="55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</row>
    <row r="903" ht="17.25" customHeight="1">
      <c r="A903" s="155"/>
      <c r="B903" s="158"/>
      <c r="C903" s="159"/>
      <c r="D903" s="158"/>
      <c r="E903" s="160"/>
      <c r="F903" s="160"/>
      <c r="G903" s="161"/>
      <c r="H903" s="161"/>
      <c r="I903" s="162"/>
      <c r="J903" s="162"/>
      <c r="K903" s="61"/>
      <c r="L903" s="61"/>
      <c r="M903" s="86"/>
      <c r="N903" s="163"/>
      <c r="O903" s="61"/>
      <c r="P903" s="61"/>
      <c r="Q903" s="164"/>
      <c r="R903" s="164"/>
      <c r="S903" s="86"/>
      <c r="T903" s="86"/>
      <c r="U903" s="61"/>
      <c r="V903" s="165"/>
      <c r="W903" s="165"/>
      <c r="X903" s="165"/>
      <c r="Y903" s="165"/>
      <c r="Z903" s="166"/>
      <c r="AA903" s="166"/>
      <c r="AB903" s="55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</row>
    <row r="904" ht="17.25" customHeight="1">
      <c r="A904" s="155"/>
      <c r="B904" s="158"/>
      <c r="C904" s="159"/>
      <c r="D904" s="158"/>
      <c r="E904" s="160"/>
      <c r="F904" s="160"/>
      <c r="G904" s="161"/>
      <c r="H904" s="161"/>
      <c r="I904" s="162"/>
      <c r="J904" s="162"/>
      <c r="K904" s="61"/>
      <c r="L904" s="61"/>
      <c r="M904" s="86"/>
      <c r="N904" s="163"/>
      <c r="O904" s="61"/>
      <c r="P904" s="61"/>
      <c r="Q904" s="164"/>
      <c r="R904" s="164"/>
      <c r="S904" s="86"/>
      <c r="T904" s="86"/>
      <c r="U904" s="61"/>
      <c r="V904" s="165"/>
      <c r="W904" s="165"/>
      <c r="X904" s="165"/>
      <c r="Y904" s="165"/>
      <c r="Z904" s="166"/>
      <c r="AA904" s="166"/>
      <c r="AB904" s="55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</row>
    <row r="917" ht="17.25" customHeight="1">
      <c r="A917" s="136"/>
      <c r="B917" s="158"/>
      <c r="C917" s="159"/>
      <c r="D917" s="158"/>
      <c r="E917" s="160"/>
      <c r="F917" s="160"/>
      <c r="G917" s="161"/>
      <c r="H917" s="161"/>
      <c r="I917" s="162"/>
      <c r="J917" s="162"/>
      <c r="K917" s="61"/>
      <c r="L917" s="61"/>
      <c r="M917" s="86"/>
      <c r="N917" s="167"/>
      <c r="O917" s="61"/>
      <c r="P917" s="61"/>
      <c r="Q917" s="164"/>
      <c r="R917" s="164"/>
      <c r="S917" s="86"/>
      <c r="T917" s="86"/>
      <c r="U917" s="61"/>
      <c r="V917" s="165"/>
      <c r="W917" s="165"/>
      <c r="X917" s="165"/>
      <c r="Y917" s="165"/>
      <c r="Z917" s="166"/>
      <c r="AA917" s="166"/>
      <c r="AB917" s="55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</row>
    <row r="918" ht="17.25" customHeight="1">
      <c r="A918" s="136"/>
      <c r="B918" s="158"/>
      <c r="C918" s="159"/>
      <c r="D918" s="158"/>
      <c r="E918" s="160"/>
      <c r="F918" s="160"/>
      <c r="G918" s="161"/>
      <c r="H918" s="161"/>
      <c r="I918" s="162"/>
      <c r="J918" s="162"/>
      <c r="K918" s="61"/>
      <c r="L918" s="61"/>
      <c r="M918" s="86"/>
      <c r="N918" s="167"/>
      <c r="O918" s="61"/>
      <c r="P918" s="61"/>
      <c r="Q918" s="164"/>
      <c r="R918" s="164"/>
      <c r="S918" s="86"/>
      <c r="T918" s="86"/>
      <c r="U918" s="61"/>
      <c r="V918" s="165"/>
      <c r="W918" s="165"/>
      <c r="X918" s="165"/>
      <c r="Y918" s="165"/>
      <c r="Z918" s="166"/>
      <c r="AA918" s="166"/>
      <c r="AB918" s="96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</row>
  </sheetData>
  <mergeCells count="4">
    <mergeCell ref="B1:E1"/>
    <mergeCell ref="G1:M1"/>
    <mergeCell ref="Q1:S1"/>
    <mergeCell ref="V1:AB1"/>
  </mergeCells>
  <drawing r:id="rId1"/>
</worksheet>
</file>