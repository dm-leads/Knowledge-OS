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счет MAU по ретеншену" sheetId="1" r:id="rId4"/>
  </sheets>
  <definedNames/>
  <calcPr/>
</workbook>
</file>

<file path=xl/sharedStrings.xml><?xml version="1.0" encoding="utf-8"?>
<sst xmlns="http://schemas.openxmlformats.org/spreadsheetml/2006/main" count="69" uniqueCount="31">
  <si>
    <t>a</t>
  </si>
  <si>
    <t>b</t>
  </si>
  <si>
    <r>
      <rPr>
        <rFont val="Trebuchet MS"/>
        <b/>
        <color theme="1"/>
      </rPr>
      <t xml:space="preserve">Retention </t>
    </r>
    <r>
      <rPr>
        <rFont val="Trebuchet MS"/>
        <b val="0"/>
        <i/>
        <color theme="1"/>
      </rPr>
      <t>из GA за 3 месяца</t>
    </r>
  </si>
  <si>
    <t>Retention</t>
  </si>
  <si>
    <t>MAU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</si>
  <si>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</si>
  <si>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</si>
  <si>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</si>
  <si>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</si>
  <si>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</si>
  <si>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</si>
  <si>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</si>
  <si>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</si>
  <si>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</si>
  <si>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</si>
  <si>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</si>
  <si>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</si>
  <si>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цель</t>
  </si>
  <si>
    <t>ARPMAU (AMPPU)</t>
  </si>
  <si>
    <t>AvPrice = CPM / 1000</t>
  </si>
  <si>
    <t>Imps Per User</t>
  </si>
  <si>
    <t>Gross Profit</t>
  </si>
  <si>
    <t>Acq Costs</t>
  </si>
  <si>
    <t>AMPU</t>
  </si>
  <si>
    <t>C1</t>
  </si>
  <si>
    <t>AMPPU 30</t>
  </si>
  <si>
    <t>CPUser</t>
  </si>
  <si>
    <t>LTV</t>
  </si>
  <si>
    <t>CLTV</t>
  </si>
  <si>
    <r>
      <rPr>
        <rFont val="arial,sans,sans-serif"/>
        <b/>
        <color theme="1"/>
      </rPr>
      <t xml:space="preserve">Churn
</t>
    </r>
    <r>
      <rPr>
        <rFont val="arial,sans,sans-serif"/>
        <b val="0"/>
        <i/>
        <color theme="1"/>
      </rPr>
      <t>users</t>
    </r>
  </si>
  <si>
    <r>
      <rPr>
        <rFont val="arial,sans,sans-serif"/>
        <b/>
        <color theme="1"/>
      </rPr>
      <t xml:space="preserve">Churn
</t>
    </r>
    <r>
      <rPr>
        <rFont val="arial,sans,sans-serif"/>
        <b val="0"/>
        <i/>
        <color theme="1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</si>
</sst>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месяц 0"/>
    <numFmt numFmtId="165" formatCode="&quot;$&quot;#,##0.00"/>
    <numFmt numFmtId="166" formatCode="+### ##0 [$р.-419]"/>
    <numFmt numFmtId="167" formatCode="&quot;$&quot;#,##0.000"/>
    <numFmt numFmtId="168" formatCode="&quot;$&quot;#,##0"/>
    <numFmt numFmtId="169" formatCode="0.0"/>
    <numFmt numFmtId="170" formatCode="месяц 0 "/>
    <numFmt numFmtId="171" formatCode="0.0 раза"/>
  </numFmts>
  <fonts count="17">
    <font>
      <sz val="10.0"/>
      <color rgb="FF000000"/>
      <name val="Arial"/>
      <scheme val="minor"/>
    </font>
    <font>
      <color theme="1"/>
      <name val="Trebuchet MS"/>
    </font>
    <font>
      <b/>
      <color theme="1"/>
      <name val="Trebuchet MS"/>
    </font>
    <font>
      <b/>
      <sz val="9.0"/>
      <color theme="1"/>
      <name val="Trebuchet MS"/>
    </font>
    <font>
      <sz val="9.0"/>
      <color theme="1"/>
      <name val="Trebuchet MS"/>
    </font>
    <font>
      <color rgb="FFB7B7B7"/>
      <name val="Trebuchet MS"/>
    </font>
    <font>
      <color theme="1"/>
      <name val="Arial"/>
      <scheme val="minor"/>
    </font>
    <font>
      <i/>
      <color rgb="FFB7B7B7"/>
      <name val="Trebuchet MS"/>
    </font>
    <font>
      <i/>
      <color theme="1"/>
      <name val="Arial"/>
      <scheme val="minor"/>
    </font>
    <font>
      <b/>
      <color rgb="FFCC0000"/>
      <name val="Trebuchet MS"/>
    </font>
    <font>
      <color theme="1"/>
      <name val="Arial"/>
    </font>
    <font>
      <sz val="8.0"/>
      <color rgb="FF000000"/>
      <name val="Trebuchet MS"/>
    </font>
    <font>
      <sz val="8.0"/>
      <color theme="1"/>
      <name val="Trebuchet MS"/>
    </font>
    <font>
      <b/>
      <color theme="1"/>
      <name val="Arial"/>
    </font>
    <font>
      <color rgb="FFCCCCCC"/>
      <name val="Trebuchet MS"/>
    </font>
    <font>
      <color rgb="FFCC0000"/>
      <name val="Trebuchet MS"/>
    </font>
    <font>
      <i/>
      <color rgb="FFCCCCCC"/>
      <name val="Trebuchet MS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1" numFmtId="0" xfId="0" applyAlignment="1" applyFont="1">
      <alignment readingOrder="0" vertical="center"/>
    </xf>
    <xf borderId="0" fillId="0" fontId="2" numFmtId="9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2" fontId="3" numFmtId="9" xfId="0" applyAlignment="1" applyFill="1" applyFont="1" applyNumberFormat="1">
      <alignment horizontal="right" readingOrder="0" vertical="center"/>
    </xf>
    <xf borderId="0" fillId="2" fontId="3" numFmtId="9" xfId="0" applyAlignment="1" applyFont="1" applyNumberFormat="1">
      <alignment readingOrder="0" vertical="center"/>
    </xf>
    <xf borderId="0" fillId="0" fontId="4" numFmtId="9" xfId="0" applyAlignment="1" applyFont="1" applyNumberFormat="1">
      <alignment readingOrder="0" vertical="center"/>
    </xf>
    <xf borderId="0" fillId="0" fontId="4" numFmtId="9" xfId="0" applyAlignment="1" applyFont="1" applyNumberFormat="1">
      <alignment horizontal="right" readingOrder="0" vertical="center"/>
    </xf>
    <xf borderId="0" fillId="0" fontId="2" numFmtId="9" xfId="0" applyAlignment="1" applyFont="1" applyNumberFormat="1">
      <alignment readingOrder="0" vertical="center"/>
    </xf>
    <xf borderId="0" fillId="0" fontId="4" numFmtId="164" xfId="0" applyAlignment="1" applyFont="1" applyNumberForma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readingOrder="0" vertical="center"/>
    </xf>
    <xf borderId="0" fillId="3" fontId="2" numFmtId="9" xfId="0" applyAlignment="1" applyFill="1" applyFont="1" applyNumberFormat="1">
      <alignment vertical="center"/>
    </xf>
    <xf borderId="0" fillId="0" fontId="1" numFmtId="3" xfId="0" applyAlignment="1" applyFont="1" applyNumberFormat="1">
      <alignment readingOrder="0" vertical="center"/>
    </xf>
    <xf borderId="0" fillId="0" fontId="1" numFmtId="3" xfId="0" applyAlignment="1" applyFont="1" applyNumberFormat="1">
      <alignment vertical="center"/>
    </xf>
    <xf borderId="0" fillId="4" fontId="1" numFmtId="3" xfId="0" applyAlignment="1" applyFill="1" applyFont="1" applyNumberFormat="1">
      <alignment readingOrder="0" vertical="center"/>
    </xf>
    <xf borderId="0" fillId="0" fontId="5" numFmtId="2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7" numFmtId="3" xfId="0" applyAlignment="1" applyFont="1" applyNumberFormat="1">
      <alignment readingOrder="0" vertical="center"/>
    </xf>
    <xf borderId="0" fillId="0" fontId="1" numFmtId="2" xfId="0" applyAlignment="1" applyFont="1" applyNumberFormat="1">
      <alignment vertical="center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readingOrder="0" vertical="center"/>
    </xf>
    <xf borderId="0" fillId="0" fontId="9" numFmtId="3" xfId="0" applyAlignment="1" applyFont="1" applyNumberFormat="1">
      <alignment readingOrder="0" vertical="center"/>
    </xf>
    <xf borderId="0" fillId="5" fontId="2" numFmtId="165" xfId="0" applyAlignment="1" applyFill="1" applyFont="1" applyNumberFormat="1">
      <alignment readingOrder="0" vertical="center"/>
    </xf>
    <xf borderId="0" fillId="0" fontId="1" numFmtId="166" xfId="0" applyAlignment="1" applyFont="1" applyNumberFormat="1">
      <alignment vertical="center"/>
    </xf>
    <xf borderId="0" fillId="0" fontId="2" numFmtId="167" xfId="0" applyAlignment="1" applyFont="1" applyNumberFormat="1">
      <alignment readingOrder="0" vertical="center"/>
    </xf>
    <xf borderId="0" fillId="2" fontId="1" numFmtId="168" xfId="0" applyAlignment="1" applyFont="1" applyNumberFormat="1">
      <alignment vertical="center"/>
    </xf>
    <xf borderId="0" fillId="5" fontId="2" numFmtId="168" xfId="0" applyAlignment="1" applyFont="1" applyNumberForma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5" fontId="2" numFmtId="165" xfId="0" applyAlignment="1" applyFont="1" applyNumberFormat="1">
      <alignment readingOrder="0" vertical="center"/>
    </xf>
    <xf borderId="0" fillId="0" fontId="1" numFmtId="9" xfId="0" applyAlignment="1" applyFont="1" applyNumberForma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9" xfId="0" applyAlignment="1" applyFont="1" applyNumberFormat="1">
      <alignment vertical="center"/>
    </xf>
    <xf borderId="0" fillId="0" fontId="1" numFmtId="9" xfId="0" applyAlignment="1" applyFont="1" applyNumberFormat="1">
      <alignment horizontal="right" readingOrder="0" vertical="center"/>
    </xf>
    <xf borderId="0" fillId="0" fontId="1" numFmtId="168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170" xfId="0" applyAlignment="1" applyFont="1" applyNumberFormat="1">
      <alignment horizontal="right" vertical="center"/>
    </xf>
    <xf borderId="0" fillId="0" fontId="12" numFmtId="0" xfId="0" applyAlignment="1" applyFont="1">
      <alignment horizontal="right" vertical="center"/>
    </xf>
    <xf borderId="0" fillId="0" fontId="2" numFmtId="9" xfId="0" applyAlignment="1" applyFont="1" applyNumberFormat="1">
      <alignment horizontal="right" vertical="center"/>
    </xf>
    <xf borderId="0" fillId="0" fontId="13" numFmtId="0" xfId="0" applyAlignment="1" applyFont="1">
      <alignment horizontal="right" readingOrder="0" vertical="center"/>
    </xf>
    <xf borderId="0" fillId="0" fontId="1" numFmtId="0" xfId="0" applyAlignment="1" applyFont="1">
      <alignment horizontal="right" vertical="center"/>
    </xf>
    <xf borderId="0" fillId="0" fontId="1" numFmtId="3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vertical="center"/>
    </xf>
    <xf borderId="0" fillId="0" fontId="1" numFmtId="3" xfId="0" applyAlignment="1" applyFont="1" applyNumberFormat="1">
      <alignment horizontal="right" vertical="center"/>
    </xf>
    <xf borderId="0" fillId="0" fontId="14" numFmtId="169" xfId="0" applyAlignment="1" applyFont="1" applyNumberFormat="1">
      <alignment vertical="center"/>
    </xf>
    <xf borderId="0" fillId="0" fontId="10" numFmtId="1" xfId="0" applyAlignment="1" applyFont="1" applyNumberFormat="1">
      <alignment vertical="center"/>
    </xf>
    <xf borderId="0" fillId="0" fontId="10" numFmtId="3" xfId="0" applyAlignment="1" applyFont="1" applyNumberFormat="1">
      <alignment horizontal="right" vertical="center"/>
    </xf>
    <xf borderId="0" fillId="0" fontId="1" numFmtId="1" xfId="0" applyAlignment="1" applyFont="1" applyNumberFormat="1">
      <alignment horizontal="right" vertical="center"/>
    </xf>
    <xf borderId="0" fillId="0" fontId="7" numFmtId="3" xfId="0" applyAlignment="1" applyFont="1" applyNumberFormat="1">
      <alignment horizontal="right" vertical="center"/>
    </xf>
    <xf borderId="0" fillId="0" fontId="15" numFmtId="171" xfId="0" applyAlignment="1" applyFont="1" applyNumberFormat="1">
      <alignment vertical="center"/>
    </xf>
    <xf borderId="0" fillId="0" fontId="9" numFmtId="3" xfId="0" applyAlignment="1" applyFont="1" applyNumberFormat="1">
      <alignment horizontal="right" vertical="center"/>
    </xf>
    <xf borderId="0" fillId="0" fontId="2" numFmtId="9" xfId="0" applyAlignment="1" applyFont="1" applyNumberFormat="1">
      <alignment vertical="center"/>
    </xf>
    <xf borderId="0" fillId="0" fontId="1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'Рассчет MAU по ретеншену'!$D$7:$M$7</c:f>
              <c:numCache/>
            </c:numRef>
          </c:val>
          <c:smooth val="0"/>
        </c:ser>
        <c:axId val="264908412"/>
        <c:axId val="1612222006"/>
      </c:lineChart>
      <c:catAx>
        <c:axId val="264908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222006"/>
      </c:catAx>
      <c:valAx>
        <c:axId val="1612222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908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</xdr:colOff>
      <xdr:row>5</xdr:row>
      <xdr:rowOff>0</xdr:rowOff>
    </xdr:from>
    <xdr:ext cx="6200775" cy="3838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9.88"/>
    <col customWidth="1" min="4" max="14" width="7.63"/>
    <col customWidth="1" min="15" max="15" width="9.5"/>
    <col customWidth="1" min="16" max="16" width="7.38"/>
  </cols>
  <sheetData>
    <row r="1" ht="22.5" customHeight="1">
      <c r="A1" s="1"/>
      <c r="B1" s="1"/>
      <c r="C1" s="2"/>
      <c r="D1" s="3" t="s">
        <v>0</v>
      </c>
      <c r="E1" s="4">
        <f>D4</f>
        <v>0.17</v>
      </c>
      <c r="F1" s="5"/>
      <c r="G1" s="5"/>
      <c r="H1" s="5"/>
      <c r="I1" s="5"/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2.5" customHeight="1">
      <c r="A2" s="1"/>
      <c r="B2" s="1"/>
      <c r="C2" s="2"/>
      <c r="D2" s="3" t="s">
        <v>1</v>
      </c>
      <c r="E2" s="5">
        <v>-1.0</v>
      </c>
      <c r="F2" s="5"/>
      <c r="G2" s="5"/>
      <c r="H2" s="5"/>
      <c r="I2" s="5"/>
      <c r="J2" s="5"/>
      <c r="K2" s="5"/>
      <c r="L2" s="5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1"/>
      <c r="B3" s="1"/>
      <c r="C3" s="2"/>
      <c r="D3" s="1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1"/>
      <c r="B4" s="6" t="s">
        <v>2</v>
      </c>
      <c r="C4" s="2"/>
      <c r="D4" s="7">
        <v>0.17</v>
      </c>
      <c r="E4" s="7">
        <v>0.07</v>
      </c>
      <c r="F4" s="8">
        <v>0.02</v>
      </c>
      <c r="G4" s="9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6"/>
      <c r="C5" s="2"/>
      <c r="D5" s="10"/>
      <c r="E5" s="10"/>
      <c r="F5" s="9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/>
      <c r="B6" s="1"/>
      <c r="C6" s="11"/>
      <c r="D6" s="12">
        <v>1.0</v>
      </c>
      <c r="E6" s="13">
        <v>2.0</v>
      </c>
      <c r="F6" s="13">
        <v>3.0</v>
      </c>
      <c r="G6" s="13">
        <v>4.0</v>
      </c>
      <c r="H6" s="13">
        <v>5.0</v>
      </c>
      <c r="I6" s="13">
        <v>6.0</v>
      </c>
      <c r="J6" s="13">
        <v>7.0</v>
      </c>
      <c r="K6" s="13">
        <v>8.0</v>
      </c>
      <c r="L6" s="13">
        <v>9.0</v>
      </c>
      <c r="M6" s="13">
        <v>10.0</v>
      </c>
      <c r="N6" s="14">
        <v>11.0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6"/>
      <c r="B7" s="6" t="s">
        <v>3</v>
      </c>
      <c r="C7" s="11">
        <v>1.0</v>
      </c>
      <c r="D7" s="15">
        <f t="shared" ref="D7:N7" si="1">$E$1*D6^$E$2</f>
        <v>0.17</v>
      </c>
      <c r="E7" s="15">
        <f t="shared" si="1"/>
        <v>0.085</v>
      </c>
      <c r="F7" s="15">
        <f t="shared" si="1"/>
        <v>0.05666666667</v>
      </c>
      <c r="G7" s="15">
        <f t="shared" si="1"/>
        <v>0.0425</v>
      </c>
      <c r="H7" s="15">
        <f t="shared" si="1"/>
        <v>0.034</v>
      </c>
      <c r="I7" s="15">
        <f t="shared" si="1"/>
        <v>0.02833333333</v>
      </c>
      <c r="J7" s="15">
        <f t="shared" si="1"/>
        <v>0.02428571429</v>
      </c>
      <c r="K7" s="15">
        <f t="shared" si="1"/>
        <v>0.02125</v>
      </c>
      <c r="L7" s="15">
        <f t="shared" si="1"/>
        <v>0.01888888889</v>
      </c>
      <c r="M7" s="15">
        <f t="shared" si="1"/>
        <v>0.017</v>
      </c>
      <c r="N7" s="15">
        <f t="shared" si="1"/>
        <v>0.01545454545</v>
      </c>
      <c r="O7" s="5" t="s">
        <v>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3"/>
      <c r="B8" s="3"/>
      <c r="C8" s="1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3"/>
      <c r="B9" s="3"/>
      <c r="C9" s="16"/>
      <c r="D9" s="17"/>
      <c r="E9" s="17"/>
      <c r="F9" s="17"/>
      <c r="G9" s="1"/>
      <c r="H9" s="1"/>
      <c r="I9" s="1"/>
      <c r="J9" s="1"/>
      <c r="K9" s="1"/>
      <c r="L9" s="1"/>
      <c r="M9" s="1"/>
      <c r="N9" s="17"/>
      <c r="O9" s="1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3">
        <v>1.0</v>
      </c>
      <c r="B10" s="3" t="s">
        <v>5</v>
      </c>
      <c r="C10" s="18">
        <v>900000.0</v>
      </c>
      <c r="D10" s="17"/>
      <c r="E10" s="17"/>
      <c r="F10" s="17"/>
      <c r="G10" s="1"/>
      <c r="H10" s="1"/>
      <c r="I10" s="1"/>
      <c r="J10" s="1"/>
      <c r="K10" s="1"/>
      <c r="L10" s="1"/>
      <c r="M10" s="1"/>
      <c r="N10" s="17"/>
      <c r="O10" s="17">
        <f t="shared" ref="O10:O21" si="2">SUM(C10:N10)</f>
        <v>900000</v>
      </c>
      <c r="P10" s="19">
        <f t="shared" ref="P10:P21" si="3">O10/C10</f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3">
        <v>2.0</v>
      </c>
      <c r="B11" s="3" t="s">
        <v>6</v>
      </c>
      <c r="C11" s="16">
        <f t="shared" ref="C11:C21" si="4">C10</f>
        <v>900000</v>
      </c>
      <c r="D11" s="17">
        <f t="shared" ref="D11:D21" si="5">$C10*D$7</f>
        <v>153000</v>
      </c>
      <c r="E11" s="17"/>
      <c r="F11" s="17"/>
      <c r="G11" s="20"/>
      <c r="H11" s="20"/>
      <c r="I11" s="20"/>
      <c r="J11" s="20"/>
      <c r="K11" s="20"/>
      <c r="L11" s="20"/>
      <c r="M11" s="20"/>
      <c r="N11" s="17"/>
      <c r="O11" s="17">
        <f t="shared" si="2"/>
        <v>1053000</v>
      </c>
      <c r="P11" s="19">
        <f t="shared" si="3"/>
        <v>1.17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3">
        <v>3.0</v>
      </c>
      <c r="B12" s="3" t="s">
        <v>7</v>
      </c>
      <c r="C12" s="16">
        <f t="shared" si="4"/>
        <v>900000</v>
      </c>
      <c r="D12" s="17">
        <f t="shared" si="5"/>
        <v>153000</v>
      </c>
      <c r="E12" s="17">
        <f t="shared" ref="E12:E21" si="6">$C10*E$7</f>
        <v>76500</v>
      </c>
      <c r="F12" s="17"/>
      <c r="G12" s="20"/>
      <c r="H12" s="20"/>
      <c r="I12" s="20"/>
      <c r="J12" s="20"/>
      <c r="K12" s="20"/>
      <c r="L12" s="20"/>
      <c r="M12" s="20"/>
      <c r="N12" s="17"/>
      <c r="O12" s="17">
        <f t="shared" si="2"/>
        <v>1129500</v>
      </c>
      <c r="P12" s="19">
        <f t="shared" si="3"/>
        <v>1.255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3">
        <v>4.0</v>
      </c>
      <c r="B13" s="3" t="s">
        <v>8</v>
      </c>
      <c r="C13" s="16">
        <f t="shared" si="4"/>
        <v>900000</v>
      </c>
      <c r="D13" s="17">
        <f t="shared" si="5"/>
        <v>153000</v>
      </c>
      <c r="E13" s="17">
        <f t="shared" si="6"/>
        <v>76500</v>
      </c>
      <c r="F13" s="17">
        <f t="shared" ref="F13:F21" si="7">$C10*F$7</f>
        <v>51000</v>
      </c>
      <c r="G13" s="20"/>
      <c r="H13" s="20"/>
      <c r="I13" s="20"/>
      <c r="J13" s="20"/>
      <c r="K13" s="20"/>
      <c r="L13" s="20"/>
      <c r="M13" s="20"/>
      <c r="N13" s="17"/>
      <c r="O13" s="17">
        <f t="shared" si="2"/>
        <v>1180500</v>
      </c>
      <c r="P13" s="19">
        <f t="shared" si="3"/>
        <v>1.311666667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3">
        <v>5.0</v>
      </c>
      <c r="B14" s="21" t="s">
        <v>9</v>
      </c>
      <c r="C14" s="22">
        <f t="shared" si="4"/>
        <v>900000</v>
      </c>
      <c r="D14" s="22">
        <f t="shared" si="5"/>
        <v>153000</v>
      </c>
      <c r="E14" s="22">
        <f t="shared" si="6"/>
        <v>76500</v>
      </c>
      <c r="F14" s="22">
        <f t="shared" si="7"/>
        <v>51000</v>
      </c>
      <c r="G14" s="22">
        <f t="shared" ref="G14:G21" si="8">$C10*G$7</f>
        <v>38250</v>
      </c>
      <c r="H14" s="22"/>
      <c r="I14" s="22"/>
      <c r="J14" s="22"/>
      <c r="K14" s="22"/>
      <c r="L14" s="22"/>
      <c r="M14" s="22"/>
      <c r="N14" s="22"/>
      <c r="O14" s="22">
        <f t="shared" si="2"/>
        <v>1218750</v>
      </c>
      <c r="P14" s="19">
        <f t="shared" si="3"/>
        <v>1.354166667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3">
        <v>6.0</v>
      </c>
      <c r="B15" s="3" t="s">
        <v>10</v>
      </c>
      <c r="C15" s="22">
        <f t="shared" si="4"/>
        <v>900000</v>
      </c>
      <c r="D15" s="22">
        <f t="shared" si="5"/>
        <v>153000</v>
      </c>
      <c r="E15" s="22">
        <f t="shared" si="6"/>
        <v>76500</v>
      </c>
      <c r="F15" s="22">
        <f t="shared" si="7"/>
        <v>51000</v>
      </c>
      <c r="G15" s="22">
        <f t="shared" si="8"/>
        <v>38250</v>
      </c>
      <c r="H15" s="22">
        <f t="shared" ref="H15:H21" si="9">$C10*H$7</f>
        <v>30600</v>
      </c>
      <c r="I15" s="22"/>
      <c r="J15" s="22"/>
      <c r="K15" s="22"/>
      <c r="L15" s="22"/>
      <c r="M15" s="22"/>
      <c r="N15" s="22"/>
      <c r="O15" s="22">
        <f t="shared" si="2"/>
        <v>1249350</v>
      </c>
      <c r="P15" s="19">
        <f t="shared" si="3"/>
        <v>1.388166667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3">
        <v>7.0</v>
      </c>
      <c r="B16" s="3" t="s">
        <v>11</v>
      </c>
      <c r="C16" s="22">
        <f t="shared" si="4"/>
        <v>900000</v>
      </c>
      <c r="D16" s="22">
        <f t="shared" si="5"/>
        <v>153000</v>
      </c>
      <c r="E16" s="22">
        <f t="shared" si="6"/>
        <v>76500</v>
      </c>
      <c r="F16" s="22">
        <f t="shared" si="7"/>
        <v>51000</v>
      </c>
      <c r="G16" s="22">
        <f t="shared" si="8"/>
        <v>38250</v>
      </c>
      <c r="H16" s="22">
        <f t="shared" si="9"/>
        <v>30600</v>
      </c>
      <c r="I16" s="22">
        <f t="shared" ref="I16:I21" si="10">$C10*I$7</f>
        <v>25500</v>
      </c>
      <c r="J16" s="22"/>
      <c r="K16" s="22"/>
      <c r="L16" s="22"/>
      <c r="M16" s="22"/>
      <c r="N16" s="22"/>
      <c r="O16" s="22">
        <f t="shared" si="2"/>
        <v>1274850</v>
      </c>
      <c r="P16" s="19">
        <f t="shared" si="3"/>
        <v>1.4165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3">
        <v>8.0</v>
      </c>
      <c r="B17" s="3" t="s">
        <v>12</v>
      </c>
      <c r="C17" s="22">
        <f t="shared" si="4"/>
        <v>900000</v>
      </c>
      <c r="D17" s="22">
        <f t="shared" si="5"/>
        <v>153000</v>
      </c>
      <c r="E17" s="22">
        <f t="shared" si="6"/>
        <v>76500</v>
      </c>
      <c r="F17" s="22">
        <f t="shared" si="7"/>
        <v>51000</v>
      </c>
      <c r="G17" s="22">
        <f t="shared" si="8"/>
        <v>38250</v>
      </c>
      <c r="H17" s="22">
        <f t="shared" si="9"/>
        <v>30600</v>
      </c>
      <c r="I17" s="22">
        <f t="shared" si="10"/>
        <v>25500</v>
      </c>
      <c r="J17" s="22">
        <f t="shared" ref="J17:J21" si="11">$C10*J$7</f>
        <v>21857.14286</v>
      </c>
      <c r="K17" s="22"/>
      <c r="L17" s="22"/>
      <c r="M17" s="22"/>
      <c r="N17" s="22"/>
      <c r="O17" s="22">
        <f t="shared" si="2"/>
        <v>1296707.143</v>
      </c>
      <c r="P17" s="19">
        <f t="shared" si="3"/>
        <v>1.440785714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3">
        <v>9.0</v>
      </c>
      <c r="B18" s="3" t="s">
        <v>13</v>
      </c>
      <c r="C18" s="22">
        <f t="shared" si="4"/>
        <v>900000</v>
      </c>
      <c r="D18" s="22">
        <f t="shared" si="5"/>
        <v>153000</v>
      </c>
      <c r="E18" s="22">
        <f t="shared" si="6"/>
        <v>76500</v>
      </c>
      <c r="F18" s="22">
        <f t="shared" si="7"/>
        <v>51000</v>
      </c>
      <c r="G18" s="22">
        <f t="shared" si="8"/>
        <v>38250</v>
      </c>
      <c r="H18" s="22">
        <f t="shared" si="9"/>
        <v>30600</v>
      </c>
      <c r="I18" s="22">
        <f t="shared" si="10"/>
        <v>25500</v>
      </c>
      <c r="J18" s="22">
        <f t="shared" si="11"/>
        <v>21857.14286</v>
      </c>
      <c r="K18" s="22">
        <f t="shared" ref="K18:K21" si="12">$C10*K$7</f>
        <v>19125</v>
      </c>
      <c r="L18" s="22"/>
      <c r="M18" s="22"/>
      <c r="N18" s="22"/>
      <c r="O18" s="22">
        <f t="shared" si="2"/>
        <v>1315832.143</v>
      </c>
      <c r="P18" s="19">
        <f t="shared" si="3"/>
        <v>1.462035714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>
        <v>10.0</v>
      </c>
      <c r="B19" s="3" t="s">
        <v>14</v>
      </c>
      <c r="C19" s="22">
        <f t="shared" si="4"/>
        <v>900000</v>
      </c>
      <c r="D19" s="22">
        <f t="shared" si="5"/>
        <v>153000</v>
      </c>
      <c r="E19" s="22">
        <f t="shared" si="6"/>
        <v>76500</v>
      </c>
      <c r="F19" s="22">
        <f t="shared" si="7"/>
        <v>51000</v>
      </c>
      <c r="G19" s="22">
        <f t="shared" si="8"/>
        <v>38250</v>
      </c>
      <c r="H19" s="22">
        <f t="shared" si="9"/>
        <v>30600</v>
      </c>
      <c r="I19" s="22">
        <f t="shared" si="10"/>
        <v>25500</v>
      </c>
      <c r="J19" s="22">
        <f t="shared" si="11"/>
        <v>21857.14286</v>
      </c>
      <c r="K19" s="22">
        <f t="shared" si="12"/>
        <v>19125</v>
      </c>
      <c r="L19" s="22">
        <f t="shared" ref="L19:L21" si="13">$C10*L$7</f>
        <v>17000</v>
      </c>
      <c r="M19" s="22"/>
      <c r="N19" s="22"/>
      <c r="O19" s="22">
        <f t="shared" si="2"/>
        <v>1332832.143</v>
      </c>
      <c r="P19" s="19">
        <f t="shared" si="3"/>
        <v>1.480924603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1">
        <v>11.0</v>
      </c>
      <c r="B20" s="3" t="s">
        <v>15</v>
      </c>
      <c r="C20" s="22">
        <f t="shared" si="4"/>
        <v>900000</v>
      </c>
      <c r="D20" s="22">
        <f t="shared" si="5"/>
        <v>153000</v>
      </c>
      <c r="E20" s="22">
        <f t="shared" si="6"/>
        <v>76500</v>
      </c>
      <c r="F20" s="22">
        <f t="shared" si="7"/>
        <v>51000</v>
      </c>
      <c r="G20" s="22">
        <f t="shared" si="8"/>
        <v>38250</v>
      </c>
      <c r="H20" s="22">
        <f t="shared" si="9"/>
        <v>30600</v>
      </c>
      <c r="I20" s="22">
        <f t="shared" si="10"/>
        <v>25500</v>
      </c>
      <c r="J20" s="22">
        <f t="shared" si="11"/>
        <v>21857.14286</v>
      </c>
      <c r="K20" s="22">
        <f t="shared" si="12"/>
        <v>19125</v>
      </c>
      <c r="L20" s="22">
        <f t="shared" si="13"/>
        <v>17000</v>
      </c>
      <c r="M20" s="22">
        <f t="shared" ref="M20:M21" si="14">$C10*M$7</f>
        <v>15300</v>
      </c>
      <c r="N20" s="22"/>
      <c r="O20" s="22">
        <f t="shared" si="2"/>
        <v>1348132.143</v>
      </c>
      <c r="P20" s="19">
        <f t="shared" si="3"/>
        <v>1.497924603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3">
        <v>12.0</v>
      </c>
      <c r="B21" s="3" t="s">
        <v>16</v>
      </c>
      <c r="C21" s="22">
        <f t="shared" si="4"/>
        <v>900000</v>
      </c>
      <c r="D21" s="22">
        <f t="shared" si="5"/>
        <v>153000</v>
      </c>
      <c r="E21" s="22">
        <f t="shared" si="6"/>
        <v>76500</v>
      </c>
      <c r="F21" s="22">
        <f t="shared" si="7"/>
        <v>51000</v>
      </c>
      <c r="G21" s="22">
        <f t="shared" si="8"/>
        <v>38250</v>
      </c>
      <c r="H21" s="22">
        <f t="shared" si="9"/>
        <v>30600</v>
      </c>
      <c r="I21" s="22">
        <f t="shared" si="10"/>
        <v>25500</v>
      </c>
      <c r="J21" s="22">
        <f t="shared" si="11"/>
        <v>21857.14286</v>
      </c>
      <c r="K21" s="22">
        <f t="shared" si="12"/>
        <v>19125</v>
      </c>
      <c r="L21" s="22">
        <f t="shared" si="13"/>
        <v>17000</v>
      </c>
      <c r="M21" s="22">
        <f t="shared" si="14"/>
        <v>15300</v>
      </c>
      <c r="N21" s="22">
        <f>$C10*N$7</f>
        <v>13909.09091</v>
      </c>
      <c r="O21" s="22">
        <f t="shared" si="2"/>
        <v>1362041.234</v>
      </c>
      <c r="P21" s="23">
        <f t="shared" si="3"/>
        <v>1.513379149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3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3"/>
      <c r="B23" s="6" t="s">
        <v>17</v>
      </c>
      <c r="D23" s="26"/>
      <c r="E23" s="26"/>
      <c r="F23" s="26"/>
      <c r="G23" s="26"/>
      <c r="H23" s="26"/>
      <c r="I23" s="26"/>
      <c r="J23" s="26"/>
      <c r="K23" s="26"/>
      <c r="L23" s="26"/>
      <c r="M23" s="6" t="s">
        <v>4</v>
      </c>
      <c r="N23" s="27"/>
      <c r="O23" s="28">
        <v>1200000.0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3"/>
      <c r="B24" s="6"/>
      <c r="D24" s="26"/>
      <c r="E24" s="26"/>
      <c r="F24" s="26"/>
      <c r="G24" s="26"/>
      <c r="H24" s="26"/>
      <c r="I24" s="26"/>
      <c r="J24" s="26"/>
      <c r="K24" s="26"/>
      <c r="L24" s="26"/>
      <c r="M24" s="6"/>
      <c r="N24" s="27"/>
      <c r="O24" s="2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3"/>
      <c r="B25" s="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 t="s">
        <v>18</v>
      </c>
      <c r="N25" s="25"/>
      <c r="O25" s="29">
        <f>O26*O27</f>
        <v>0.2</v>
      </c>
      <c r="P25" s="3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3"/>
      <c r="B26" s="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7" t="s">
        <v>19</v>
      </c>
      <c r="N26" s="25"/>
      <c r="O26" s="31">
        <f>5/1000</f>
        <v>0.005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3"/>
      <c r="B27" s="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 t="s">
        <v>20</v>
      </c>
      <c r="N27" s="25"/>
      <c r="O27" s="27">
        <v>40.0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3"/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  <c r="M28" s="3" t="s">
        <v>21</v>
      </c>
      <c r="N28" s="1"/>
      <c r="O28" s="32">
        <f>O23*O25</f>
        <v>240000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3"/>
      <c r="B29" s="1"/>
      <c r="C29" s="6"/>
      <c r="D29" s="1"/>
      <c r="E29" s="1"/>
      <c r="F29" s="1"/>
      <c r="G29" s="1"/>
      <c r="H29" s="1"/>
      <c r="I29" s="1"/>
      <c r="J29" s="1"/>
      <c r="K29" s="1"/>
      <c r="L29" s="1"/>
      <c r="M29" s="3" t="s">
        <v>22</v>
      </c>
      <c r="N29" s="1"/>
      <c r="O29" s="33">
        <f>C10*O30</f>
        <v>180000</v>
      </c>
      <c r="P29" s="1"/>
      <c r="Q29" s="1"/>
      <c r="R29" s="34" t="s">
        <v>23</v>
      </c>
      <c r="S29" s="34" t="s">
        <v>24</v>
      </c>
      <c r="T29" s="34" t="s">
        <v>25</v>
      </c>
      <c r="U29" s="1"/>
      <c r="V29" s="1"/>
      <c r="W29" s="1"/>
      <c r="X29" s="1"/>
      <c r="Y29" s="1"/>
      <c r="Z29" s="1"/>
      <c r="AA29" s="1"/>
      <c r="AB29" s="1"/>
    </row>
    <row r="30">
      <c r="A30" s="3"/>
      <c r="B30" s="1"/>
      <c r="C30" s="6"/>
      <c r="D30" s="1"/>
      <c r="E30" s="1"/>
      <c r="F30" s="1"/>
      <c r="G30" s="1"/>
      <c r="H30" s="1"/>
      <c r="I30" s="1"/>
      <c r="J30" s="1"/>
      <c r="K30" s="1"/>
      <c r="L30" s="1"/>
      <c r="M30" s="3" t="s">
        <v>26</v>
      </c>
      <c r="N30" s="1"/>
      <c r="O30" s="35">
        <v>0.2</v>
      </c>
      <c r="P30" s="1"/>
      <c r="Q30" s="1"/>
      <c r="R30" s="1">
        <f>S30*T30</f>
        <v>20</v>
      </c>
      <c r="S30" s="36">
        <v>0.01</v>
      </c>
      <c r="T30" s="3">
        <v>2000.0</v>
      </c>
      <c r="U30" s="1"/>
      <c r="V30" s="1"/>
      <c r="W30" s="1"/>
      <c r="X30" s="1"/>
      <c r="Y30" s="1"/>
      <c r="Z30" s="1"/>
      <c r="AA30" s="1"/>
      <c r="AB30" s="1"/>
    </row>
    <row r="31">
      <c r="A31" s="3"/>
      <c r="B31" s="3"/>
      <c r="C31" s="3"/>
      <c r="D31" s="3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3"/>
      <c r="D32" s="12">
        <v>1.0</v>
      </c>
      <c r="E32" s="13">
        <v>2.0</v>
      </c>
      <c r="F32" s="13">
        <v>3.0</v>
      </c>
      <c r="G32" s="13">
        <v>4.0</v>
      </c>
      <c r="H32" s="13">
        <v>5.0</v>
      </c>
      <c r="I32" s="13">
        <v>6.0</v>
      </c>
      <c r="J32" s="13">
        <v>7.0</v>
      </c>
      <c r="K32" s="13">
        <v>8.0</v>
      </c>
      <c r="L32" s="13">
        <v>9.0</v>
      </c>
      <c r="M32" s="13">
        <v>10.0</v>
      </c>
      <c r="N32" s="14">
        <v>11.0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6" t="s">
        <v>3</v>
      </c>
      <c r="C33" s="11">
        <v>1.0</v>
      </c>
      <c r="D33" s="15">
        <f t="shared" ref="D33:N33" si="15">0.33*D32^-0.1</f>
        <v>0.33</v>
      </c>
      <c r="E33" s="15">
        <f t="shared" si="15"/>
        <v>0.3079008872</v>
      </c>
      <c r="F33" s="15">
        <f t="shared" si="15"/>
        <v>0.2956662917</v>
      </c>
      <c r="G33" s="15">
        <f t="shared" si="15"/>
        <v>0.2872816859</v>
      </c>
      <c r="H33" s="15">
        <f t="shared" si="15"/>
        <v>0.2809421744</v>
      </c>
      <c r="I33" s="15">
        <f t="shared" si="15"/>
        <v>0.2758664047</v>
      </c>
      <c r="J33" s="15">
        <f t="shared" si="15"/>
        <v>0.2716465138</v>
      </c>
      <c r="K33" s="15">
        <f t="shared" si="15"/>
        <v>0.2680432908</v>
      </c>
      <c r="L33" s="15">
        <f t="shared" si="15"/>
        <v>0.2649047154</v>
      </c>
      <c r="M33" s="15">
        <f t="shared" si="15"/>
        <v>0.2621283175</v>
      </c>
      <c r="N33" s="15">
        <f t="shared" si="15"/>
        <v>0.2596418359</v>
      </c>
      <c r="O33" s="5" t="s">
        <v>4</v>
      </c>
      <c r="P33" s="1"/>
      <c r="Q33" s="1"/>
      <c r="R33" s="34" t="s">
        <v>27</v>
      </c>
      <c r="S33" s="34" t="s">
        <v>24</v>
      </c>
      <c r="T33" s="34" t="s">
        <v>28</v>
      </c>
      <c r="U33" s="1"/>
      <c r="V33" s="1"/>
      <c r="W33" s="1"/>
      <c r="X33" s="1"/>
      <c r="Y33" s="1"/>
      <c r="Z33" s="1"/>
      <c r="AA33" s="1"/>
      <c r="AB33" s="1"/>
    </row>
    <row r="34">
      <c r="A34" s="3">
        <v>1.0</v>
      </c>
      <c r="B34" s="3" t="s">
        <v>5</v>
      </c>
      <c r="C34" s="16">
        <v>300000.0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>
        <f t="shared" ref="O34:O45" si="16">SUM(C34:N34)</f>
        <v>300000</v>
      </c>
      <c r="P34" s="38"/>
      <c r="Q34" s="1"/>
      <c r="R34" s="3">
        <f>S34*T34</f>
        <v>35</v>
      </c>
      <c r="S34" s="39">
        <v>0.01</v>
      </c>
      <c r="T34" s="34">
        <v>3500.0</v>
      </c>
      <c r="U34" s="1"/>
      <c r="V34" s="1"/>
      <c r="W34" s="1"/>
      <c r="X34" s="1"/>
      <c r="Y34" s="1"/>
      <c r="Z34" s="1"/>
      <c r="AA34" s="1"/>
      <c r="AB34" s="1"/>
    </row>
    <row r="35">
      <c r="A35" s="3">
        <v>2.0</v>
      </c>
      <c r="B35" s="3" t="s">
        <v>6</v>
      </c>
      <c r="C35" s="16">
        <f t="shared" ref="C35:C45" si="17">C34</f>
        <v>300000</v>
      </c>
      <c r="D35" s="17">
        <f t="shared" ref="D35:D45" si="18">$C34*D$33</f>
        <v>99000</v>
      </c>
      <c r="E35" s="17"/>
      <c r="F35" s="17"/>
      <c r="G35" s="20"/>
      <c r="H35" s="20"/>
      <c r="I35" s="20"/>
      <c r="J35" s="20"/>
      <c r="K35" s="20"/>
      <c r="L35" s="20"/>
      <c r="M35" s="20"/>
      <c r="N35" s="17"/>
      <c r="O35" s="17">
        <f t="shared" si="16"/>
        <v>399000</v>
      </c>
      <c r="P35" s="38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3">
        <v>3.0</v>
      </c>
      <c r="B36" s="3" t="s">
        <v>7</v>
      </c>
      <c r="C36" s="16">
        <f t="shared" si="17"/>
        <v>300000</v>
      </c>
      <c r="D36" s="17">
        <f t="shared" si="18"/>
        <v>99000</v>
      </c>
      <c r="E36" s="17">
        <f t="shared" ref="E36:E45" si="19">$C34*E$33</f>
        <v>92370.26616</v>
      </c>
      <c r="F36" s="17"/>
      <c r="G36" s="20"/>
      <c r="H36" s="20"/>
      <c r="I36" s="20"/>
      <c r="J36" s="20"/>
      <c r="K36" s="20"/>
      <c r="L36" s="20"/>
      <c r="M36" s="20"/>
      <c r="N36" s="17"/>
      <c r="O36" s="17">
        <f t="shared" si="16"/>
        <v>491370.2662</v>
      </c>
      <c r="P36" s="38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3">
        <v>4.0</v>
      </c>
      <c r="B37" s="3" t="s">
        <v>8</v>
      </c>
      <c r="C37" s="16">
        <f t="shared" si="17"/>
        <v>300000</v>
      </c>
      <c r="D37" s="17">
        <f t="shared" si="18"/>
        <v>99000</v>
      </c>
      <c r="E37" s="17">
        <f t="shared" si="19"/>
        <v>92370.26616</v>
      </c>
      <c r="F37" s="17">
        <f t="shared" ref="F37:F45" si="20">$C34*F$33</f>
        <v>88699.88752</v>
      </c>
      <c r="G37" s="20"/>
      <c r="H37" s="20"/>
      <c r="I37" s="20"/>
      <c r="J37" s="20"/>
      <c r="K37" s="20"/>
      <c r="L37" s="20"/>
      <c r="M37" s="20"/>
      <c r="N37" s="17"/>
      <c r="O37" s="17">
        <f t="shared" si="16"/>
        <v>580070.1537</v>
      </c>
      <c r="P37" s="38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3">
        <v>5.0</v>
      </c>
      <c r="B38" s="21" t="s">
        <v>9</v>
      </c>
      <c r="C38" s="22">
        <f t="shared" si="17"/>
        <v>300000</v>
      </c>
      <c r="D38" s="22">
        <f t="shared" si="18"/>
        <v>99000</v>
      </c>
      <c r="E38" s="22">
        <f t="shared" si="19"/>
        <v>92370.26616</v>
      </c>
      <c r="F38" s="22">
        <f t="shared" si="20"/>
        <v>88699.88752</v>
      </c>
      <c r="G38" s="22">
        <f t="shared" ref="G38:G45" si="21">$C34*G$33</f>
        <v>86184.50577</v>
      </c>
      <c r="H38" s="22"/>
      <c r="I38" s="22"/>
      <c r="J38" s="22"/>
      <c r="K38" s="22"/>
      <c r="L38" s="22"/>
      <c r="M38" s="22"/>
      <c r="N38" s="22"/>
      <c r="O38" s="22">
        <f t="shared" si="16"/>
        <v>666254.6595</v>
      </c>
      <c r="P38" s="38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3">
        <v>6.0</v>
      </c>
      <c r="B39" s="3" t="s">
        <v>10</v>
      </c>
      <c r="C39" s="22">
        <f t="shared" si="17"/>
        <v>300000</v>
      </c>
      <c r="D39" s="22">
        <f t="shared" si="18"/>
        <v>99000</v>
      </c>
      <c r="E39" s="22">
        <f t="shared" si="19"/>
        <v>92370.26616</v>
      </c>
      <c r="F39" s="22">
        <f t="shared" si="20"/>
        <v>88699.88752</v>
      </c>
      <c r="G39" s="22">
        <f t="shared" si="21"/>
        <v>86184.50577</v>
      </c>
      <c r="H39" s="22">
        <f t="shared" ref="H39:H45" si="22">$C34*H$33</f>
        <v>84282.65233</v>
      </c>
      <c r="I39" s="22"/>
      <c r="J39" s="22"/>
      <c r="K39" s="22"/>
      <c r="L39" s="22"/>
      <c r="M39" s="22"/>
      <c r="N39" s="22"/>
      <c r="O39" s="22">
        <f t="shared" si="16"/>
        <v>750537.3118</v>
      </c>
      <c r="P39" s="38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3">
        <v>7.0</v>
      </c>
      <c r="B40" s="3" t="s">
        <v>11</v>
      </c>
      <c r="C40" s="22">
        <f t="shared" si="17"/>
        <v>300000</v>
      </c>
      <c r="D40" s="22">
        <f t="shared" si="18"/>
        <v>99000</v>
      </c>
      <c r="E40" s="22">
        <f t="shared" si="19"/>
        <v>92370.26616</v>
      </c>
      <c r="F40" s="22">
        <f t="shared" si="20"/>
        <v>88699.88752</v>
      </c>
      <c r="G40" s="22">
        <f t="shared" si="21"/>
        <v>86184.50577</v>
      </c>
      <c r="H40" s="22">
        <f t="shared" si="22"/>
        <v>84282.65233</v>
      </c>
      <c r="I40" s="22">
        <f t="shared" ref="I40:I45" si="23">$C34*I$33</f>
        <v>82759.92141</v>
      </c>
      <c r="J40" s="22"/>
      <c r="K40" s="22"/>
      <c r="L40" s="22"/>
      <c r="M40" s="22"/>
      <c r="N40" s="22"/>
      <c r="O40" s="22">
        <f t="shared" si="16"/>
        <v>833297.2332</v>
      </c>
      <c r="P40" s="38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3">
        <v>8.0</v>
      </c>
      <c r="B41" s="3" t="s">
        <v>12</v>
      </c>
      <c r="C41" s="22">
        <f t="shared" si="17"/>
        <v>300000</v>
      </c>
      <c r="D41" s="22">
        <f t="shared" si="18"/>
        <v>99000</v>
      </c>
      <c r="E41" s="22">
        <f t="shared" si="19"/>
        <v>92370.26616</v>
      </c>
      <c r="F41" s="22">
        <f t="shared" si="20"/>
        <v>88699.88752</v>
      </c>
      <c r="G41" s="22">
        <f t="shared" si="21"/>
        <v>86184.50577</v>
      </c>
      <c r="H41" s="22">
        <f t="shared" si="22"/>
        <v>84282.65233</v>
      </c>
      <c r="I41" s="22">
        <f t="shared" si="23"/>
        <v>82759.92141</v>
      </c>
      <c r="J41" s="22">
        <f t="shared" ref="J41:J45" si="24">$C34*J$33</f>
        <v>81493.95415</v>
      </c>
      <c r="K41" s="22"/>
      <c r="L41" s="22"/>
      <c r="M41" s="22"/>
      <c r="N41" s="22"/>
      <c r="O41" s="22">
        <f t="shared" si="16"/>
        <v>914791.1873</v>
      </c>
      <c r="P41" s="38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3">
        <v>9.0</v>
      </c>
      <c r="B42" s="3" t="s">
        <v>13</v>
      </c>
      <c r="C42" s="22">
        <f t="shared" si="17"/>
        <v>300000</v>
      </c>
      <c r="D42" s="22">
        <f t="shared" si="18"/>
        <v>99000</v>
      </c>
      <c r="E42" s="22">
        <f t="shared" si="19"/>
        <v>92370.26616</v>
      </c>
      <c r="F42" s="22">
        <f t="shared" si="20"/>
        <v>88699.88752</v>
      </c>
      <c r="G42" s="22">
        <f t="shared" si="21"/>
        <v>86184.50577</v>
      </c>
      <c r="H42" s="22">
        <f t="shared" si="22"/>
        <v>84282.65233</v>
      </c>
      <c r="I42" s="22">
        <f t="shared" si="23"/>
        <v>82759.92141</v>
      </c>
      <c r="J42" s="22">
        <f t="shared" si="24"/>
        <v>81493.95415</v>
      </c>
      <c r="K42" s="22">
        <f t="shared" ref="K42:K45" si="25">$C34*K$33</f>
        <v>80412.98724</v>
      </c>
      <c r="L42" s="22"/>
      <c r="M42" s="22"/>
      <c r="N42" s="22"/>
      <c r="O42" s="22">
        <f t="shared" si="16"/>
        <v>995204.1746</v>
      </c>
      <c r="P42" s="38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3">
        <v>10.0</v>
      </c>
      <c r="B43" s="3" t="s">
        <v>14</v>
      </c>
      <c r="C43" s="22">
        <f t="shared" si="17"/>
        <v>300000</v>
      </c>
      <c r="D43" s="22">
        <f t="shared" si="18"/>
        <v>99000</v>
      </c>
      <c r="E43" s="22">
        <f t="shared" si="19"/>
        <v>92370.26616</v>
      </c>
      <c r="F43" s="22">
        <f t="shared" si="20"/>
        <v>88699.88752</v>
      </c>
      <c r="G43" s="22">
        <f t="shared" si="21"/>
        <v>86184.50577</v>
      </c>
      <c r="H43" s="22">
        <f t="shared" si="22"/>
        <v>84282.65233</v>
      </c>
      <c r="I43" s="22">
        <f t="shared" si="23"/>
        <v>82759.92141</v>
      </c>
      <c r="J43" s="22">
        <f t="shared" si="24"/>
        <v>81493.95415</v>
      </c>
      <c r="K43" s="22">
        <f t="shared" si="25"/>
        <v>80412.98724</v>
      </c>
      <c r="L43" s="22">
        <f t="shared" ref="L43:L45" si="26">$C34*L$33</f>
        <v>79471.41461</v>
      </c>
      <c r="M43" s="22"/>
      <c r="N43" s="22"/>
      <c r="O43" s="22">
        <f t="shared" si="16"/>
        <v>1074675.589</v>
      </c>
      <c r="P43" s="38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1">
        <v>11.0</v>
      </c>
      <c r="B44" s="3" t="s">
        <v>15</v>
      </c>
      <c r="C44" s="22">
        <f t="shared" si="17"/>
        <v>300000</v>
      </c>
      <c r="D44" s="22">
        <f t="shared" si="18"/>
        <v>99000</v>
      </c>
      <c r="E44" s="22">
        <f t="shared" si="19"/>
        <v>92370.26616</v>
      </c>
      <c r="F44" s="22">
        <f t="shared" si="20"/>
        <v>88699.88752</v>
      </c>
      <c r="G44" s="22">
        <f t="shared" si="21"/>
        <v>86184.50577</v>
      </c>
      <c r="H44" s="22">
        <f t="shared" si="22"/>
        <v>84282.65233</v>
      </c>
      <c r="I44" s="22">
        <f t="shared" si="23"/>
        <v>82759.92141</v>
      </c>
      <c r="J44" s="22">
        <f t="shared" si="24"/>
        <v>81493.95415</v>
      </c>
      <c r="K44" s="22">
        <f t="shared" si="25"/>
        <v>80412.98724</v>
      </c>
      <c r="L44" s="22">
        <f t="shared" si="26"/>
        <v>79471.41461</v>
      </c>
      <c r="M44" s="22">
        <f t="shared" ref="M44:M45" si="27">$C34*M$33</f>
        <v>78638.49524</v>
      </c>
      <c r="N44" s="22"/>
      <c r="O44" s="22">
        <f t="shared" si="16"/>
        <v>1153314.084</v>
      </c>
      <c r="P44" s="38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3">
        <v>12.0</v>
      </c>
      <c r="B45" s="3" t="s">
        <v>16</v>
      </c>
      <c r="C45" s="22">
        <f t="shared" si="17"/>
        <v>300000</v>
      </c>
      <c r="D45" s="22">
        <f t="shared" si="18"/>
        <v>99000</v>
      </c>
      <c r="E45" s="22">
        <f t="shared" si="19"/>
        <v>92370.26616</v>
      </c>
      <c r="F45" s="22">
        <f t="shared" si="20"/>
        <v>88699.88752</v>
      </c>
      <c r="G45" s="22">
        <f t="shared" si="21"/>
        <v>86184.50577</v>
      </c>
      <c r="H45" s="22">
        <f t="shared" si="22"/>
        <v>84282.65233</v>
      </c>
      <c r="I45" s="22">
        <f t="shared" si="23"/>
        <v>82759.92141</v>
      </c>
      <c r="J45" s="22">
        <f t="shared" si="24"/>
        <v>81493.95415</v>
      </c>
      <c r="K45" s="22">
        <f t="shared" si="25"/>
        <v>80412.98724</v>
      </c>
      <c r="L45" s="22">
        <f t="shared" si="26"/>
        <v>79471.41461</v>
      </c>
      <c r="M45" s="22">
        <f t="shared" si="27"/>
        <v>78638.49524</v>
      </c>
      <c r="N45" s="22">
        <f>$C35*N$33</f>
        <v>77892.55078</v>
      </c>
      <c r="O45" s="22">
        <f t="shared" si="16"/>
        <v>1231206.635</v>
      </c>
      <c r="P45" s="38">
        <f>O45/C45</f>
        <v>4.104022117</v>
      </c>
      <c r="Q45" s="1"/>
      <c r="R45" s="17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3"/>
      <c r="B47" s="6" t="s">
        <v>17</v>
      </c>
      <c r="D47" s="26"/>
      <c r="E47" s="26"/>
      <c r="F47" s="26"/>
      <c r="G47" s="26"/>
      <c r="H47" s="26"/>
      <c r="I47" s="26"/>
      <c r="J47" s="26"/>
      <c r="K47" s="26"/>
      <c r="L47" s="26"/>
      <c r="M47" s="6" t="s">
        <v>4</v>
      </c>
      <c r="N47" s="27"/>
      <c r="O47" s="28">
        <v>1200000.0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3"/>
      <c r="B48" s="3"/>
      <c r="C48" s="3"/>
      <c r="D48" s="37"/>
      <c r="E48" s="1"/>
      <c r="F48" s="1"/>
      <c r="G48" s="1"/>
      <c r="H48" s="1"/>
      <c r="I48" s="1"/>
      <c r="J48" s="1"/>
      <c r="K48" s="1"/>
      <c r="L48" s="1"/>
      <c r="M48" s="3" t="s">
        <v>21</v>
      </c>
      <c r="N48" s="1"/>
      <c r="O48" s="40">
        <f>O47*O25</f>
        <v>240000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3"/>
      <c r="B49" s="3"/>
      <c r="C49" s="3"/>
      <c r="D49" s="37"/>
      <c r="E49" s="1"/>
      <c r="F49" s="1"/>
      <c r="G49" s="1"/>
      <c r="H49" s="1"/>
      <c r="I49" s="1"/>
      <c r="J49" s="1"/>
      <c r="K49" s="1"/>
      <c r="L49" s="1"/>
      <c r="M49" s="3" t="s">
        <v>22</v>
      </c>
      <c r="N49" s="1"/>
      <c r="O49" s="33">
        <f>C34*0.2</f>
        <v>60000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3"/>
      <c r="B50" s="3"/>
      <c r="C50" s="3"/>
      <c r="D50" s="37"/>
      <c r="E50" s="1"/>
      <c r="F50" s="1"/>
      <c r="G50" s="1"/>
      <c r="H50" s="1"/>
      <c r="I50" s="1"/>
      <c r="J50" s="1"/>
      <c r="K50" s="1"/>
      <c r="L50" s="1"/>
      <c r="M50" s="3" t="s">
        <v>26</v>
      </c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3"/>
      <c r="B51" s="25"/>
      <c r="C51" s="3"/>
      <c r="D51" s="3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41"/>
      <c r="B52" s="42"/>
      <c r="C52" s="41"/>
      <c r="D52" s="43">
        <v>1.0</v>
      </c>
      <c r="E52" s="44">
        <v>2.0</v>
      </c>
      <c r="F52" s="44">
        <v>3.0</v>
      </c>
      <c r="G52" s="44">
        <v>4.0</v>
      </c>
      <c r="H52" s="44">
        <v>5.0</v>
      </c>
      <c r="I52" s="44">
        <v>6.0</v>
      </c>
      <c r="J52" s="44">
        <v>7.0</v>
      </c>
      <c r="K52" s="44">
        <v>8.0</v>
      </c>
      <c r="L52" s="44">
        <v>9.0</v>
      </c>
      <c r="M52" s="44">
        <v>10.0</v>
      </c>
      <c r="N52" s="44">
        <v>11.0</v>
      </c>
      <c r="O52" s="42"/>
      <c r="P52" s="42"/>
      <c r="Q52" s="42"/>
      <c r="R52" s="42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41"/>
      <c r="B53" s="26" t="s">
        <v>3</v>
      </c>
      <c r="C53" s="45">
        <v>1.0</v>
      </c>
      <c r="D53" s="45">
        <f t="shared" ref="D53:N53" si="28">0.66*D52^-0.2</f>
        <v>0.66</v>
      </c>
      <c r="E53" s="45">
        <f t="shared" si="28"/>
        <v>0.5745633718</v>
      </c>
      <c r="F53" s="45">
        <f t="shared" si="28"/>
        <v>0.5298094308</v>
      </c>
      <c r="G53" s="45">
        <f t="shared" si="28"/>
        <v>0.5001864669</v>
      </c>
      <c r="H53" s="45">
        <f t="shared" si="28"/>
        <v>0.478354578</v>
      </c>
      <c r="I53" s="45">
        <f t="shared" si="28"/>
        <v>0.4612258984</v>
      </c>
      <c r="J53" s="45">
        <f t="shared" si="28"/>
        <v>0.4472232028</v>
      </c>
      <c r="K53" s="45">
        <f t="shared" si="28"/>
        <v>0.4354376106</v>
      </c>
      <c r="L53" s="45">
        <f t="shared" si="28"/>
        <v>0.4253000499</v>
      </c>
      <c r="M53" s="45">
        <f t="shared" si="28"/>
        <v>0.4164318474</v>
      </c>
      <c r="N53" s="45">
        <f t="shared" si="28"/>
        <v>0.4085689877</v>
      </c>
      <c r="O53" s="2" t="s">
        <v>4</v>
      </c>
      <c r="P53" s="42"/>
      <c r="Q53" s="46" t="s">
        <v>29</v>
      </c>
      <c r="R53" s="46" t="s">
        <v>30</v>
      </c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47">
        <v>1.0</v>
      </c>
      <c r="B54" s="42" t="s">
        <v>5</v>
      </c>
      <c r="C54" s="48">
        <v>200000.0</v>
      </c>
      <c r="D54" s="41"/>
      <c r="E54" s="42"/>
      <c r="F54" s="42"/>
      <c r="G54" s="42"/>
      <c r="H54" s="42"/>
      <c r="I54" s="42"/>
      <c r="J54" s="42"/>
      <c r="K54" s="42"/>
      <c r="L54" s="42"/>
      <c r="M54" s="42"/>
      <c r="N54" s="49"/>
      <c r="O54" s="50">
        <f t="shared" ref="O54:O65" si="29">SUM(C54:N54)</f>
        <v>200000</v>
      </c>
      <c r="P54" s="51">
        <f t="shared" ref="P54:P65" si="30">O54/C54</f>
        <v>1</v>
      </c>
      <c r="Q54" s="42"/>
      <c r="R54" s="42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7">
        <v>2.0</v>
      </c>
      <c r="B55" s="42" t="s">
        <v>6</v>
      </c>
      <c r="C55" s="48">
        <f t="shared" ref="C55:C65" si="31">C54</f>
        <v>200000</v>
      </c>
      <c r="D55" s="50">
        <f t="shared" ref="D55:D65" si="32">$C54*D$53</f>
        <v>132000</v>
      </c>
      <c r="E55" s="52"/>
      <c r="F55" s="52"/>
      <c r="G55" s="52"/>
      <c r="H55" s="52"/>
      <c r="I55" s="52"/>
      <c r="J55" s="52"/>
      <c r="K55" s="52"/>
      <c r="L55" s="52"/>
      <c r="M55" s="52"/>
      <c r="N55" s="49"/>
      <c r="O55" s="50">
        <f t="shared" si="29"/>
        <v>332000</v>
      </c>
      <c r="P55" s="51">
        <f t="shared" si="30"/>
        <v>1.66</v>
      </c>
      <c r="Q55" s="53">
        <f>C54-D55</f>
        <v>68000</v>
      </c>
      <c r="R55" s="53">
        <f>C54-D55</f>
        <v>68000</v>
      </c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47">
        <v>3.0</v>
      </c>
      <c r="B56" s="42" t="s">
        <v>7</v>
      </c>
      <c r="C56" s="48">
        <f t="shared" si="31"/>
        <v>200000</v>
      </c>
      <c r="D56" s="50">
        <f t="shared" si="32"/>
        <v>132000</v>
      </c>
      <c r="E56" s="54">
        <f t="shared" ref="E56:E65" si="33">$C54*E$53</f>
        <v>114912.6744</v>
      </c>
      <c r="F56" s="52"/>
      <c r="G56" s="52"/>
      <c r="H56" s="52"/>
      <c r="I56" s="52"/>
      <c r="J56" s="52"/>
      <c r="K56" s="52"/>
      <c r="L56" s="52"/>
      <c r="M56" s="52"/>
      <c r="N56" s="49"/>
      <c r="O56" s="50">
        <f t="shared" si="29"/>
        <v>446912.6744</v>
      </c>
      <c r="P56" s="51">
        <f t="shared" si="30"/>
        <v>2.234563372</v>
      </c>
      <c r="Q56" s="53">
        <f t="shared" ref="Q56:Q65" si="34">SUM(C55:N55)-SUM(D56:N56)</f>
        <v>85087.32564</v>
      </c>
      <c r="R56" s="53">
        <f t="shared" ref="R56:R65" si="35">SUM(C$54:C55)-SUM(D56:N56)</f>
        <v>153087.3256</v>
      </c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47">
        <v>4.0</v>
      </c>
      <c r="B57" s="42" t="s">
        <v>8</v>
      </c>
      <c r="C57" s="48">
        <f t="shared" si="31"/>
        <v>200000</v>
      </c>
      <c r="D57" s="50">
        <f t="shared" si="32"/>
        <v>132000</v>
      </c>
      <c r="E57" s="54">
        <f t="shared" si="33"/>
        <v>114912.6744</v>
      </c>
      <c r="F57" s="54">
        <f t="shared" ref="F57:F65" si="36">$C54*F$53</f>
        <v>105961.8862</v>
      </c>
      <c r="G57" s="52"/>
      <c r="H57" s="52"/>
      <c r="I57" s="52"/>
      <c r="J57" s="52"/>
      <c r="K57" s="52"/>
      <c r="L57" s="52"/>
      <c r="M57" s="52"/>
      <c r="N57" s="49"/>
      <c r="O57" s="50">
        <f t="shared" si="29"/>
        <v>552874.5605</v>
      </c>
      <c r="P57" s="51">
        <f t="shared" si="30"/>
        <v>2.764372803</v>
      </c>
      <c r="Q57" s="53">
        <f t="shared" si="34"/>
        <v>94038.11385</v>
      </c>
      <c r="R57" s="53">
        <f t="shared" si="35"/>
        <v>247125.4395</v>
      </c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47">
        <v>5.0</v>
      </c>
      <c r="B58" s="42" t="s">
        <v>9</v>
      </c>
      <c r="C58" s="48">
        <f t="shared" si="31"/>
        <v>200000</v>
      </c>
      <c r="D58" s="55">
        <f t="shared" si="32"/>
        <v>132000</v>
      </c>
      <c r="E58" s="55">
        <f t="shared" si="33"/>
        <v>114912.6744</v>
      </c>
      <c r="F58" s="55">
        <f t="shared" si="36"/>
        <v>105961.8862</v>
      </c>
      <c r="G58" s="55">
        <f t="shared" ref="G58:G65" si="37">$C54*G$53</f>
        <v>100037.2934</v>
      </c>
      <c r="H58" s="49"/>
      <c r="I58" s="49"/>
      <c r="J58" s="49"/>
      <c r="K58" s="49"/>
      <c r="L58" s="49"/>
      <c r="M58" s="49"/>
      <c r="N58" s="49"/>
      <c r="O58" s="55">
        <f t="shared" si="29"/>
        <v>652911.8539</v>
      </c>
      <c r="P58" s="51">
        <f t="shared" si="30"/>
        <v>3.264559269</v>
      </c>
      <c r="Q58" s="53">
        <f t="shared" si="34"/>
        <v>99962.70661</v>
      </c>
      <c r="R58" s="53">
        <f t="shared" si="35"/>
        <v>347088.1461</v>
      </c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47">
        <v>6.0</v>
      </c>
      <c r="B59" s="42" t="s">
        <v>10</v>
      </c>
      <c r="C59" s="48">
        <f t="shared" si="31"/>
        <v>200000</v>
      </c>
      <c r="D59" s="55">
        <f t="shared" si="32"/>
        <v>132000</v>
      </c>
      <c r="E59" s="55">
        <f t="shared" si="33"/>
        <v>114912.6744</v>
      </c>
      <c r="F59" s="55">
        <f t="shared" si="36"/>
        <v>105961.8862</v>
      </c>
      <c r="G59" s="55">
        <f t="shared" si="37"/>
        <v>100037.2934</v>
      </c>
      <c r="H59" s="55">
        <f t="shared" ref="H59:H65" si="38">$C54*H$53</f>
        <v>95670.91561</v>
      </c>
      <c r="I59" s="49"/>
      <c r="J59" s="49"/>
      <c r="K59" s="49"/>
      <c r="L59" s="49"/>
      <c r="M59" s="49"/>
      <c r="N59" s="49"/>
      <c r="O59" s="55">
        <f t="shared" si="29"/>
        <v>748582.7695</v>
      </c>
      <c r="P59" s="51">
        <f t="shared" si="30"/>
        <v>3.742913848</v>
      </c>
      <c r="Q59" s="53">
        <f t="shared" si="34"/>
        <v>104329.0844</v>
      </c>
      <c r="R59" s="53">
        <f t="shared" si="35"/>
        <v>451417.2305</v>
      </c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47">
        <v>7.0</v>
      </c>
      <c r="B60" s="42" t="s">
        <v>11</v>
      </c>
      <c r="C60" s="48">
        <f t="shared" si="31"/>
        <v>200000</v>
      </c>
      <c r="D60" s="55">
        <f t="shared" si="32"/>
        <v>132000</v>
      </c>
      <c r="E60" s="55">
        <f t="shared" si="33"/>
        <v>114912.6744</v>
      </c>
      <c r="F60" s="55">
        <f t="shared" si="36"/>
        <v>105961.8862</v>
      </c>
      <c r="G60" s="55">
        <f t="shared" si="37"/>
        <v>100037.2934</v>
      </c>
      <c r="H60" s="55">
        <f t="shared" si="38"/>
        <v>95670.91561</v>
      </c>
      <c r="I60" s="55">
        <f t="shared" ref="I60:I65" si="39">$C54*I$53</f>
        <v>92245.17968</v>
      </c>
      <c r="J60" s="49"/>
      <c r="K60" s="49"/>
      <c r="L60" s="49"/>
      <c r="M60" s="49"/>
      <c r="N60" s="49"/>
      <c r="O60" s="55">
        <f t="shared" si="29"/>
        <v>840827.9492</v>
      </c>
      <c r="P60" s="51">
        <f t="shared" si="30"/>
        <v>4.204139746</v>
      </c>
      <c r="Q60" s="53">
        <f t="shared" si="34"/>
        <v>107754.8203</v>
      </c>
      <c r="R60" s="53">
        <f t="shared" si="35"/>
        <v>559172.0508</v>
      </c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47">
        <v>8.0</v>
      </c>
      <c r="B61" s="42" t="s">
        <v>12</v>
      </c>
      <c r="C61" s="48">
        <f t="shared" si="31"/>
        <v>200000</v>
      </c>
      <c r="D61" s="55">
        <f t="shared" si="32"/>
        <v>132000</v>
      </c>
      <c r="E61" s="55">
        <f t="shared" si="33"/>
        <v>114912.6744</v>
      </c>
      <c r="F61" s="55">
        <f t="shared" si="36"/>
        <v>105961.8862</v>
      </c>
      <c r="G61" s="55">
        <f t="shared" si="37"/>
        <v>100037.2934</v>
      </c>
      <c r="H61" s="55">
        <f t="shared" si="38"/>
        <v>95670.91561</v>
      </c>
      <c r="I61" s="55">
        <f t="shared" si="39"/>
        <v>92245.17968</v>
      </c>
      <c r="J61" s="55">
        <f t="shared" ref="J61:J65" si="40">$C54*J$53</f>
        <v>89444.64057</v>
      </c>
      <c r="K61" s="49"/>
      <c r="L61" s="49"/>
      <c r="M61" s="49"/>
      <c r="N61" s="49"/>
      <c r="O61" s="55">
        <f t="shared" si="29"/>
        <v>930272.5897</v>
      </c>
      <c r="P61" s="51">
        <f t="shared" si="30"/>
        <v>4.651362949</v>
      </c>
      <c r="Q61" s="53">
        <f t="shared" si="34"/>
        <v>110555.3594</v>
      </c>
      <c r="R61" s="53">
        <f t="shared" si="35"/>
        <v>669727.4103</v>
      </c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47">
        <v>9.0</v>
      </c>
      <c r="B62" s="42" t="s">
        <v>13</v>
      </c>
      <c r="C62" s="48">
        <f t="shared" si="31"/>
        <v>200000</v>
      </c>
      <c r="D62" s="55">
        <f t="shared" si="32"/>
        <v>132000</v>
      </c>
      <c r="E62" s="55">
        <f t="shared" si="33"/>
        <v>114912.6744</v>
      </c>
      <c r="F62" s="55">
        <f t="shared" si="36"/>
        <v>105961.8862</v>
      </c>
      <c r="G62" s="55">
        <f t="shared" si="37"/>
        <v>100037.2934</v>
      </c>
      <c r="H62" s="55">
        <f t="shared" si="38"/>
        <v>95670.91561</v>
      </c>
      <c r="I62" s="55">
        <f t="shared" si="39"/>
        <v>92245.17968</v>
      </c>
      <c r="J62" s="55">
        <f t="shared" si="40"/>
        <v>89444.64057</v>
      </c>
      <c r="K62" s="55">
        <f t="shared" ref="K62:K65" si="41">$C54*K$53</f>
        <v>87087.52211</v>
      </c>
      <c r="L62" s="49"/>
      <c r="M62" s="49"/>
      <c r="N62" s="49"/>
      <c r="O62" s="55">
        <f t="shared" si="29"/>
        <v>1017360.112</v>
      </c>
      <c r="P62" s="51">
        <f t="shared" si="30"/>
        <v>5.086800559</v>
      </c>
      <c r="Q62" s="53">
        <f t="shared" si="34"/>
        <v>112912.4779</v>
      </c>
      <c r="R62" s="53">
        <f t="shared" si="35"/>
        <v>782639.8881</v>
      </c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47">
        <v>10.0</v>
      </c>
      <c r="B63" s="42" t="s">
        <v>14</v>
      </c>
      <c r="C63" s="48">
        <f t="shared" si="31"/>
        <v>200000</v>
      </c>
      <c r="D63" s="55">
        <f t="shared" si="32"/>
        <v>132000</v>
      </c>
      <c r="E63" s="55">
        <f t="shared" si="33"/>
        <v>114912.6744</v>
      </c>
      <c r="F63" s="55">
        <f t="shared" si="36"/>
        <v>105961.8862</v>
      </c>
      <c r="G63" s="55">
        <f t="shared" si="37"/>
        <v>100037.2934</v>
      </c>
      <c r="H63" s="55">
        <f t="shared" si="38"/>
        <v>95670.91561</v>
      </c>
      <c r="I63" s="55">
        <f t="shared" si="39"/>
        <v>92245.17968</v>
      </c>
      <c r="J63" s="55">
        <f t="shared" si="40"/>
        <v>89444.64057</v>
      </c>
      <c r="K63" s="55">
        <f t="shared" si="41"/>
        <v>87087.52211</v>
      </c>
      <c r="L63" s="55">
        <f t="shared" ref="L63:L65" si="42">$C54*L$53</f>
        <v>85060.00998</v>
      </c>
      <c r="M63" s="49"/>
      <c r="N63" s="49"/>
      <c r="O63" s="55">
        <f t="shared" si="29"/>
        <v>1102420.122</v>
      </c>
      <c r="P63" s="51">
        <f t="shared" si="30"/>
        <v>5.512100609</v>
      </c>
      <c r="Q63" s="53">
        <f t="shared" si="34"/>
        <v>114939.99</v>
      </c>
      <c r="R63" s="53">
        <f t="shared" si="35"/>
        <v>897579.8782</v>
      </c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47">
        <v>11.0</v>
      </c>
      <c r="B64" s="42" t="s">
        <v>15</v>
      </c>
      <c r="C64" s="48">
        <f t="shared" si="31"/>
        <v>200000</v>
      </c>
      <c r="D64" s="55">
        <f t="shared" si="32"/>
        <v>132000</v>
      </c>
      <c r="E64" s="55">
        <f t="shared" si="33"/>
        <v>114912.6744</v>
      </c>
      <c r="F64" s="55">
        <f t="shared" si="36"/>
        <v>105961.8862</v>
      </c>
      <c r="G64" s="55">
        <f t="shared" si="37"/>
        <v>100037.2934</v>
      </c>
      <c r="H64" s="55">
        <f t="shared" si="38"/>
        <v>95670.91561</v>
      </c>
      <c r="I64" s="55">
        <f t="shared" si="39"/>
        <v>92245.17968</v>
      </c>
      <c r="J64" s="55">
        <f t="shared" si="40"/>
        <v>89444.64057</v>
      </c>
      <c r="K64" s="55">
        <f t="shared" si="41"/>
        <v>87087.52211</v>
      </c>
      <c r="L64" s="55">
        <f t="shared" si="42"/>
        <v>85060.00998</v>
      </c>
      <c r="M64" s="55">
        <f t="shared" ref="M64:M65" si="43">$C54*M$53</f>
        <v>83286.36947</v>
      </c>
      <c r="N64" s="49"/>
      <c r="O64" s="55">
        <f t="shared" si="29"/>
        <v>1185706.491</v>
      </c>
      <c r="P64" s="51">
        <f t="shared" si="30"/>
        <v>5.928532457</v>
      </c>
      <c r="Q64" s="53">
        <f t="shared" si="34"/>
        <v>116713.6305</v>
      </c>
      <c r="R64" s="53">
        <f t="shared" si="35"/>
        <v>1014293.509</v>
      </c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47">
        <v>12.0</v>
      </c>
      <c r="B65" s="42" t="s">
        <v>16</v>
      </c>
      <c r="C65" s="48">
        <f t="shared" si="31"/>
        <v>200000</v>
      </c>
      <c r="D65" s="55">
        <f t="shared" si="32"/>
        <v>132000</v>
      </c>
      <c r="E65" s="55">
        <f t="shared" si="33"/>
        <v>114912.6744</v>
      </c>
      <c r="F65" s="55">
        <f t="shared" si="36"/>
        <v>105961.8862</v>
      </c>
      <c r="G65" s="55">
        <f t="shared" si="37"/>
        <v>100037.2934</v>
      </c>
      <c r="H65" s="55">
        <f t="shared" si="38"/>
        <v>95670.91561</v>
      </c>
      <c r="I65" s="55">
        <f t="shared" si="39"/>
        <v>92245.17968</v>
      </c>
      <c r="J65" s="55">
        <f t="shared" si="40"/>
        <v>89444.64057</v>
      </c>
      <c r="K65" s="55">
        <f t="shared" si="41"/>
        <v>87087.52211</v>
      </c>
      <c r="L65" s="55">
        <f t="shared" si="42"/>
        <v>85060.00998</v>
      </c>
      <c r="M65" s="55">
        <f t="shared" si="43"/>
        <v>83286.36947</v>
      </c>
      <c r="N65" s="55">
        <f>$C55*N$53</f>
        <v>81713.79753</v>
      </c>
      <c r="O65" s="55">
        <f t="shared" si="29"/>
        <v>1267420.289</v>
      </c>
      <c r="P65" s="56">
        <f t="shared" si="30"/>
        <v>6.337101444</v>
      </c>
      <c r="Q65" s="53">
        <f t="shared" si="34"/>
        <v>118286.2025</v>
      </c>
      <c r="R65" s="53">
        <f t="shared" si="35"/>
        <v>1132579.711</v>
      </c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41"/>
      <c r="B66" s="42"/>
      <c r="C66" s="41"/>
      <c r="D66" s="41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1"/>
      <c r="B67" s="26" t="s">
        <v>17</v>
      </c>
      <c r="C67" s="33">
        <f>C54*0.2</f>
        <v>40000</v>
      </c>
      <c r="D67" s="41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57">
        <v>1200000.0</v>
      </c>
      <c r="P67" s="42"/>
      <c r="Q67" s="42"/>
      <c r="R67" s="42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3"/>
      <c r="D68" s="5"/>
      <c r="E68" s="5"/>
      <c r="F68" s="5"/>
      <c r="G68" s="5"/>
      <c r="H68" s="5"/>
      <c r="I68" s="5"/>
      <c r="J68" s="5"/>
      <c r="K68" s="5"/>
      <c r="L68" s="5"/>
      <c r="M68" s="5"/>
      <c r="N68" s="1"/>
      <c r="O68" s="40">
        <f>O67*O25</f>
        <v>240000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3"/>
      <c r="D69" s="5"/>
      <c r="E69" s="5"/>
      <c r="F69" s="5"/>
      <c r="G69" s="5"/>
      <c r="H69" s="5"/>
      <c r="I69" s="5"/>
      <c r="J69" s="5"/>
      <c r="K69" s="5"/>
      <c r="L69" s="5"/>
      <c r="M69" s="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3"/>
      <c r="D70" s="5"/>
      <c r="E70" s="5"/>
      <c r="F70" s="5"/>
      <c r="G70" s="5"/>
      <c r="H70" s="5"/>
      <c r="I70" s="5"/>
      <c r="J70" s="5"/>
      <c r="K70" s="5"/>
      <c r="L70" s="5"/>
      <c r="M70" s="3" t="s">
        <v>22</v>
      </c>
      <c r="N70" s="1"/>
      <c r="O70" s="33">
        <f>O71*C54</f>
        <v>40000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6"/>
      <c r="C71" s="11"/>
      <c r="D71" s="58"/>
      <c r="E71" s="58"/>
      <c r="F71" s="58"/>
      <c r="G71" s="58"/>
      <c r="H71" s="58"/>
      <c r="I71" s="58"/>
      <c r="J71" s="58"/>
      <c r="K71" s="58"/>
      <c r="L71" s="58"/>
      <c r="M71" s="3" t="s">
        <v>26</v>
      </c>
      <c r="N71" s="1"/>
      <c r="O71" s="35">
        <v>0.2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3"/>
      <c r="B73" s="3"/>
      <c r="C73" s="3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17"/>
      <c r="O73" s="17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3"/>
      <c r="B74" s="3"/>
      <c r="C74" s="3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17"/>
      <c r="O74" s="1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3"/>
      <c r="B75" s="3"/>
      <c r="C75" s="3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7"/>
      <c r="O75" s="1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3"/>
      <c r="B76" s="3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3"/>
      <c r="B77" s="3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3"/>
      <c r="B78" s="3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3"/>
      <c r="B79" s="3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3"/>
      <c r="B80" s="3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3"/>
      <c r="B81" s="3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3"/>
      <c r="B82" s="3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3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6"/>
      <c r="B87" s="6"/>
      <c r="C87" s="11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3"/>
      <c r="B88" s="3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3"/>
      <c r="B89" s="3"/>
      <c r="C89" s="3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17"/>
      <c r="O89" s="17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3"/>
      <c r="B90" s="3"/>
      <c r="C90" s="3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17"/>
      <c r="O90" s="17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3"/>
      <c r="B91" s="3"/>
      <c r="C91" s="3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17"/>
      <c r="O91" s="1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3"/>
      <c r="B92" s="3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3"/>
      <c r="B93" s="3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3"/>
      <c r="B97" s="3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3"/>
      <c r="B98" s="3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3"/>
      <c r="B104" s="3"/>
      <c r="C104" s="3"/>
      <c r="D104" s="3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6"/>
      <c r="C106" s="11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3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3"/>
      <c r="B108" s="3"/>
      <c r="C108" s="3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17"/>
      <c r="O108" s="17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3"/>
      <c r="B109" s="3"/>
      <c r="C109" s="3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17"/>
      <c r="O109" s="17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3"/>
      <c r="B110" s="3"/>
      <c r="C110" s="3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17"/>
      <c r="O110" s="17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3"/>
      <c r="B111" s="3"/>
      <c r="C111" s="59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3"/>
      <c r="B112" s="3"/>
      <c r="C112" s="59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3"/>
      <c r="B113" s="3"/>
      <c r="C113" s="59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3"/>
      <c r="B114" s="3"/>
      <c r="C114" s="59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3"/>
      <c r="B115" s="3"/>
      <c r="C115" s="59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3"/>
      <c r="B116" s="3"/>
      <c r="C116" s="59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3"/>
      <c r="B117" s="3"/>
      <c r="C117" s="59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38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</sheetData>
  <drawing r:id="rId1"/>
</worksheet>
</file>