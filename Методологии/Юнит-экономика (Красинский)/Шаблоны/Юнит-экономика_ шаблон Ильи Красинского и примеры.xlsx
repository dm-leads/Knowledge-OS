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Илья: Конечно в воронке всегда больше шагов, но важна именно С1 — покупатели / пользователей.
Обратите внимание, мы делим и считаем от пользователей: не на регистрации или лидов, а от приземления пользователей из рекламных кампаний.
Конечно часто добавляют больше шагов воронки — в данном случае это пример</t>
      </text>
    </comment>
    <comment authorId="0" ref="F3">
      <text>
        <t xml:space="preserve">Илья: Конечно, тут обычно больше шагов для воронки, но это пример и шаблон</t>
      </text>
    </comment>
    <comment authorId="0" ref="Z3">
      <text>
        <t xml:space="preserve">Это не точная метрика с точки зрения финансов: Прибыль с потока пользователей когортная, с учётом будущих платежей, а фикс расходы текущего месяца. Но даёт понимание примерного вклада команды в прибыль.</t>
      </text>
    </comment>
  </commentList>
</comments>
</file>

<file path=xl/sharedStrings.xml><?xml version="1.0" encoding="utf-8"?>
<sst xmlns="http://schemas.openxmlformats.org/spreadsheetml/2006/main" count="60" uniqueCount="59">
  <si>
    <t>доход на 1-го платящего</t>
  </si>
  <si>
    <t>на 1-го привлеченного</t>
  </si>
  <si>
    <t>Шаблон расчёта юнит-экономики</t>
  </si>
  <si>
    <t>поток пользователей или потенц. клиентов</t>
  </si>
  <si>
    <t>конверсия 
в регистрацию
или в лида</t>
  </si>
  <si>
    <t>конверсия 
в 1-ю покупку</t>
  </si>
  <si>
    <t>число платящих</t>
  </si>
  <si>
    <t>оплаченные заказы
или платежи</t>
  </si>
  <si>
    <t>доход на 1-го платящего,
Average Revenue Per Paying User</t>
  </si>
  <si>
    <t>в среднем клиент платит</t>
  </si>
  <si>
    <t>издержки на каждой продаже или комиссия</t>
  </si>
  <si>
    <t>издержка на 1-й продаже</t>
  </si>
  <si>
    <t>число покупок на 1-го платящего</t>
  </si>
  <si>
    <t>стоимость привлечения платящего</t>
  </si>
  <si>
    <r>
      <rPr>
        <rFont val="Trebuchet MS"/>
        <sz val="6.0"/>
      </rPr>
      <t xml:space="preserve">стоимость привлечения
пользователя
</t>
    </r>
    <r>
      <rPr>
        <rFont val="Trebuchet MS"/>
        <b/>
        <sz val="6.0"/>
      </rPr>
      <t>CPInstall, иногда CPLead</t>
    </r>
  </si>
  <si>
    <t>маржа на 1-го привлеченного
Average Revenue Per User</t>
  </si>
  <si>
    <t>прибыль
на потоке пользователей</t>
  </si>
  <si>
    <t>Возрат на инветиции в привлеч. пользов.</t>
  </si>
  <si>
    <t>Прибыль с потока пользователей</t>
  </si>
  <si>
    <t>Выручка с потока пользователей</t>
  </si>
  <si>
    <t>Маржа с потока пользователей</t>
  </si>
  <si>
    <t>Расходы на привлечение
 пользователей
в том числе зп продажников</t>
  </si>
  <si>
    <t>Ограниченные сверху расходы в месяц на зарплаты, аренду офиса, сервера</t>
  </si>
  <si>
    <t>Прибыль после фикс расходов</t>
  </si>
  <si>
    <r>
      <rPr>
        <sz val="9.0"/>
      </rPr>
      <t xml:space="preserve">Автор — Илья Красинский, CEO &amp; Founder </t>
    </r>
    <r>
      <rPr>
        <color rgb="FF1155CC"/>
        <sz val="9.0"/>
        <u/>
      </rPr>
      <t>Rick.ai</t>
    </r>
    <r>
      <rPr>
        <sz val="9.0"/>
      </rPr>
      <t xml:space="preserve"> и Co-founder </t>
    </r>
    <r>
      <rPr>
        <color rgb="FF1155CC"/>
        <sz val="9.0"/>
        <u/>
      </rPr>
      <t>Uncrn.me</t>
    </r>
  </si>
  <si>
    <t>User or Lead Acqusition</t>
  </si>
  <si>
    <r>
      <rPr>
        <rFont val="Trebuchet MS"/>
        <b/>
        <sz val="8.0"/>
      </rPr>
      <t xml:space="preserve">conv 
</t>
    </r>
    <r>
      <rPr>
        <rFont val="Trebuchet MS"/>
        <b val="0"/>
        <i/>
        <sz val="8.0"/>
      </rPr>
      <t>to regs 
or lead</t>
    </r>
  </si>
  <si>
    <t>С1</t>
  </si>
  <si>
    <t>Buyers</t>
  </si>
  <si>
    <t>Payments</t>
  </si>
  <si>
    <r>
      <rPr>
        <rFont val="Trebuchet MS"/>
        <b/>
        <sz val="8.0"/>
      </rPr>
      <t xml:space="preserve">AMPPU,
ARPPU, 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>CLTV</t>
    </r>
  </si>
  <si>
    <t>Av. Price</t>
  </si>
  <si>
    <r>
      <rPr>
        <rFont val="Trebuchet MS"/>
        <b/>
        <sz val="8.0"/>
      </rPr>
      <t xml:space="preserve">COGS 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 xml:space="preserve">Commissions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>Margin</t>
    </r>
  </si>
  <si>
    <t>Скидка</t>
  </si>
  <si>
    <t>1st sale COGS</t>
  </si>
  <si>
    <t>Av Payment Count
or LifeTime</t>
  </si>
  <si>
    <t>CAC, Customer Acquisition Costs</t>
  </si>
  <si>
    <r>
      <rPr>
        <rFont val="Trebuchet MS"/>
        <b/>
        <sz val="8.0"/>
      </rPr>
      <t xml:space="preserve">Cost Per Acqusition </t>
    </r>
    <r>
      <rPr>
        <rFont val="Trebuchet MS"/>
        <b val="0"/>
        <i/>
        <sz val="8.0"/>
      </rPr>
      <t>or</t>
    </r>
    <r>
      <rPr>
        <rFont val="Trebuchet MS"/>
        <b/>
        <sz val="8.0"/>
      </rPr>
      <t xml:space="preserve"> CPUser</t>
    </r>
  </si>
  <si>
    <t>AMPU 
or LTV</t>
  </si>
  <si>
    <t>AMPU−
CPUser</t>
  </si>
  <si>
    <t>ROI</t>
  </si>
  <si>
    <t>Profit</t>
  </si>
  <si>
    <t>Revenue</t>
  </si>
  <si>
    <t>Gross Profit</t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</si>
  <si>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издержки после продажи</t>
    </r>
  </si>
  <si>
    <r>
      <rPr>
        <rFont val="Trebuchet MS"/>
        <b/>
        <sz val="9.0"/>
      </rPr>
      <t xml:space="preserve">Acq Costs
</t>
    </r>
    <r>
      <rPr>
        <rFont val="Trebuchet MS"/>
        <b val="0"/>
        <i/>
        <sz val="8.0"/>
      </rPr>
      <t>расходы на привлечение и продажи до продажи</t>
    </r>
  </si>
  <si>
    <t>Fix Costs 
в месяц</t>
  </si>
  <si>
    <t>FastFashion</t>
  </si>
  <si>
    <t>Платные каналы</t>
  </si>
  <si>
    <t>Elect-shop</t>
  </si>
  <si>
    <t>NewBeautyBox 1</t>
  </si>
  <si>
    <t>NewBeautyBox 2</t>
  </si>
  <si>
    <t>доставка еды</t>
  </si>
  <si>
    <t>все пользователи</t>
  </si>
  <si>
    <t>paid каналы</t>
  </si>
  <si>
    <t>free каналы</t>
  </si>
  <si>
    <t>музыка</t>
  </si>
  <si>
    <t>сервис изучения английского</t>
  </si>
  <si>
    <t>Вакансии Гладлакса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</si>
</sst>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 ### ##0 [$р.]"/>
    <numFmt numFmtId="166" formatCode="[$р.-419]#,##0"/>
    <numFmt numFmtId="167" formatCode="# ### ##0.0 [$р.]"/>
    <numFmt numFmtId="168" formatCode="#,##0.0"/>
  </numFmts>
  <fonts count="11">
    <font>
      <sz val="10.0"/>
      <color rgb="FF000000"/>
      <name val="Arial"/>
    </font>
    <font>
      <sz val="7.0"/>
      <name val="Trebuchet MS"/>
    </font>
    <font>
      <sz val="8.0"/>
      <name val="Trebuchet MS"/>
    </font>
    <font>
      <b/>
      <sz val="11.0"/>
    </font>
    <font>
      <sz val="6.0"/>
      <name val="Trebuchet MS"/>
    </font>
    <font>
      <u/>
      <sz val="9.0"/>
      <color rgb="FF0000FF"/>
    </font>
    <font>
      <b/>
      <sz val="8.0"/>
      <name val="Trebuchet MS"/>
    </font>
    <font>
      <b/>
      <sz val="10.0"/>
      <name val="Trebuchet MS"/>
    </font>
    <font>
      <b/>
      <sz val="9.0"/>
      <name val="Trebuchet MS"/>
    </font>
    <font>
      <name val="Trebuchet MS"/>
    </font>
    <font>
      <sz val="9.0"/>
      <name val="Trebuchet MS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horizontal="right" readingOrder="0" shrinkToFit="0" vertical="center" wrapText="1"/>
    </xf>
    <xf borderId="0" fillId="3" fontId="4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right" readingOrder="0" shrinkToFit="0" vertical="center" wrapText="1"/>
    </xf>
    <xf borderId="0" fillId="4" fontId="4" numFmtId="0" xfId="0" applyAlignment="1" applyFont="1">
      <alignment horizontal="right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1" fillId="2" fontId="5" numFmtId="0" xfId="0" applyAlignment="1" applyBorder="1" applyFont="1">
      <alignment readingOrder="0" shrinkToFit="0" vertical="top" wrapText="1"/>
    </xf>
    <xf borderId="0" fillId="3" fontId="6" numFmtId="0" xfId="0" applyAlignment="1" applyFont="1">
      <alignment horizontal="right" readingOrder="0" shrinkToFit="0" vertical="top" wrapText="1"/>
    </xf>
    <xf borderId="0" fillId="3" fontId="6" numFmtId="0" xfId="0" applyAlignment="1" applyFont="1">
      <alignment horizontal="right" shrinkToFit="0" vertical="top" wrapText="1"/>
    </xf>
    <xf borderId="0" fillId="4" fontId="6" numFmtId="0" xfId="0" applyAlignment="1" applyFont="1">
      <alignment horizontal="right" readingOrder="0" shrinkToFit="0" vertical="top" wrapText="1"/>
    </xf>
    <xf borderId="0" fillId="4" fontId="6" numFmtId="0" xfId="0" applyAlignment="1" applyFont="1">
      <alignment horizontal="right" shrinkToFit="0" vertical="top" wrapText="1"/>
    </xf>
    <xf borderId="0" fillId="5" fontId="6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right" readingOrder="0"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readingOrder="0" shrinkToFit="0" vertical="top" wrapText="1"/>
    </xf>
    <xf borderId="0" fillId="4" fontId="8" numFmtId="0" xfId="0" applyAlignment="1" applyFont="1">
      <alignment horizontal="right" readingOrder="0" shrinkToFit="0" vertical="top" wrapText="1"/>
    </xf>
    <xf borderId="0" fillId="0" fontId="8" numFmtId="3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0" numFmtId="3" xfId="0" applyAlignment="1" applyFont="1" applyNumberFormat="1">
      <alignment horizontal="right" vertical="center"/>
    </xf>
    <xf borderId="0" fillId="0" fontId="9" numFmtId="1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9" xfId="0" applyAlignment="1" applyFont="1" applyNumberFormat="1">
      <alignment vertical="center"/>
    </xf>
    <xf borderId="0" fillId="0" fontId="10" numFmtId="165" xfId="0" applyAlignment="1" applyFont="1" applyNumberForma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9" numFmtId="10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8" numFmtId="3" xfId="0" applyAlignment="1" applyFont="1" applyNumberFormat="1">
      <alignment readingOrder="0" vertical="center"/>
    </xf>
    <xf borderId="0" fillId="0" fontId="10" numFmtId="3" xfId="0" applyAlignment="1" applyFont="1" applyNumberFormat="1">
      <alignment horizontal="right" readingOrder="0" vertical="center"/>
    </xf>
    <xf borderId="0" fillId="0" fontId="10" numFmtId="164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vertical="center"/>
    </xf>
    <xf borderId="0" fillId="0" fontId="10" numFmtId="167" xfId="0" applyAlignment="1" applyFont="1" applyNumberFormat="1">
      <alignment horizontal="right" vertical="center"/>
    </xf>
    <xf borderId="0" fillId="0" fontId="2" numFmtId="9" xfId="0" applyAlignment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8" numFmtId="3" xfId="0" applyAlignment="1" applyFont="1" applyNumberFormat="1">
      <alignment vertical="center"/>
    </xf>
    <xf borderId="0" fillId="0" fontId="10" numFmtId="9" xfId="0" applyAlignment="1" applyFont="1" applyNumberFormat="1">
      <alignment horizontal="right" vertical="center"/>
    </xf>
    <xf borderId="0" fillId="4" fontId="10" numFmtId="3" xfId="0" applyAlignment="1" applyFont="1" applyNumberFormat="1">
      <alignment horizontal="right" vertical="center"/>
    </xf>
    <xf borderId="0" fillId="4" fontId="10" numFmtId="9" xfId="0" applyAlignment="1" applyFont="1" applyNumberFormat="1">
      <alignment horizontal="right" readingOrder="0" vertical="center"/>
    </xf>
    <xf borderId="0" fillId="0" fontId="10" numFmtId="1" xfId="0" applyAlignment="1" applyFont="1" applyNumberFormat="1">
      <alignment horizontal="right" vertical="center"/>
    </xf>
    <xf borderId="0" fillId="0" fontId="10" numFmtId="3" xfId="0" applyAlignment="1" applyFont="1" applyNumberFormat="1">
      <alignment vertical="center"/>
    </xf>
    <xf borderId="0" fillId="0" fontId="10" numFmtId="165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ick.ai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63"/>
    <col customWidth="1" min="2" max="2" width="8.38"/>
    <col customWidth="1" min="3" max="3" width="8.0"/>
    <col customWidth="1" min="4" max="4" width="7.5"/>
    <col customWidth="1" min="5" max="5" width="6.63"/>
    <col customWidth="1" min="6" max="6" width="9.75"/>
    <col customWidth="1" min="7" max="7" width="9.38"/>
    <col customWidth="1" min="8" max="8" width="8.75"/>
    <col customWidth="1" min="9" max="9" width="11.13"/>
    <col customWidth="1" min="10" max="11" width="8.25"/>
    <col customWidth="1" min="12" max="12" width="9.75"/>
    <col customWidth="1" min="13" max="13" width="10.13"/>
    <col customWidth="1" min="14" max="14" width="3.5"/>
    <col customWidth="1" min="15" max="15" width="9.75"/>
    <col customWidth="1" min="16" max="16" width="9.38"/>
    <col customWidth="1" min="17" max="17" width="5.63"/>
    <col customWidth="1" min="18" max="18" width="7.0"/>
    <col customWidth="1" min="19" max="19" width="4.25"/>
    <col customWidth="1" min="20" max="20" width="10.5"/>
    <col customWidth="1" min="21" max="21" width="9.75"/>
    <col customWidth="1" min="22" max="23" width="9.88"/>
    <col customWidth="1" min="24" max="24" width="14.38"/>
  </cols>
  <sheetData>
    <row r="1">
      <c r="A1" s="1"/>
      <c r="B1" s="2"/>
      <c r="C1" s="2"/>
      <c r="D1" s="2"/>
      <c r="E1" s="2"/>
      <c r="F1" s="2"/>
      <c r="G1" s="3" t="s">
        <v>0</v>
      </c>
      <c r="M1" s="4"/>
      <c r="N1" s="2"/>
      <c r="O1" s="5" t="s">
        <v>1</v>
      </c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8" t="s">
        <v>3</v>
      </c>
      <c r="C2" s="8" t="s">
        <v>4</v>
      </c>
      <c r="D2" s="9" t="s">
        <v>5</v>
      </c>
      <c r="E2" s="9" t="s">
        <v>6</v>
      </c>
      <c r="F2" s="8" t="s">
        <v>7</v>
      </c>
      <c r="G2" s="10" t="s">
        <v>8</v>
      </c>
      <c r="H2" s="11" t="s">
        <v>9</v>
      </c>
      <c r="I2" s="10" t="s">
        <v>10</v>
      </c>
      <c r="J2" s="11"/>
      <c r="K2" s="11" t="s">
        <v>11</v>
      </c>
      <c r="L2" s="11" t="s">
        <v>12</v>
      </c>
      <c r="M2" s="12" t="s">
        <v>13</v>
      </c>
      <c r="N2" s="13"/>
      <c r="O2" s="14" t="s">
        <v>14</v>
      </c>
      <c r="P2" s="14" t="s">
        <v>15</v>
      </c>
      <c r="Q2" s="14" t="s">
        <v>16</v>
      </c>
      <c r="R2" s="15" t="s">
        <v>17</v>
      </c>
      <c r="S2" s="15"/>
      <c r="T2" s="15" t="s">
        <v>18</v>
      </c>
      <c r="U2" s="15" t="s">
        <v>19</v>
      </c>
      <c r="V2" s="15" t="s">
        <v>20</v>
      </c>
      <c r="W2" s="15"/>
      <c r="X2" s="15" t="s">
        <v>21</v>
      </c>
      <c r="Y2" s="15" t="s">
        <v>22</v>
      </c>
      <c r="Z2" s="15" t="s">
        <v>23</v>
      </c>
    </row>
    <row r="3">
      <c r="A3" s="16" t="s">
        <v>24</v>
      </c>
      <c r="B3" s="17" t="s">
        <v>25</v>
      </c>
      <c r="C3" s="17" t="s">
        <v>26</v>
      </c>
      <c r="D3" s="18" t="s">
        <v>27</v>
      </c>
      <c r="E3" s="18" t="s">
        <v>28</v>
      </c>
      <c r="F3" s="17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20" t="s">
        <v>34</v>
      </c>
      <c r="L3" s="19" t="s">
        <v>35</v>
      </c>
      <c r="M3" s="21" t="s">
        <v>36</v>
      </c>
      <c r="N3" s="22"/>
      <c r="O3" s="23" t="s">
        <v>37</v>
      </c>
      <c r="P3" s="23" t="s">
        <v>38</v>
      </c>
      <c r="Q3" s="23" t="s">
        <v>39</v>
      </c>
      <c r="R3" s="24" t="s">
        <v>40</v>
      </c>
      <c r="S3" s="25"/>
      <c r="T3" s="26" t="s">
        <v>41</v>
      </c>
      <c r="U3" s="27" t="s">
        <v>42</v>
      </c>
      <c r="V3" s="27" t="s">
        <v>43</v>
      </c>
      <c r="W3" s="28" t="s">
        <v>44</v>
      </c>
      <c r="X3" s="28" t="s">
        <v>45</v>
      </c>
      <c r="Y3" s="27" t="s">
        <v>46</v>
      </c>
      <c r="Z3" s="27"/>
    </row>
    <row r="4" ht="22.5" customHeight="1">
      <c r="A4" s="29"/>
      <c r="B4" s="30"/>
      <c r="C4" s="31"/>
      <c r="D4" s="31"/>
      <c r="E4" s="32"/>
      <c r="F4" s="33"/>
      <c r="G4" s="34"/>
      <c r="H4" s="35"/>
      <c r="I4" s="36"/>
      <c r="J4" s="36"/>
      <c r="K4" s="36"/>
      <c r="L4" s="33"/>
      <c r="M4" s="37"/>
      <c r="N4" s="38"/>
      <c r="O4" s="34"/>
      <c r="P4" s="39"/>
      <c r="Q4" s="40"/>
      <c r="R4" s="40"/>
      <c r="S4" s="38"/>
      <c r="T4" s="34"/>
      <c r="U4" s="34"/>
      <c r="V4" s="34"/>
      <c r="W4" s="34"/>
      <c r="X4" s="34"/>
      <c r="Y4" s="34"/>
      <c r="Z4" s="41"/>
    </row>
    <row r="5" ht="22.5" customHeight="1">
      <c r="A5" s="42" t="s">
        <v>47</v>
      </c>
      <c r="B5" s="43">
        <v>110000.0</v>
      </c>
      <c r="C5" s="36"/>
      <c r="D5" s="44">
        <f t="shared" ref="D5:D6" si="1">E5/B5</f>
        <v>0.01545454545</v>
      </c>
      <c r="E5" s="43">
        <v>1700.0</v>
      </c>
      <c r="F5" s="32">
        <f t="shared" ref="F5:F6" si="2">L5*E5</f>
        <v>1700</v>
      </c>
      <c r="G5" s="37">
        <f t="shared" ref="G5:G6" si="3">H5*I5*L5-K5</f>
        <v>2100</v>
      </c>
      <c r="H5" s="45">
        <v>7000.0</v>
      </c>
      <c r="I5" s="46">
        <v>0.3</v>
      </c>
      <c r="J5" s="36"/>
      <c r="K5" s="37">
        <v>0.0</v>
      </c>
      <c r="L5" s="47">
        <v>1.0</v>
      </c>
      <c r="M5" s="45">
        <v>400.0</v>
      </c>
      <c r="N5" s="34"/>
      <c r="O5" s="48">
        <f t="shared" ref="O5:O6" si="4">X5/B5</f>
        <v>12.72727273</v>
      </c>
      <c r="P5" s="49">
        <f t="shared" ref="P5:P6" si="5">D5*G5</f>
        <v>32.45454545</v>
      </c>
      <c r="Q5" s="48">
        <f t="shared" ref="Q5:Q6" si="6">P5-O5</f>
        <v>19.72727273</v>
      </c>
      <c r="R5" s="50">
        <f t="shared" ref="R5:R6" si="7">P5/O5</f>
        <v>2.55</v>
      </c>
      <c r="S5" s="40"/>
      <c r="T5" s="37">
        <f t="shared" ref="T5:T6" si="8">B5*(P5-O5)</f>
        <v>2170000</v>
      </c>
      <c r="U5" s="37">
        <f t="shared" ref="U5:U6" si="9">H5*F5</f>
        <v>11900000</v>
      </c>
      <c r="V5" s="37">
        <f t="shared" ref="V5:V6" si="10">E5*G5</f>
        <v>3570000</v>
      </c>
      <c r="W5" s="37">
        <f t="shared" ref="W5:W6" si="11">U5-V5</f>
        <v>8330000</v>
      </c>
      <c r="X5" s="45">
        <v>1400000.0</v>
      </c>
      <c r="Y5" s="37">
        <v>3000000.0</v>
      </c>
      <c r="Z5" s="37">
        <f>T5-Y5</f>
        <v>-830000</v>
      </c>
    </row>
    <row r="6" ht="22.5" customHeight="1">
      <c r="A6" s="51" t="s">
        <v>48</v>
      </c>
      <c r="B6" s="43">
        <v>70000.0</v>
      </c>
      <c r="C6" s="36"/>
      <c r="D6" s="44">
        <f t="shared" si="1"/>
        <v>0.01</v>
      </c>
      <c r="E6" s="43">
        <v>700.0</v>
      </c>
      <c r="F6" s="32">
        <f t="shared" si="2"/>
        <v>700</v>
      </c>
      <c r="G6" s="37">
        <f t="shared" si="3"/>
        <v>2100</v>
      </c>
      <c r="H6" s="45">
        <v>7000.0</v>
      </c>
      <c r="I6" s="46">
        <v>0.3</v>
      </c>
      <c r="J6" s="36"/>
      <c r="K6" s="37">
        <v>0.0</v>
      </c>
      <c r="L6" s="47">
        <v>1.0</v>
      </c>
      <c r="M6" s="45">
        <v>1000.0</v>
      </c>
      <c r="N6" s="34"/>
      <c r="O6" s="48">
        <f t="shared" si="4"/>
        <v>10</v>
      </c>
      <c r="P6" s="49">
        <f t="shared" si="5"/>
        <v>21</v>
      </c>
      <c r="Q6" s="48">
        <f t="shared" si="6"/>
        <v>11</v>
      </c>
      <c r="R6" s="50">
        <f t="shared" si="7"/>
        <v>2.1</v>
      </c>
      <c r="S6" s="40"/>
      <c r="T6" s="37">
        <f t="shared" si="8"/>
        <v>770000</v>
      </c>
      <c r="U6" s="37">
        <f t="shared" si="9"/>
        <v>4900000</v>
      </c>
      <c r="V6" s="37">
        <f t="shared" si="10"/>
        <v>1470000</v>
      </c>
      <c r="W6" s="37">
        <f t="shared" si="11"/>
        <v>3430000</v>
      </c>
      <c r="X6" s="37">
        <f>E6*M6</f>
        <v>700000</v>
      </c>
      <c r="Y6" s="37"/>
      <c r="Z6" s="37"/>
    </row>
    <row r="7" ht="22.5" customHeight="1">
      <c r="A7" s="52"/>
      <c r="B7" s="32"/>
      <c r="C7" s="36"/>
      <c r="D7" s="53"/>
      <c r="E7" s="32"/>
      <c r="F7" s="32"/>
      <c r="G7" s="37"/>
      <c r="H7" s="45"/>
      <c r="I7" s="46"/>
      <c r="J7" s="36"/>
      <c r="K7" s="37"/>
      <c r="L7" s="47"/>
      <c r="M7" s="37"/>
      <c r="N7" s="34"/>
      <c r="O7" s="48"/>
      <c r="P7" s="49"/>
      <c r="Q7" s="48"/>
      <c r="R7" s="50"/>
      <c r="S7" s="40"/>
      <c r="T7" s="37"/>
      <c r="U7" s="37"/>
      <c r="V7" s="37"/>
      <c r="W7" s="37"/>
      <c r="X7" s="37"/>
      <c r="Y7" s="37"/>
      <c r="Z7" s="37"/>
    </row>
    <row r="8" ht="22.5" customHeight="1">
      <c r="A8" s="42" t="s">
        <v>49</v>
      </c>
      <c r="B8" s="43">
        <v>13000.0</v>
      </c>
      <c r="C8" s="36"/>
      <c r="D8" s="44">
        <f t="shared" ref="D8:D9" si="12">E8/B8</f>
        <v>0.003923076923</v>
      </c>
      <c r="E8" s="43">
        <v>51.0</v>
      </c>
      <c r="F8" s="32">
        <f t="shared" ref="F8:F9" si="13">L8*E8</f>
        <v>51</v>
      </c>
      <c r="G8" s="37">
        <f t="shared" ref="G8:G9" si="14">H8*I8*L8-K8</f>
        <v>13520</v>
      </c>
      <c r="H8" s="45">
        <v>52000.0</v>
      </c>
      <c r="I8" s="46">
        <v>0.26</v>
      </c>
      <c r="J8" s="36"/>
      <c r="K8" s="37">
        <v>0.0</v>
      </c>
      <c r="L8" s="47">
        <v>1.0</v>
      </c>
      <c r="M8" s="45">
        <v>5200.0</v>
      </c>
      <c r="N8" s="34"/>
      <c r="O8" s="48">
        <f t="shared" ref="O8:O9" si="15">X8/B8</f>
        <v>20.4</v>
      </c>
      <c r="P8" s="49">
        <f t="shared" ref="P8:P9" si="16">D8*G8</f>
        <v>53.04</v>
      </c>
      <c r="Q8" s="48">
        <f t="shared" ref="Q8:Q9" si="17">P8-O8</f>
        <v>32.64</v>
      </c>
      <c r="R8" s="50">
        <f t="shared" ref="R8:R9" si="18">P8/O8</f>
        <v>2.6</v>
      </c>
      <c r="S8" s="40"/>
      <c r="T8" s="37">
        <f t="shared" ref="T8:T9" si="19">B8*(P8-O8)</f>
        <v>424320</v>
      </c>
      <c r="U8" s="37">
        <f t="shared" ref="U8:U9" si="20">H8*F8</f>
        <v>2652000</v>
      </c>
      <c r="V8" s="37">
        <f t="shared" ref="V8:V9" si="21">E8*G8</f>
        <v>689520</v>
      </c>
      <c r="W8" s="37">
        <f t="shared" ref="W8:W9" si="22">U8-V8</f>
        <v>1962480</v>
      </c>
      <c r="X8" s="45">
        <f t="shared" ref="X8:X9" si="23">M8*E8</f>
        <v>265200</v>
      </c>
      <c r="Y8" s="45">
        <v>0.0</v>
      </c>
      <c r="Z8" s="37">
        <f t="shared" ref="Z8:Z9" si="24">T8-Y8</f>
        <v>424320</v>
      </c>
    </row>
    <row r="9" ht="22.5" customHeight="1">
      <c r="A9" s="42" t="s">
        <v>49</v>
      </c>
      <c r="B9" s="43">
        <v>13000.0</v>
      </c>
      <c r="C9" s="36"/>
      <c r="D9" s="44">
        <f t="shared" si="12"/>
        <v>0.003923076923</v>
      </c>
      <c r="E9" s="43">
        <v>51.0</v>
      </c>
      <c r="F9" s="32">
        <f t="shared" si="13"/>
        <v>51</v>
      </c>
      <c r="G9" s="37">
        <f t="shared" si="14"/>
        <v>3600</v>
      </c>
      <c r="H9" s="45">
        <v>8000.0</v>
      </c>
      <c r="I9" s="46">
        <v>0.45</v>
      </c>
      <c r="J9" s="36"/>
      <c r="K9" s="37">
        <v>0.0</v>
      </c>
      <c r="L9" s="47">
        <v>1.0</v>
      </c>
      <c r="M9" s="45">
        <v>3000.0</v>
      </c>
      <c r="N9" s="34"/>
      <c r="O9" s="48">
        <f t="shared" si="15"/>
        <v>11.76923077</v>
      </c>
      <c r="P9" s="49">
        <f t="shared" si="16"/>
        <v>14.12307692</v>
      </c>
      <c r="Q9" s="48">
        <f t="shared" si="17"/>
        <v>2.353846154</v>
      </c>
      <c r="R9" s="50">
        <f t="shared" si="18"/>
        <v>1.2</v>
      </c>
      <c r="S9" s="40"/>
      <c r="T9" s="37">
        <f t="shared" si="19"/>
        <v>30600</v>
      </c>
      <c r="U9" s="37">
        <f t="shared" si="20"/>
        <v>408000</v>
      </c>
      <c r="V9" s="37">
        <f t="shared" si="21"/>
        <v>183600</v>
      </c>
      <c r="W9" s="37">
        <f t="shared" si="22"/>
        <v>224400</v>
      </c>
      <c r="X9" s="45">
        <f t="shared" si="23"/>
        <v>153000</v>
      </c>
      <c r="Y9" s="45">
        <v>0.0</v>
      </c>
      <c r="Z9" s="37">
        <f t="shared" si="24"/>
        <v>30600</v>
      </c>
    </row>
    <row r="10" ht="22.5" customHeight="1">
      <c r="A10" s="52"/>
      <c r="B10" s="32"/>
      <c r="C10" s="36"/>
      <c r="D10" s="53"/>
      <c r="E10" s="32"/>
      <c r="F10" s="32"/>
      <c r="G10" s="37"/>
      <c r="H10" s="45"/>
      <c r="I10" s="46"/>
      <c r="J10" s="36"/>
      <c r="K10" s="37"/>
      <c r="L10" s="47"/>
      <c r="M10" s="37"/>
      <c r="N10" s="34"/>
      <c r="O10" s="48"/>
      <c r="P10" s="49"/>
      <c r="Q10" s="48"/>
      <c r="R10" s="50"/>
      <c r="S10" s="40"/>
      <c r="T10" s="37"/>
      <c r="U10" s="37"/>
      <c r="V10" s="37"/>
      <c r="W10" s="37"/>
      <c r="X10" s="37"/>
      <c r="Y10" s="37"/>
      <c r="Z10" s="37"/>
    </row>
    <row r="11" ht="22.5" customHeight="1">
      <c r="A11" s="52" t="s">
        <v>50</v>
      </c>
      <c r="B11" s="32">
        <v>60000.0</v>
      </c>
      <c r="C11" s="36"/>
      <c r="D11" s="53">
        <v>0.031</v>
      </c>
      <c r="E11" s="32">
        <f t="shared" ref="E11:E12" si="25">B11*D11</f>
        <v>1860</v>
      </c>
      <c r="F11" s="32">
        <f t="shared" ref="F11:F12" si="26">L11*E11</f>
        <v>2046</v>
      </c>
      <c r="G11" s="37">
        <f t="shared" ref="G11:G12" si="27">H11*I11*L11-K11</f>
        <v>1188</v>
      </c>
      <c r="H11" s="45">
        <v>2700.0</v>
      </c>
      <c r="I11" s="46">
        <v>0.4</v>
      </c>
      <c r="J11" s="36"/>
      <c r="K11" s="37">
        <v>0.0</v>
      </c>
      <c r="L11" s="47">
        <v>1.1</v>
      </c>
      <c r="M11" s="37">
        <v>919.0</v>
      </c>
      <c r="N11" s="34"/>
      <c r="O11" s="48">
        <f t="shared" ref="O11:O12" si="28">X11/B11</f>
        <v>28.489</v>
      </c>
      <c r="P11" s="49">
        <f t="shared" ref="P11:P12" si="29">D11*G11</f>
        <v>36.828</v>
      </c>
      <c r="Q11" s="48">
        <f t="shared" ref="Q11:Q12" si="30">P11-O11</f>
        <v>8.339</v>
      </c>
      <c r="R11" s="50">
        <f t="shared" ref="R11:R12" si="31">P11/O11</f>
        <v>1.292709467</v>
      </c>
      <c r="S11" s="40"/>
      <c r="T11" s="37">
        <f t="shared" ref="T11:T12" si="32">B11*(P11-O11)</f>
        <v>500340</v>
      </c>
      <c r="U11" s="37">
        <f t="shared" ref="U11:U12" si="33">H11*F11</f>
        <v>5524200</v>
      </c>
      <c r="V11" s="37">
        <f t="shared" ref="V11:V12" si="34">E11*G11</f>
        <v>2209680</v>
      </c>
      <c r="W11" s="37">
        <f t="shared" ref="W11:W12" si="35">U11-V11</f>
        <v>3314520</v>
      </c>
      <c r="X11" s="37">
        <f t="shared" ref="X11:X12" si="36">E11*M11</f>
        <v>1709340</v>
      </c>
      <c r="Y11" s="37">
        <v>3000000.0</v>
      </c>
      <c r="Z11" s="37">
        <f t="shared" ref="Z11:Z12" si="37">T11-Y11</f>
        <v>-2499660</v>
      </c>
    </row>
    <row r="12" ht="22.5" customHeight="1">
      <c r="A12" s="52" t="s">
        <v>51</v>
      </c>
      <c r="B12" s="54">
        <v>120000.0</v>
      </c>
      <c r="C12" s="36"/>
      <c r="D12" s="53">
        <v>0.031</v>
      </c>
      <c r="E12" s="32">
        <f t="shared" si="25"/>
        <v>3720</v>
      </c>
      <c r="F12" s="32">
        <f t="shared" si="26"/>
        <v>4092</v>
      </c>
      <c r="G12" s="37">
        <f t="shared" si="27"/>
        <v>2079</v>
      </c>
      <c r="H12" s="45">
        <v>2700.0</v>
      </c>
      <c r="I12" s="55">
        <v>0.7</v>
      </c>
      <c r="J12" s="36"/>
      <c r="K12" s="37">
        <v>0.0</v>
      </c>
      <c r="L12" s="47">
        <v>1.1</v>
      </c>
      <c r="M12" s="37">
        <v>919.0</v>
      </c>
      <c r="N12" s="34"/>
      <c r="O12" s="48">
        <f t="shared" si="28"/>
        <v>28.489</v>
      </c>
      <c r="P12" s="49">
        <f t="shared" si="29"/>
        <v>64.449</v>
      </c>
      <c r="Q12" s="48">
        <f t="shared" si="30"/>
        <v>35.96</v>
      </c>
      <c r="R12" s="50">
        <f t="shared" si="31"/>
        <v>2.262241567</v>
      </c>
      <c r="S12" s="40"/>
      <c r="T12" s="37">
        <f t="shared" si="32"/>
        <v>4315200</v>
      </c>
      <c r="U12" s="37">
        <f t="shared" si="33"/>
        <v>11048400</v>
      </c>
      <c r="V12" s="37">
        <f t="shared" si="34"/>
        <v>7733880</v>
      </c>
      <c r="W12" s="37">
        <f t="shared" si="35"/>
        <v>3314520</v>
      </c>
      <c r="X12" s="37">
        <f t="shared" si="36"/>
        <v>3418680</v>
      </c>
      <c r="Y12" s="37">
        <v>3000000.0</v>
      </c>
      <c r="Z12" s="37">
        <f t="shared" si="37"/>
        <v>1315200</v>
      </c>
    </row>
    <row r="13" ht="22.5" customHeight="1">
      <c r="A13" s="29"/>
      <c r="B13" s="30"/>
      <c r="C13" s="31"/>
      <c r="D13" s="31"/>
      <c r="E13" s="32"/>
      <c r="F13" s="33"/>
      <c r="G13" s="34"/>
      <c r="H13" s="35"/>
      <c r="I13" s="36"/>
      <c r="J13" s="36"/>
      <c r="K13" s="36"/>
      <c r="L13" s="33"/>
      <c r="M13" s="37"/>
      <c r="N13" s="38"/>
      <c r="O13" s="34"/>
      <c r="P13" s="39"/>
      <c r="Q13" s="49"/>
      <c r="R13" s="50"/>
      <c r="S13" s="38"/>
      <c r="T13" s="34"/>
      <c r="U13" s="37"/>
      <c r="V13" s="37"/>
      <c r="W13" s="37"/>
      <c r="X13" s="37"/>
      <c r="Y13" s="37"/>
      <c r="Z13" s="37"/>
    </row>
    <row r="14" ht="22.5" customHeight="1">
      <c r="A14" s="29" t="s">
        <v>52</v>
      </c>
      <c r="B14" s="30"/>
      <c r="C14" s="31"/>
      <c r="D14" s="31"/>
      <c r="E14" s="32"/>
      <c r="F14" s="33"/>
      <c r="G14" s="34"/>
      <c r="H14" s="35"/>
      <c r="I14" s="36"/>
      <c r="J14" s="36"/>
      <c r="K14" s="36"/>
      <c r="L14" s="33"/>
      <c r="M14" s="37"/>
      <c r="N14" s="38"/>
      <c r="O14" s="34"/>
      <c r="P14" s="39"/>
      <c r="Q14" s="49"/>
      <c r="R14" s="50"/>
      <c r="S14" s="38"/>
      <c r="T14" s="34"/>
      <c r="U14" s="37"/>
      <c r="V14" s="37"/>
      <c r="W14" s="37"/>
      <c r="X14" s="37"/>
      <c r="Y14" s="37"/>
      <c r="Z14" s="37"/>
    </row>
    <row r="15" ht="22.5" customHeight="1">
      <c r="A15" s="52" t="s">
        <v>53</v>
      </c>
      <c r="B15" s="32">
        <v>50000.0</v>
      </c>
      <c r="C15" s="36"/>
      <c r="D15" s="53">
        <v>0.1</v>
      </c>
      <c r="E15" s="32">
        <f>D15*B15</f>
        <v>5000</v>
      </c>
      <c r="F15" s="56">
        <f t="shared" ref="F15:F17" si="38">E15*L15</f>
        <v>6000</v>
      </c>
      <c r="G15" s="37">
        <f t="shared" ref="G15:G17" si="39">H15*I15*L15</f>
        <v>36</v>
      </c>
      <c r="H15" s="45">
        <v>600.0</v>
      </c>
      <c r="I15" s="46">
        <v>0.05</v>
      </c>
      <c r="J15" s="36"/>
      <c r="K15" s="36"/>
      <c r="L15" s="47">
        <v>1.2</v>
      </c>
      <c r="M15" s="37"/>
      <c r="N15" s="34"/>
      <c r="O15" s="48">
        <f>X15/B15</f>
        <v>2</v>
      </c>
      <c r="P15" s="49">
        <f t="shared" ref="P15:P17" si="40">D15*G15</f>
        <v>3.6</v>
      </c>
      <c r="Q15" s="49"/>
      <c r="R15" s="50"/>
      <c r="S15" s="40"/>
      <c r="T15" s="37">
        <f t="shared" ref="T15:T17" si="41">B15*(P15-O15)</f>
        <v>80000</v>
      </c>
      <c r="U15" s="37">
        <f t="shared" ref="U15:U17" si="42">E15*H15</f>
        <v>3000000</v>
      </c>
      <c r="V15" s="37">
        <f t="shared" ref="V15:V17" si="43">E15*G15</f>
        <v>180000</v>
      </c>
      <c r="W15" s="37"/>
      <c r="X15" s="37">
        <v>100000.0</v>
      </c>
      <c r="Y15" s="37"/>
      <c r="Z15" s="37">
        <f>T15-Y15</f>
        <v>80000</v>
      </c>
    </row>
    <row r="16" ht="22.5" customHeight="1">
      <c r="A16" s="57" t="s">
        <v>54</v>
      </c>
      <c r="B16" s="32">
        <f>X16/O16</f>
        <v>10000</v>
      </c>
      <c r="C16" s="36"/>
      <c r="D16" s="53">
        <v>0.1</v>
      </c>
      <c r="E16" s="32">
        <f t="shared" ref="E16:E17" si="44">B16*D16</f>
        <v>1000</v>
      </c>
      <c r="F16" s="56">
        <f t="shared" si="38"/>
        <v>1200</v>
      </c>
      <c r="G16" s="37">
        <f t="shared" si="39"/>
        <v>36</v>
      </c>
      <c r="H16" s="45">
        <v>600.0</v>
      </c>
      <c r="I16" s="46">
        <v>0.05</v>
      </c>
      <c r="J16" s="36"/>
      <c r="K16" s="36"/>
      <c r="L16" s="47">
        <v>1.2</v>
      </c>
      <c r="M16" s="37"/>
      <c r="N16" s="34"/>
      <c r="O16" s="48">
        <v>10.0</v>
      </c>
      <c r="P16" s="49">
        <f t="shared" si="40"/>
        <v>3.6</v>
      </c>
      <c r="Q16" s="49"/>
      <c r="R16" s="50"/>
      <c r="S16" s="40"/>
      <c r="T16" s="37">
        <f t="shared" si="41"/>
        <v>-64000</v>
      </c>
      <c r="U16" s="37">
        <f t="shared" si="42"/>
        <v>600000</v>
      </c>
      <c r="V16" s="37">
        <f t="shared" si="43"/>
        <v>36000</v>
      </c>
      <c r="W16" s="37"/>
      <c r="X16" s="37">
        <f>X15</f>
        <v>100000</v>
      </c>
      <c r="Y16" s="37"/>
      <c r="Z16" s="37"/>
    </row>
    <row r="17" ht="22.5" customHeight="1">
      <c r="A17" s="57" t="s">
        <v>55</v>
      </c>
      <c r="B17" s="32">
        <f>B15-B16</f>
        <v>40000</v>
      </c>
      <c r="C17" s="36"/>
      <c r="D17" s="53">
        <v>0.1</v>
      </c>
      <c r="E17" s="32">
        <f t="shared" si="44"/>
        <v>4000</v>
      </c>
      <c r="F17" s="56">
        <f t="shared" si="38"/>
        <v>4800</v>
      </c>
      <c r="G17" s="37">
        <f t="shared" si="39"/>
        <v>36</v>
      </c>
      <c r="H17" s="45">
        <v>600.0</v>
      </c>
      <c r="I17" s="46">
        <v>0.05</v>
      </c>
      <c r="J17" s="36"/>
      <c r="K17" s="36"/>
      <c r="L17" s="47">
        <v>1.2</v>
      </c>
      <c r="M17" s="37"/>
      <c r="N17" s="34"/>
      <c r="O17" s="48">
        <v>0.0</v>
      </c>
      <c r="P17" s="49">
        <f t="shared" si="40"/>
        <v>3.6</v>
      </c>
      <c r="Q17" s="49"/>
      <c r="R17" s="50"/>
      <c r="S17" s="40"/>
      <c r="T17" s="37">
        <f t="shared" si="41"/>
        <v>144000</v>
      </c>
      <c r="U17" s="37">
        <f t="shared" si="42"/>
        <v>2400000</v>
      </c>
      <c r="V17" s="37">
        <f t="shared" si="43"/>
        <v>144000</v>
      </c>
      <c r="W17" s="37"/>
      <c r="X17" s="37"/>
      <c r="Y17" s="37"/>
      <c r="Z17" s="37"/>
    </row>
    <row r="18" ht="22.5" customHeight="1">
      <c r="A18" s="57"/>
      <c r="B18" s="32"/>
      <c r="C18" s="36"/>
      <c r="D18" s="53"/>
      <c r="E18" s="32"/>
      <c r="F18" s="56"/>
      <c r="G18" s="37"/>
      <c r="H18" s="45"/>
      <c r="I18" s="46"/>
      <c r="J18" s="36"/>
      <c r="K18" s="36"/>
      <c r="L18" s="47"/>
      <c r="M18" s="37"/>
      <c r="N18" s="34"/>
      <c r="O18" s="48"/>
      <c r="P18" s="49"/>
      <c r="Q18" s="49"/>
      <c r="R18" s="50"/>
      <c r="S18" s="40"/>
      <c r="T18" s="37"/>
      <c r="U18" s="37"/>
      <c r="V18" s="37"/>
      <c r="W18" s="37"/>
      <c r="X18" s="37"/>
      <c r="Y18" s="37"/>
      <c r="Z18" s="37"/>
    </row>
    <row r="19" ht="22.5" customHeight="1">
      <c r="A19" s="52" t="s">
        <v>56</v>
      </c>
      <c r="B19" s="32">
        <f>U19/P19</f>
        <v>833333.3333</v>
      </c>
      <c r="C19" s="36"/>
      <c r="D19" s="53">
        <v>0.01</v>
      </c>
      <c r="E19" s="32">
        <f>D19*B19</f>
        <v>8333.333333</v>
      </c>
      <c r="F19" s="56"/>
      <c r="G19" s="37">
        <f>H19*I19*L19</f>
        <v>120</v>
      </c>
      <c r="H19" s="45">
        <v>200.0</v>
      </c>
      <c r="I19" s="46">
        <v>0.3</v>
      </c>
      <c r="J19" s="36"/>
      <c r="K19" s="36"/>
      <c r="L19" s="47">
        <v>2.0</v>
      </c>
      <c r="M19" s="37"/>
      <c r="N19" s="34"/>
      <c r="O19" s="58">
        <v>0.0</v>
      </c>
      <c r="P19" s="49">
        <f>D19*G19</f>
        <v>1.2</v>
      </c>
      <c r="Q19" s="49"/>
      <c r="R19" s="50"/>
      <c r="S19" s="40"/>
      <c r="T19" s="37">
        <f>B19*(P19-O19)</f>
        <v>1000000</v>
      </c>
      <c r="U19" s="37">
        <v>1000000.0</v>
      </c>
      <c r="V19" s="37">
        <f>U19-W19</f>
        <v>1000000</v>
      </c>
      <c r="W19" s="37"/>
      <c r="X19" s="37"/>
      <c r="Y19" s="37">
        <v>1.0E7</v>
      </c>
      <c r="Z19" s="37">
        <f>T19-Y19</f>
        <v>-9000000</v>
      </c>
    </row>
    <row r="20" ht="22.5" customHeight="1">
      <c r="A20" s="52"/>
      <c r="B20" s="32"/>
      <c r="C20" s="36"/>
      <c r="D20" s="53"/>
      <c r="E20" s="32"/>
      <c r="F20" s="56"/>
      <c r="G20" s="37"/>
      <c r="H20" s="45"/>
      <c r="I20" s="46"/>
      <c r="J20" s="36"/>
      <c r="K20" s="36"/>
      <c r="L20" s="47"/>
      <c r="M20" s="37"/>
      <c r="N20" s="34"/>
      <c r="O20" s="48"/>
      <c r="P20" s="49"/>
      <c r="Q20" s="49"/>
      <c r="R20" s="50"/>
      <c r="S20" s="40"/>
      <c r="T20" s="37"/>
      <c r="U20" s="37"/>
      <c r="V20" s="37"/>
      <c r="W20" s="37"/>
      <c r="X20" s="37"/>
      <c r="Y20" s="37"/>
      <c r="Z20" s="37"/>
    </row>
    <row r="21" ht="22.5" customHeight="1">
      <c r="A21" s="52" t="s">
        <v>57</v>
      </c>
      <c r="B21" s="32">
        <v>1000000.0</v>
      </c>
      <c r="C21" s="36"/>
      <c r="D21" s="53">
        <v>0.03</v>
      </c>
      <c r="E21" s="32">
        <f t="shared" ref="E21:E22" si="45">D21*B21</f>
        <v>30000</v>
      </c>
      <c r="F21" s="56"/>
      <c r="G21" s="37">
        <f t="shared" ref="G21:G22" si="46">H21*I21*L21</f>
        <v>1200</v>
      </c>
      <c r="H21" s="45">
        <v>1200.0</v>
      </c>
      <c r="I21" s="46">
        <v>1.0</v>
      </c>
      <c r="J21" s="36"/>
      <c r="K21" s="36"/>
      <c r="L21" s="47">
        <v>1.0</v>
      </c>
      <c r="M21" s="37">
        <f t="shared" ref="M21:M22" si="47">X21/E21</f>
        <v>100</v>
      </c>
      <c r="N21" s="34"/>
      <c r="O21" s="48">
        <v>3.0</v>
      </c>
      <c r="P21" s="49">
        <f t="shared" ref="P21:P22" si="48">G21*D21</f>
        <v>36</v>
      </c>
      <c r="Q21" s="49"/>
      <c r="R21" s="50"/>
      <c r="S21" s="40"/>
      <c r="T21" s="37">
        <f t="shared" ref="T21:T22" si="49">B21*(P21-O21)</f>
        <v>33000000</v>
      </c>
      <c r="U21" s="37">
        <f t="shared" ref="U21:U22" si="50">G21*E21</f>
        <v>36000000</v>
      </c>
      <c r="V21" s="37">
        <f t="shared" ref="V21:V22" si="51">B21*P21</f>
        <v>36000000</v>
      </c>
      <c r="W21" s="37"/>
      <c r="X21" s="37">
        <f t="shared" ref="X21:X22" si="52">O21*B21</f>
        <v>3000000</v>
      </c>
      <c r="Y21" s="37">
        <v>1500000.0</v>
      </c>
      <c r="Z21" s="37">
        <f t="shared" ref="Z21:Z22" si="53">T21-Y21</f>
        <v>31500000</v>
      </c>
    </row>
    <row r="22" ht="22.5" customHeight="1">
      <c r="A22" s="57"/>
      <c r="B22" s="32">
        <v>300000.0</v>
      </c>
      <c r="C22" s="36"/>
      <c r="D22" s="53">
        <v>0.03</v>
      </c>
      <c r="E22" s="32">
        <f t="shared" si="45"/>
        <v>9000</v>
      </c>
      <c r="F22" s="56"/>
      <c r="G22" s="37">
        <f t="shared" si="46"/>
        <v>1200</v>
      </c>
      <c r="H22" s="45">
        <v>1200.0</v>
      </c>
      <c r="I22" s="46">
        <v>1.0</v>
      </c>
      <c r="J22" s="36"/>
      <c r="K22" s="36"/>
      <c r="L22" s="47">
        <v>1.0</v>
      </c>
      <c r="M22" s="37">
        <f t="shared" si="47"/>
        <v>500</v>
      </c>
      <c r="N22" s="34"/>
      <c r="O22" s="48">
        <v>15.0</v>
      </c>
      <c r="P22" s="49">
        <f t="shared" si="48"/>
        <v>36</v>
      </c>
      <c r="Q22" s="49"/>
      <c r="R22" s="50"/>
      <c r="S22" s="40"/>
      <c r="T22" s="37">
        <f t="shared" si="49"/>
        <v>6300000</v>
      </c>
      <c r="U22" s="37">
        <f t="shared" si="50"/>
        <v>10800000</v>
      </c>
      <c r="V22" s="37">
        <f t="shared" si="51"/>
        <v>10800000</v>
      </c>
      <c r="W22" s="37"/>
      <c r="X22" s="37">
        <f t="shared" si="52"/>
        <v>4500000</v>
      </c>
      <c r="Y22" s="37">
        <v>1500000.0</v>
      </c>
      <c r="Z22" s="37">
        <f t="shared" si="53"/>
        <v>4800000</v>
      </c>
    </row>
    <row r="23" ht="22.5" customHeight="1">
      <c r="A23" s="57"/>
      <c r="B23" s="32"/>
      <c r="C23" s="36"/>
      <c r="D23" s="53"/>
      <c r="E23" s="32"/>
      <c r="F23" s="56"/>
      <c r="G23" s="37"/>
      <c r="H23" s="45"/>
      <c r="I23" s="46"/>
      <c r="J23" s="36"/>
      <c r="K23" s="36"/>
      <c r="L23" s="47"/>
      <c r="M23" s="37"/>
      <c r="N23" s="34"/>
      <c r="O23" s="48"/>
      <c r="P23" s="49"/>
      <c r="Q23" s="35"/>
      <c r="R23" s="40"/>
      <c r="S23" s="40"/>
      <c r="T23" s="37"/>
      <c r="U23" s="37"/>
      <c r="V23" s="37"/>
      <c r="W23" s="37"/>
      <c r="X23" s="37"/>
      <c r="Y23" s="37"/>
      <c r="Z23" s="37"/>
    </row>
    <row r="24" ht="22.5" customHeight="1">
      <c r="A24" s="42" t="s">
        <v>58</v>
      </c>
      <c r="B24" s="43">
        <v>50000.0</v>
      </c>
      <c r="C24" s="36"/>
      <c r="D24" s="53">
        <v>0.03</v>
      </c>
      <c r="E24" s="32">
        <f t="shared" ref="E24:E25" si="54">D24*B24</f>
        <v>1500</v>
      </c>
      <c r="F24" s="56"/>
      <c r="G24" s="37">
        <f t="shared" ref="G24:G25" si="55">H24*I24*L24</f>
        <v>1200</v>
      </c>
      <c r="H24" s="45">
        <v>1200.0</v>
      </c>
      <c r="I24" s="46">
        <v>1.0</v>
      </c>
      <c r="J24" s="36"/>
      <c r="K24" s="36"/>
      <c r="L24" s="47">
        <v>1.0</v>
      </c>
      <c r="M24" s="37">
        <f t="shared" ref="M24:M25" si="56">X24/E24</f>
        <v>500</v>
      </c>
      <c r="N24" s="34"/>
      <c r="O24" s="48">
        <v>15.0</v>
      </c>
      <c r="P24" s="49">
        <f t="shared" ref="P24:P25" si="57">G24*D24</f>
        <v>36</v>
      </c>
      <c r="Q24" s="49"/>
      <c r="R24" s="50"/>
      <c r="S24" s="40"/>
      <c r="T24" s="37">
        <f t="shared" ref="T24:T25" si="58">B24*(P24-O24)</f>
        <v>1050000</v>
      </c>
      <c r="U24" s="37">
        <f t="shared" ref="U24:U25" si="59">G24*E24</f>
        <v>1800000</v>
      </c>
      <c r="V24" s="37">
        <f t="shared" ref="V24:V25" si="60">B24*P24</f>
        <v>1800000</v>
      </c>
      <c r="W24" s="37"/>
      <c r="X24" s="37">
        <f t="shared" ref="X24:X25" si="61">O24*B24</f>
        <v>750000</v>
      </c>
      <c r="Y24" s="37">
        <v>1500000.0</v>
      </c>
      <c r="Z24" s="37">
        <f t="shared" ref="Z24:Z25" si="62">T24-Y24</f>
        <v>-450000</v>
      </c>
    </row>
    <row r="25" ht="22.5" customHeight="1">
      <c r="A25" s="51"/>
      <c r="B25" s="43">
        <v>120.0</v>
      </c>
      <c r="C25" s="36"/>
      <c r="D25" s="46">
        <v>0.08</v>
      </c>
      <c r="E25" s="32">
        <f t="shared" si="54"/>
        <v>9.6</v>
      </c>
      <c r="F25" s="56"/>
      <c r="G25" s="37">
        <f t="shared" si="55"/>
        <v>100000</v>
      </c>
      <c r="H25" s="45">
        <v>100000.0</v>
      </c>
      <c r="I25" s="46">
        <v>1.0</v>
      </c>
      <c r="J25" s="36"/>
      <c r="K25" s="36"/>
      <c r="L25" s="47">
        <v>1.0</v>
      </c>
      <c r="M25" s="37">
        <f t="shared" si="56"/>
        <v>0</v>
      </c>
      <c r="N25" s="34"/>
      <c r="O25" s="58">
        <v>0.0</v>
      </c>
      <c r="P25" s="49">
        <f t="shared" si="57"/>
        <v>8000</v>
      </c>
      <c r="Q25" s="49"/>
      <c r="R25" s="50"/>
      <c r="S25" s="40"/>
      <c r="T25" s="37">
        <f t="shared" si="58"/>
        <v>960000</v>
      </c>
      <c r="U25" s="37">
        <f t="shared" si="59"/>
        <v>960000</v>
      </c>
      <c r="V25" s="37">
        <f t="shared" si="60"/>
        <v>960000</v>
      </c>
      <c r="W25" s="37"/>
      <c r="X25" s="37">
        <f t="shared" si="61"/>
        <v>0</v>
      </c>
      <c r="Y25" s="45">
        <v>240000.0</v>
      </c>
      <c r="Z25" s="37">
        <f t="shared" si="62"/>
        <v>720000</v>
      </c>
    </row>
    <row r="26" ht="22.5" customHeight="1">
      <c r="A26" s="57"/>
      <c r="B26" s="32"/>
      <c r="C26" s="36"/>
      <c r="D26" s="53"/>
      <c r="E26" s="32"/>
      <c r="F26" s="56"/>
      <c r="G26" s="37"/>
      <c r="H26" s="45"/>
      <c r="I26" s="46"/>
      <c r="J26" s="36"/>
      <c r="K26" s="36"/>
      <c r="L26" s="47"/>
      <c r="M26" s="37"/>
      <c r="N26" s="34"/>
      <c r="O26" s="48"/>
      <c r="P26" s="49"/>
      <c r="Q26" s="35"/>
      <c r="R26" s="40"/>
      <c r="S26" s="40"/>
      <c r="T26" s="37"/>
      <c r="U26" s="37"/>
      <c r="V26" s="37"/>
      <c r="W26" s="37"/>
      <c r="X26" s="37"/>
      <c r="Y26" s="37"/>
      <c r="Z26" s="37"/>
    </row>
  </sheetData>
  <mergeCells count="2">
    <mergeCell ref="G1:L1"/>
    <mergeCell ref="O1:Q1"/>
  </mergeCells>
  <hyperlinks>
    <hyperlink r:id="rId2" ref="A3"/>
  </hyperlinks>
  <drawing r:id="rId3"/>
  <legacyDrawing r:id="rId4"/>
</worksheet>
</file>