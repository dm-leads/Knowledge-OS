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8\"/>
    </mc:Choice>
  </mc:AlternateContent>
  <bookViews>
    <workbookView xWindow="0" yWindow="0" windowWidth="20130" windowHeight="10140"/>
  </bookViews>
  <sheets>
    <sheet name="Юнит-экономика Freedom24" sheetId="1" r:id="rId1"/>
  </sheets>
  <calcPr calcId="162913"/>
  <fileRecoveryPr repairLoad="1"/>
</workbook>
</file>

<file path=xl/calcChain.xml><?xml version="1.0" encoding="utf-8"?>
<calcChain xmlns="http://schemas.openxmlformats.org/spreadsheetml/2006/main">
  <c r="C42" i="1" l="1"/>
  <c r="D20" i="1"/>
  <c r="C20" i="1"/>
  <c r="C18" i="1"/>
  <c r="D18" i="1"/>
  <c r="R20" i="1"/>
  <c r="N20" i="1"/>
  <c r="I20" i="1"/>
  <c r="E20" i="1"/>
  <c r="R18" i="1"/>
  <c r="N18" i="1"/>
  <c r="I18" i="1"/>
  <c r="H18" i="1"/>
  <c r="E18" i="1"/>
  <c r="D16" i="1"/>
  <c r="S16" i="1" s="1"/>
  <c r="R16" i="1"/>
  <c r="N16" i="1"/>
  <c r="I16" i="1"/>
  <c r="E16" i="1"/>
  <c r="O16" i="1" s="1"/>
  <c r="C16" i="1"/>
  <c r="H16" i="1"/>
  <c r="Y16" i="1" s="1"/>
  <c r="W13" i="1"/>
  <c r="X13" i="1"/>
  <c r="Y13" i="1"/>
  <c r="R13" i="1"/>
  <c r="S13" i="1"/>
  <c r="D13" i="1"/>
  <c r="O13" i="1"/>
  <c r="H13" i="1"/>
  <c r="F13" i="1"/>
  <c r="Y909" i="1"/>
  <c r="O909" i="1" s="1"/>
  <c r="H909" i="1"/>
  <c r="X909" i="1" s="1"/>
  <c r="V909" i="1" s="1"/>
  <c r="F909" i="1"/>
  <c r="W909" i="1" s="1"/>
  <c r="E909" i="1"/>
  <c r="Y907" i="1"/>
  <c r="O907" i="1" s="1"/>
  <c r="X907" i="1"/>
  <c r="V907" i="1" s="1"/>
  <c r="H907" i="1"/>
  <c r="S907" i="1" s="1"/>
  <c r="E907" i="1"/>
  <c r="F907" i="1" s="1"/>
  <c r="W907" i="1" s="1"/>
  <c r="S906" i="1"/>
  <c r="R906" i="1"/>
  <c r="O906" i="1"/>
  <c r="H906" i="1"/>
  <c r="X906" i="1" s="1"/>
  <c r="V906" i="1" s="1"/>
  <c r="E906" i="1"/>
  <c r="F906" i="1" s="1"/>
  <c r="W906" i="1" s="1"/>
  <c r="R905" i="1"/>
  <c r="N905" i="1"/>
  <c r="F905" i="1" s="1"/>
  <c r="W905" i="1" s="1"/>
  <c r="H905" i="1"/>
  <c r="X905" i="1" s="1"/>
  <c r="V905" i="1" s="1"/>
  <c r="E905" i="1"/>
  <c r="O905" i="1" s="1"/>
  <c r="D905" i="1"/>
  <c r="Y904" i="1"/>
  <c r="H904" i="1"/>
  <c r="S904" i="1" s="1"/>
  <c r="E904" i="1"/>
  <c r="X904" i="1" s="1"/>
  <c r="V904" i="1" s="1"/>
  <c r="H902" i="1"/>
  <c r="S902" i="1" s="1"/>
  <c r="C902" i="1"/>
  <c r="E902" i="1" s="1"/>
  <c r="W900" i="1"/>
  <c r="E900" i="1"/>
  <c r="N900" i="1" s="1"/>
  <c r="H900" i="1" s="1"/>
  <c r="S900" i="1" s="1"/>
  <c r="Y899" i="1"/>
  <c r="O899" i="1" s="1"/>
  <c r="W899" i="1"/>
  <c r="E899" i="1"/>
  <c r="N899" i="1" s="1"/>
  <c r="H899" i="1" s="1"/>
  <c r="Y896" i="1"/>
  <c r="R896" i="1" s="1"/>
  <c r="R900" i="1" s="1"/>
  <c r="Y900" i="1" s="1"/>
  <c r="N896" i="1"/>
  <c r="H896" i="1" s="1"/>
  <c r="E896" i="1"/>
  <c r="F896" i="1" s="1"/>
  <c r="W896" i="1" s="1"/>
  <c r="D896" i="1"/>
  <c r="C896" i="1"/>
  <c r="X894" i="1"/>
  <c r="V894" i="1"/>
  <c r="S894" i="1"/>
  <c r="O894" i="1"/>
  <c r="H894" i="1"/>
  <c r="F894" i="1"/>
  <c r="W894" i="1" s="1"/>
  <c r="E894" i="1"/>
  <c r="E46" i="1"/>
  <c r="E45" i="1"/>
  <c r="C39" i="1"/>
  <c r="C45" i="1" s="1"/>
  <c r="C46" i="1" s="1"/>
  <c r="C47" i="1" s="1"/>
  <c r="F36" i="1"/>
  <c r="F35" i="1"/>
  <c r="F34" i="1"/>
  <c r="D14" i="1"/>
  <c r="Y18" i="1" l="1"/>
  <c r="O20" i="1"/>
  <c r="F20" i="1"/>
  <c r="X20" i="1" s="1"/>
  <c r="H20" i="1"/>
  <c r="F18" i="1"/>
  <c r="X18" i="1" s="1"/>
  <c r="O18" i="1"/>
  <c r="S18" i="1"/>
  <c r="W18" i="1" s="1"/>
  <c r="F16" i="1"/>
  <c r="X16" i="1" s="1"/>
  <c r="W16" i="1"/>
  <c r="F902" i="1"/>
  <c r="W902" i="1" s="1"/>
  <c r="X902" i="1"/>
  <c r="S896" i="1"/>
  <c r="X896" i="1"/>
  <c r="O900" i="1"/>
  <c r="Y902" i="1"/>
  <c r="X899" i="1"/>
  <c r="V899" i="1" s="1"/>
  <c r="S899" i="1"/>
  <c r="X900" i="1"/>
  <c r="V900" i="1" s="1"/>
  <c r="F904" i="1"/>
  <c r="W904" i="1" s="1"/>
  <c r="S905" i="1"/>
  <c r="S909" i="1"/>
  <c r="O904" i="1"/>
  <c r="Y20" i="1" l="1"/>
  <c r="S20" i="1"/>
  <c r="W20" i="1" s="1"/>
  <c r="V896" i="1"/>
  <c r="X897" i="1"/>
  <c r="V902" i="1"/>
  <c r="R902" i="1"/>
  <c r="O902" i="1"/>
</calcChain>
</file>

<file path=xl/sharedStrings.xml><?xml version="1.0" encoding="utf-8"?>
<sst xmlns="http://schemas.openxmlformats.org/spreadsheetml/2006/main" count="100" uniqueCount="94">
  <si>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</si>
  <si>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</si>
  <si>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</si>
  <si>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</si>
  <si>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</si>
  <si>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</si>
  <si>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</si>
  <si>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</si>
  <si>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</si>
  <si>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</si>
  <si>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</si>
  <si>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</si>
  <si>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</si>
  <si>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</si>
  <si>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
платящего</t>
  </si>
  <si>
    <t>стоимость 
платящего</t>
  </si>
  <si>
    <t>стоимость заказа
или оплаты</t>
  </si>
  <si>
    <t>cтоимость 
привлечения
пользователя</t>
  </si>
  <si>
    <t>маржа 
на 1-го 
привлеченного</t>
  </si>
  <si>
    <t>прибыль
на пользователя</t>
  </si>
  <si>
    <t>чистая прибыль 
с потока 
пользователей</t>
  </si>
  <si>
    <t>прибыль 
с потока 
пользователей</t>
  </si>
  <si>
    <t>выручка</t>
  </si>
  <si>
    <t>доход 
с потока 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</si>
  <si>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</si>
  <si>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</si>
  <si>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</si>
  <si>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r>
      <rPr>
        <b/>
        <sz val="9"/>
        <rFont val="Trebuchet MS"/>
      </rPr>
      <t xml:space="preserve">Users 
</t>
    </r>
    <r>
      <rPr>
        <i/>
        <sz val="9"/>
        <rFont val="Trebuchet MS"/>
      </rPr>
      <t>or Leads </t>
    </r>
  </si>
  <si>
    <r>
      <rPr>
        <b/>
        <sz val="9"/>
        <rFont val="Trebuchet MS"/>
      </rPr>
      <t xml:space="preserve">С1
</t>
    </r>
    <r>
      <rPr>
        <i/>
        <sz val="8"/>
        <rFont val="Trebuchet MS"/>
      </rPr>
      <t>conv
to buyer</t>
    </r>
  </si>
  <si>
    <t>Buyers</t>
  </si>
  <si>
    <t xml:space="preserve">Payments
</t>
  </si>
  <si>
    <r>
      <rPr>
        <b/>
        <sz val="9"/>
        <rFont val="Trebuchet MS"/>
      </rPr>
      <t>AMPPU</t>
    </r>
    <r>
      <rPr>
        <i/>
        <sz val="9"/>
        <rFont val="Trebuchet MS"/>
      </rPr>
      <t xml:space="preserve">
</t>
    </r>
    <r>
      <rPr>
        <i/>
        <sz val="8"/>
        <rFont val="Trebuchet MS"/>
      </rPr>
      <t>or CLTV</t>
    </r>
  </si>
  <si>
    <t>Av. Price</t>
  </si>
  <si>
    <r>
      <rPr>
        <b/>
        <sz val="9"/>
        <rFont val="Trebuchet MS"/>
      </rPr>
      <t xml:space="preserve">Margin
</t>
    </r>
    <r>
      <rPr>
        <i/>
        <sz val="8"/>
        <rFont val="Trebuchet MS"/>
      </rPr>
      <t>or Commision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</si>
  <si>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Cost 
of Goods 
Sold</t>
    </r>
  </si>
  <si>
    <r>
      <rPr>
        <b/>
        <sz val="9"/>
        <rFont val="Trebuchet MS"/>
      </rPr>
      <t>Discounts</t>
    </r>
    <r>
      <rPr>
        <b/>
        <sz val="8"/>
        <rFont val="Trebuchet MS"/>
      </rPr>
      <t xml:space="preserve">
</t>
    </r>
    <r>
      <rPr>
        <i/>
        <sz val="8"/>
        <rFont val="Trebuchet MS"/>
      </rPr>
      <t>скидка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</si>
  <si>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 xml:space="preserve">1st sale </t>
    </r>
  </si>
  <si>
    <r>
      <rPr>
        <b/>
        <sz val="9"/>
        <rFont val="Trebuchet MS"/>
      </rPr>
      <t xml:space="preserve">CPO </t>
    </r>
    <r>
      <rPr>
        <i/>
        <sz val="9"/>
        <rFont val="Trebuchet MS"/>
      </rPr>
      <t>or</t>
    </r>
    <r>
      <rPr>
        <b/>
        <sz val="9"/>
        <rFont val="Trebuchet MS"/>
      </rPr>
      <t xml:space="preserve"> SPS
</t>
    </r>
    <r>
      <rPr>
        <i/>
        <sz val="8"/>
        <rFont val="Trebuchet MS"/>
      </rPr>
      <t>Cost per Order, 
Cost per Sale</t>
    </r>
  </si>
  <si>
    <r>
      <rPr>
        <b/>
        <sz val="9"/>
        <rFont val="Trebuchet MS"/>
      </rPr>
      <t xml:space="preserve">CPUser
</t>
    </r>
    <r>
      <rPr>
        <i/>
        <sz val="8"/>
        <rFont val="Trebuchet MS"/>
      </rPr>
      <t>or CPLead</t>
    </r>
  </si>
  <si>
    <r>
      <rPr>
        <b/>
        <sz val="9"/>
        <rFont val="Trebuchet MS"/>
      </rPr>
      <t xml:space="preserve">AMPU 
</t>
    </r>
    <r>
      <rPr>
        <i/>
        <sz val="8"/>
        <rFont val="Trebuchet MS"/>
      </rPr>
      <t>or LTV</t>
    </r>
  </si>
  <si>
    <t>AMPU−
CPUser</t>
  </si>
  <si>
    <t>Profit net</t>
  </si>
  <si>
    <t>Profit</t>
  </si>
  <si>
    <t>Revenue</t>
  </si>
  <si>
    <t>Gross Profit</t>
  </si>
  <si>
    <r>
      <rPr>
        <b/>
        <sz val="9"/>
        <rFont val="Trebuchet MS"/>
      </rPr>
      <t xml:space="preserve">Acq. Costs
</t>
    </r>
    <r>
      <rPr>
        <i/>
        <sz val="8"/>
        <rFont val="Trebuchet MS"/>
      </rPr>
      <t>до продажи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</si>
  <si>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total</t>
    </r>
    <r>
      <rPr>
        <b/>
        <sz val="8"/>
        <rFont val="Trebuchet MS"/>
      </rPr>
      <t xml:space="preserve">
</t>
    </r>
    <r>
      <rPr>
        <i/>
        <sz val="8"/>
        <rFont val="Trebuchet MS"/>
      </rPr>
      <t>после 
продажи</t>
    </r>
  </si>
  <si>
    <r>
      <rPr>
        <b/>
        <sz val="9"/>
        <rFont val="Trebuchet MS"/>
      </rPr>
      <t xml:space="preserve">Fix Costs 
</t>
    </r>
    <r>
      <rPr>
        <i/>
        <sz val="8"/>
        <rFont val="Trebuchet MS"/>
      </rPr>
      <t>в месяц</t>
    </r>
  </si>
  <si>
    <t>1-й подвиг. посчитать юнит-экономику</t>
  </si>
  <si>
    <r>
      <rPr>
        <sz val="10"/>
        <rFont val="Trebuchet MS"/>
      </rPr>
      <t xml:space="preserve">1. Посчитайте плечи метрик и найдите точку роста при условии, что вам нужны </t>
    </r>
    <r>
      <rPr>
        <b/>
        <sz val="10"/>
        <rFont val="Trebuchet MS"/>
      </rPr>
      <t>1 000 покупателей в месяц</t>
    </r>
  </si>
  <si>
    <r>
      <rPr>
        <sz val="10"/>
        <color rgb="FF5D617A"/>
        <rFont val="Trebuchet MS"/>
      </rPr>
      <t xml:space="preserve">1.1. Используя данные в переписке, соберите юнит-экономику. Не забудьте рассчитать ее так, чтобы видеть эффект от изменения </t>
    </r>
    <r>
      <rPr>
        <b/>
        <sz val="10"/>
        <color rgb="FF3D85C6"/>
        <rFont val="Trebuchet MS"/>
      </rPr>
      <t>ключевых метрик</t>
    </r>
  </si>
  <si>
    <r>
      <rPr>
        <sz val="10"/>
        <color rgb="FF5D617A"/>
        <rFont val="Trebuchet MS"/>
      </rPr>
      <t xml:space="preserve">1.2. Найдите точку роста учитывая, что ваш KPI от холдинга составляет </t>
    </r>
    <r>
      <rPr>
        <b/>
        <sz val="10"/>
        <color rgb="FF5D617A"/>
        <rFont val="Trebuchet MS"/>
      </rPr>
      <t>1 000 покупателей акций в месяц</t>
    </r>
  </si>
  <si>
    <t>1.3. Решите, над чем будете работать в первую очередь? Над конверсией или над привлечением новых пользователей?</t>
  </si>
  <si>
    <t>1.4. Посмотрите на интересный эффект от привлечения 1 млн пользователей. Чем он опасен? Вице-президент очень хочет потратить несколько млн рублей, чтобы привлечь этих пользователей</t>
  </si>
  <si>
    <t>Freedom24</t>
  </si>
  <si>
    <t xml:space="preserve">    не покупает</t>
  </si>
  <si>
    <t>рост конверсии в покупку</t>
  </si>
  <si>
    <t xml:space="preserve">   аналогичный эффект</t>
  </si>
  <si>
    <t>привлечь новых пользователей</t>
  </si>
  <si>
    <t>привлечь 1 млн новых пользователей</t>
  </si>
  <si>
    <r>
      <rPr>
        <sz val="10"/>
        <rFont val="Trebuchet MS"/>
      </rPr>
      <t xml:space="preserve">2. Постройте воронку продаж и рассчитайте </t>
    </r>
    <r>
      <rPr>
        <b/>
        <sz val="10"/>
        <rFont val="Trebuchet MS"/>
      </rPr>
      <t>относительную</t>
    </r>
    <r>
      <rPr>
        <sz val="10"/>
        <rFont val="Trebuchet MS"/>
      </rPr>
      <t>,</t>
    </r>
    <r>
      <rPr>
        <b/>
        <sz val="10"/>
        <rFont val="Trebuchet MS"/>
      </rPr>
      <t xml:space="preserve"> абсолютную конверсию </t>
    </r>
    <r>
      <rPr>
        <sz val="10"/>
        <rFont val="Trebuchet MS"/>
      </rPr>
      <t xml:space="preserve">и </t>
    </r>
    <r>
      <rPr>
        <b/>
        <sz val="10"/>
        <rFont val="Trebuchet MS"/>
      </rPr>
      <t>доверительный интервал</t>
    </r>
    <r>
      <rPr>
        <sz val="10"/>
        <rFont val="Trebuchet MS"/>
      </rPr>
      <t xml:space="preserve"> для каждого шага воронки</t>
    </r>
  </si>
  <si>
    <t>2.1. Посчитайте конверсию воронки продаж за месяц и за неделю. Данные для построения воронки возьмите из переписки</t>
  </si>
  <si>
    <r>
      <rPr>
        <sz val="10"/>
        <color rgb="FF5D617A"/>
        <rFont val="Trebuchet MS"/>
      </rPr>
      <t xml:space="preserve">2.2. Для построения воронки по неделям разделите месячные показатели на 4 (4 недели) или </t>
    </r>
    <r>
      <rPr>
        <b/>
        <sz val="10"/>
        <color rgb="FF5D617A"/>
        <rFont val="Trebuchet MS"/>
      </rPr>
      <t>умножьте на 7/31</t>
    </r>
    <r>
      <rPr>
        <sz val="10"/>
        <color rgb="FF5D617A"/>
        <rFont val="Trebuchet MS"/>
      </rPr>
      <t xml:space="preserve"> — это более точный способ</t>
    </r>
  </si>
  <si>
    <t>2.3. Затем посчитайте, сколько пользователей будет в каждом из вариантов ААВ теста, если его проводить. Для этого разделите всех пользователей в неделю на 3 (3 варианта)</t>
  </si>
  <si>
    <t>2.4. Над какими шагами воронки будете работать?</t>
  </si>
  <si>
    <t>2.5. Оцените доверительный интервал для всех шагов воронки:</t>
  </si>
  <si>
    <t>– На сколько сильными должны быть гипотезы, какой прирост конверсии они должны давать, чтобы за неделю вы увидели результат?</t>
  </si>
  <si>
    <t>– Можем ли мы позволить себе запускать ААВ-тесты? Какой минимальный прирост конверсии покажет недельный AAB-тест?</t>
  </si>
  <si>
    <t>– Какую тактику выберите: выложите новую версию лендинга на всех пользвалей или проведете AAB-тест?</t>
  </si>
  <si>
    <t>Воронка продаж за месяц</t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</si>
  <si>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относит.</t>
    </r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</si>
  <si>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абсолютн.</t>
    </r>
  </si>
  <si>
    <t>± дов. 
интервал</t>
  </si>
  <si>
    <t>Открыл лендинг</t>
  </si>
  <si>
    <t>Оставил заявку</t>
  </si>
  <si>
    <t>Дозвонились до лида</t>
  </si>
  <si>
    <t>Открыл счет и купил акций</t>
  </si>
  <si>
    <t>Воронка продаж за неделю</t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</si>
  <si>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относит.</t>
    </r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</si>
  <si>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абсолютн.</t>
    </r>
  </si>
  <si>
    <t>Пользователи каждой группы AAB-теста</t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</si>
  <si>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абсолютн.</t>
    </r>
  </si>
  <si>
    <r>
      <rPr>
        <b/>
        <sz val="10"/>
        <rFont val="Trebuchet MS"/>
      </rPr>
      <t xml:space="preserve">группа А1 </t>
    </r>
    <r>
      <rPr>
        <i/>
        <sz val="10"/>
        <rFont val="Trebuchet MS"/>
      </rPr>
      <t>текущая C1</t>
    </r>
  </si>
  <si>
    <r>
      <rPr>
        <b/>
        <sz val="10"/>
        <rFont val="Trebuchet MS"/>
      </rPr>
      <t xml:space="preserve">группа А2 </t>
    </r>
    <r>
      <rPr>
        <i/>
        <sz val="10"/>
        <rFont val="Trebuchet MS"/>
      </rPr>
      <t>текущая C1</t>
    </r>
  </si>
  <si>
    <r>
      <rPr>
        <b/>
        <sz val="10"/>
        <rFont val="Trebuchet MS"/>
      </rPr>
      <t xml:space="preserve">группа B 
</t>
    </r>
    <r>
      <rPr>
        <i/>
        <sz val="10"/>
        <rFont val="Trebuchet MS"/>
      </rPr>
      <t>C1 превышает 
доверительный интервал</t>
    </r>
  </si>
  <si>
    <t>flowwow</t>
  </si>
  <si>
    <t xml:space="preserve">Если конверсия вырастет на 0,5 п.п. то </t>
  </si>
  <si>
    <t>снизить стоимость привлечения</t>
  </si>
  <si>
    <t>повысить маржинальность</t>
  </si>
  <si>
    <t>Цель A</t>
  </si>
  <si>
    <t>Цель B</t>
  </si>
  <si>
    <t>если изменим конверсию на 0,5%</t>
  </si>
  <si>
    <r>
      <t xml:space="preserve">CAC
</t>
    </r>
    <r>
      <rPr>
        <i/>
        <sz val="8"/>
        <rFont val="Trebuchet MS"/>
      </rPr>
      <t>Customer 
Acquisition 
Costs</t>
    </r>
  </si>
  <si>
    <r>
      <t xml:space="preserve">Av. Payment 
Count
</t>
    </r>
    <r>
      <rPr>
        <i/>
        <sz val="8"/>
        <rFont val="Trebuchet MS"/>
      </rPr>
      <t>or LifeTime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</si>
</sst>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0.0"/>
    <numFmt numFmtId="165" formatCode="0.0%"/>
    <numFmt numFmtId="166" formatCode="#\ ###\ ##0\ [$р.-419]"/>
    <numFmt numFmtId="167" formatCode="#\ ###\ ##0\ [$р.]"/>
    <numFmt numFmtId="168" formatCode="[$р.-419]#,##0.0"/>
    <numFmt numFmtId="169" formatCode="#\ ###\ ##0.0\ [$р.]"/>
    <numFmt numFmtId="170" formatCode="[$р.-419]#,##0"/>
    <numFmt numFmtId="171" formatCode="\±0.00%"/>
    <numFmt numFmtId="172" formatCode="#\ ###\ ##0.00\ [$р.-419]"/>
    <numFmt numFmtId="173" formatCode="#,##0[$ руб.]"/>
    <numFmt numFmtId="174" formatCode="#\ ###\ ##0.0\ [$р.-419]"/>
    <numFmt numFmtId="175" formatCode="#,##0.0,,\ &quot;млн &quot;[$р.]"/>
  </numFmts>
  <fonts count="27" x14ac:knownFonts="1">
    <font>
      <sz val="10"/>
      <color rgb="FF000000"/>
      <name val="Arial"/>
    </font>
    <font>
      <sz val="8"/>
      <name val="Trebuchet MS"/>
    </font>
    <font>
      <sz val="7"/>
      <name val="Trebuchet MS"/>
    </font>
    <font>
      <sz val="6"/>
      <name val="Trebuchet MS"/>
    </font>
    <font>
      <b/>
      <sz val="8"/>
      <name val="Trebuchet MS"/>
    </font>
    <font>
      <b/>
      <sz val="9"/>
      <name val="Trebuchet MS"/>
    </font>
    <font>
      <b/>
      <sz val="10"/>
      <name val="Trebuchet MS"/>
    </font>
    <font>
      <sz val="10"/>
      <name val="Trebuchet MS"/>
    </font>
    <font>
      <sz val="10"/>
      <color rgb="FF000000"/>
      <name val="Trebuchet MS"/>
    </font>
    <font>
      <sz val="10"/>
      <name val="Trebuchet MS"/>
    </font>
    <font>
      <sz val="10"/>
      <color rgb="FF5D617A"/>
      <name val="Trebuchet MS"/>
    </font>
    <font>
      <sz val="9"/>
      <name val="Trebuchet MS"/>
    </font>
    <font>
      <sz val="10"/>
      <color rgb="FFCC0000"/>
      <name val="Trebuchet MS"/>
    </font>
    <font>
      <i/>
      <sz val="10"/>
      <color rgb="FF666666"/>
      <name val="Trebuchet MS"/>
    </font>
    <font>
      <i/>
      <sz val="9"/>
      <color rgb="FF989AA5"/>
      <name val="Trebuchet MS"/>
    </font>
    <font>
      <b/>
      <sz val="10"/>
      <name val="Trebuchet MS"/>
    </font>
    <font>
      <sz val="8"/>
      <color rgb="FF000000"/>
      <name val="Trebuchet MS"/>
    </font>
    <font>
      <sz val="10"/>
      <color rgb="FF000000"/>
      <name val="Trebuchet MS"/>
    </font>
    <font>
      <sz val="16"/>
      <color rgb="FF989AA5"/>
      <name val="Trebuchet MS"/>
    </font>
    <font>
      <b/>
      <sz val="8"/>
      <color rgb="FF999999"/>
      <name val="Trebuchet MS"/>
    </font>
    <font>
      <sz val="10"/>
      <color rgb="FF999999"/>
      <name val="Trebuchet MS"/>
    </font>
    <font>
      <sz val="10"/>
      <color rgb="FF999999"/>
      <name val="Trebuchet MS"/>
    </font>
    <font>
      <i/>
      <sz val="9"/>
      <name val="Trebuchet MS"/>
    </font>
    <font>
      <i/>
      <sz val="8"/>
      <name val="Trebuchet MS"/>
    </font>
    <font>
      <b/>
      <sz val="10"/>
      <color rgb="FF3D85C6"/>
      <name val="Trebuchet MS"/>
    </font>
    <font>
      <b/>
      <sz val="10"/>
      <color rgb="FF5D617A"/>
      <name val="Trebuchet MS"/>
    </font>
    <font>
      <i/>
      <sz val="10"/>
      <name val="Trebuchet MS"/>
    </font>
  </fonts>
  <fills count="7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164" fontId="3" fillId="3" borderId="0" xfId="0" applyNumberFormat="1" applyFont="1" applyFill="1" applyAlignment="1">
      <alignment horizontal="right" vertical="top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2" fillId="0" borderId="0" xfId="0" applyFont="1" applyAlignment="1">
      <alignment horizontal="right" vertical="top" wrapText="1"/>
    </xf>
    <xf numFmtId="0" fontId="3" fillId="5" borderId="0" xfId="0" applyFont="1" applyFill="1" applyAlignment="1">
      <alignment horizontal="right" vertical="top"/>
    </xf>
    <xf numFmtId="0" fontId="3" fillId="5" borderId="0" xfId="0" applyFont="1" applyFill="1" applyAlignment="1">
      <alignment horizontal="right" vertical="top"/>
    </xf>
    <xf numFmtId="0" fontId="3" fillId="5" borderId="0" xfId="0" applyFont="1" applyFill="1" applyAlignment="1">
      <alignment horizontal="right" vertical="top"/>
    </xf>
    <xf numFmtId="0" fontId="4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3" borderId="0" xfId="0" applyFont="1" applyFill="1" applyAlignment="1">
      <alignment horizontal="right" vertical="top"/>
    </xf>
    <xf numFmtId="0" fontId="5" fillId="3" borderId="0" xfId="0" applyFont="1" applyFill="1" applyAlignment="1">
      <alignment horizontal="right" vertical="top"/>
    </xf>
    <xf numFmtId="0" fontId="5" fillId="3" borderId="0" xfId="0" applyFont="1" applyFill="1" applyAlignment="1">
      <alignment horizontal="right" vertical="top" wrapText="1"/>
    </xf>
    <xf numFmtId="0" fontId="5" fillId="3" borderId="0" xfId="0" applyFont="1" applyFill="1" applyAlignment="1">
      <alignment horizontal="right" vertical="top"/>
    </xf>
    <xf numFmtId="0" fontId="5" fillId="4" borderId="0" xfId="0" applyFont="1" applyFill="1" applyAlignment="1">
      <alignment horizontal="center" vertical="top"/>
    </xf>
    <xf numFmtId="0" fontId="1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5" fillId="5" borderId="0" xfId="0" applyFont="1" applyFill="1" applyAlignment="1">
      <alignment horizontal="right" vertical="top"/>
    </xf>
    <xf numFmtId="0" fontId="5" fillId="5" borderId="0" xfId="0" applyFont="1" applyFill="1" applyAlignment="1">
      <alignment horizontal="right" vertical="top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66" fontId="7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10" fontId="6" fillId="2" borderId="0" xfId="0" applyNumberFormat="1" applyFont="1" applyFill="1" applyAlignment="1">
      <alignment vertical="center"/>
    </xf>
    <xf numFmtId="1" fontId="6" fillId="2" borderId="0" xfId="0" applyNumberFormat="1" applyFont="1" applyFill="1" applyAlignment="1">
      <alignment vertical="center"/>
    </xf>
    <xf numFmtId="166" fontId="6" fillId="2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vertical="center"/>
    </xf>
    <xf numFmtId="9" fontId="6" fillId="2" borderId="0" xfId="0" applyNumberFormat="1" applyFont="1" applyFill="1" applyAlignment="1">
      <alignment vertical="center"/>
    </xf>
    <xf numFmtId="2" fontId="6" fillId="2" borderId="0" xfId="0" applyNumberFormat="1" applyFont="1" applyFill="1" applyAlignment="1">
      <alignment vertical="center"/>
    </xf>
    <xf numFmtId="168" fontId="6" fillId="2" borderId="0" xfId="0" applyNumberFormat="1" applyFont="1" applyFill="1" applyAlignment="1">
      <alignment vertical="center"/>
    </xf>
    <xf numFmtId="169" fontId="6" fillId="2" borderId="0" xfId="0" applyNumberFormat="1" applyFont="1" applyFill="1" applyAlignment="1">
      <alignment vertical="center"/>
    </xf>
    <xf numFmtId="170" fontId="6" fillId="2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3" fontId="9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9" fontId="9" fillId="2" borderId="0" xfId="0" applyNumberFormat="1" applyFont="1" applyFill="1" applyAlignment="1">
      <alignment vertical="center"/>
    </xf>
    <xf numFmtId="1" fontId="9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70" fontId="9" fillId="2" borderId="0" xfId="0" applyNumberFormat="1" applyFont="1" applyFill="1" applyAlignment="1">
      <alignment vertical="center"/>
    </xf>
    <xf numFmtId="169" fontId="9" fillId="2" borderId="0" xfId="0" applyNumberFormat="1" applyFont="1" applyFill="1" applyAlignment="1">
      <alignment vertical="center"/>
    </xf>
    <xf numFmtId="10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6" borderId="0" xfId="0" applyFont="1" applyFill="1" applyAlignment="1">
      <alignment vertical="center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66" fontId="7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167" fontId="9" fillId="3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/>
    </xf>
    <xf numFmtId="9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" fontId="9" fillId="2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69" fontId="9" fillId="3" borderId="0" xfId="0" applyNumberFormat="1" applyFont="1" applyFill="1" applyAlignment="1">
      <alignment vertical="center"/>
    </xf>
    <xf numFmtId="10" fontId="9" fillId="3" borderId="0" xfId="0" applyNumberFormat="1" applyFont="1" applyFill="1" applyAlignment="1">
      <alignment vertical="center"/>
    </xf>
    <xf numFmtId="170" fontId="9" fillId="0" borderId="0" xfId="0" applyNumberFormat="1" applyFont="1" applyAlignment="1">
      <alignment vertical="center"/>
    </xf>
    <xf numFmtId="166" fontId="9" fillId="3" borderId="0" xfId="0" applyNumberFormat="1" applyFont="1" applyFill="1" applyAlignment="1">
      <alignment vertical="center"/>
    </xf>
    <xf numFmtId="166" fontId="9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165" fontId="12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0" fontId="9" fillId="3" borderId="0" xfId="0" applyNumberFormat="1" applyFont="1" applyFill="1" applyAlignment="1">
      <alignment vertical="center"/>
    </xf>
    <xf numFmtId="167" fontId="9" fillId="3" borderId="0" xfId="0" applyNumberFormat="1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3" fillId="0" borderId="0" xfId="0" applyFont="1" applyAlignment="1">
      <alignment vertical="top" wrapText="1"/>
    </xf>
    <xf numFmtId="166" fontId="6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9" fontId="6" fillId="0" borderId="0" xfId="0" applyNumberFormat="1" applyFont="1" applyAlignment="1">
      <alignment horizontal="right" vertical="top"/>
    </xf>
    <xf numFmtId="9" fontId="5" fillId="0" borderId="0" xfId="0" applyNumberFormat="1" applyFont="1" applyAlignment="1">
      <alignment vertical="top"/>
    </xf>
    <xf numFmtId="3" fontId="9" fillId="0" borderId="0" xfId="0" applyNumberFormat="1" applyFont="1" applyAlignment="1">
      <alignment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0" xfId="0" applyFont="1"/>
    <xf numFmtId="166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horizontal="right" vertical="center"/>
    </xf>
    <xf numFmtId="165" fontId="9" fillId="3" borderId="0" xfId="0" applyNumberFormat="1" applyFont="1" applyFill="1" applyAlignment="1">
      <alignment vertical="center"/>
    </xf>
    <xf numFmtId="171" fontId="16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vertical="center"/>
    </xf>
    <xf numFmtId="9" fontId="9" fillId="3" borderId="0" xfId="0" applyNumberFormat="1" applyFont="1" applyFill="1" applyAlignment="1">
      <alignment vertical="center"/>
    </xf>
    <xf numFmtId="172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71" fontId="17" fillId="0" borderId="0" xfId="0" applyNumberFormat="1" applyFont="1" applyAlignment="1">
      <alignment vertical="center"/>
    </xf>
    <xf numFmtId="1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166" fontId="7" fillId="0" borderId="0" xfId="0" applyNumberFormat="1" applyFont="1" applyAlignment="1">
      <alignment horizontal="right" vertical="top"/>
    </xf>
    <xf numFmtId="9" fontId="7" fillId="0" borderId="0" xfId="0" applyNumberFormat="1" applyFont="1" applyAlignment="1">
      <alignment horizontal="right" vertical="top"/>
    </xf>
    <xf numFmtId="9" fontId="7" fillId="0" borderId="0" xfId="0" applyNumberFormat="1" applyFont="1" applyAlignment="1">
      <alignment horizontal="right" vertical="top"/>
    </xf>
    <xf numFmtId="172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173" fontId="7" fillId="0" borderId="0" xfId="0" applyNumberFormat="1" applyFont="1" applyAlignment="1">
      <alignment vertical="center" wrapText="1"/>
    </xf>
    <xf numFmtId="0" fontId="13" fillId="6" borderId="0" xfId="0" applyFont="1" applyFill="1" applyAlignment="1">
      <alignment horizontal="left" vertical="center" wrapText="1"/>
    </xf>
    <xf numFmtId="0" fontId="15" fillId="0" borderId="0" xfId="0" applyFont="1" applyAlignment="1">
      <alignment vertical="top"/>
    </xf>
    <xf numFmtId="10" fontId="7" fillId="0" borderId="0" xfId="0" applyNumberFormat="1" applyFont="1" applyAlignment="1">
      <alignment vertical="top"/>
    </xf>
    <xf numFmtId="165" fontId="9" fillId="0" borderId="0" xfId="0" applyNumberFormat="1" applyFont="1" applyAlignment="1">
      <alignment vertical="center"/>
    </xf>
    <xf numFmtId="171" fontId="16" fillId="3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1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9" fontId="9" fillId="0" borderId="0" xfId="0" applyNumberFormat="1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6" fontId="7" fillId="0" borderId="0" xfId="0" applyNumberFormat="1" applyFont="1" applyAlignment="1">
      <alignment vertical="center" wrapText="1"/>
    </xf>
    <xf numFmtId="174" fontId="7" fillId="0" borderId="0" xfId="0" applyNumberFormat="1" applyFont="1" applyAlignment="1">
      <alignment horizontal="right" vertical="center"/>
    </xf>
    <xf numFmtId="9" fontId="7" fillId="4" borderId="0" xfId="0" applyNumberFormat="1" applyFont="1" applyFill="1" applyAlignment="1">
      <alignment horizontal="right" vertical="center"/>
    </xf>
    <xf numFmtId="0" fontId="18" fillId="6" borderId="0" xfId="0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10" fontId="20" fillId="0" borderId="0" xfId="0" applyNumberFormat="1" applyFont="1" applyAlignment="1">
      <alignment vertical="center"/>
    </xf>
    <xf numFmtId="1" fontId="20" fillId="0" borderId="0" xfId="0" applyNumberFormat="1" applyFont="1" applyAlignment="1">
      <alignment vertical="center"/>
    </xf>
    <xf numFmtId="1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right" vertical="center"/>
    </xf>
    <xf numFmtId="166" fontId="20" fillId="0" borderId="0" xfId="0" applyNumberFormat="1" applyFont="1" applyAlignment="1">
      <alignment horizontal="right" vertical="center"/>
    </xf>
    <xf numFmtId="9" fontId="20" fillId="4" borderId="0" xfId="0" applyNumberFormat="1" applyFont="1" applyFill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  <xf numFmtId="164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166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10" fontId="7" fillId="3" borderId="0" xfId="0" applyNumberFormat="1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166" fontId="7" fillId="3" borderId="0" xfId="0" applyNumberFormat="1" applyFont="1" applyFill="1" applyAlignment="1">
      <alignment horizontal="right" vertical="center"/>
    </xf>
    <xf numFmtId="9" fontId="7" fillId="3" borderId="0" xfId="0" applyNumberFormat="1" applyFont="1" applyFill="1" applyAlignment="1">
      <alignment horizontal="right" vertical="center"/>
    </xf>
    <xf numFmtId="3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74" fontId="9" fillId="0" borderId="0" xfId="0" applyNumberFormat="1" applyFont="1" applyAlignment="1">
      <alignment horizontal="right" vertical="center"/>
    </xf>
    <xf numFmtId="175" fontId="9" fillId="0" borderId="0" xfId="0" applyNumberFormat="1" applyFont="1" applyAlignment="1">
      <alignment vertical="center"/>
    </xf>
    <xf numFmtId="175" fontId="7" fillId="0" borderId="0" xfId="0" applyNumberFormat="1" applyFont="1" applyAlignment="1">
      <alignment horizontal="right" vertical="center"/>
    </xf>
    <xf numFmtId="166" fontId="18" fillId="6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top" wrapText="1"/>
    </xf>
    <xf numFmtId="164" fontId="5" fillId="3" borderId="0" xfId="0" applyNumberFormat="1" applyFont="1" applyFill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957"/>
  <sheetViews>
    <sheetView showGridLines="0" tabSelected="1" workbookViewId="0">
      <pane ySplit="3" topLeftCell="A4" activePane="bottomLeft" state="frozen"/>
      <selection pane="bottomLeft" activeCell="C34" sqref="C34"/>
    </sheetView>
  </sheetViews>
  <sheetFormatPr defaultColWidth="12.5703125" defaultRowHeight="15.75" customHeight="1" x14ac:dyDescent="0.2"/>
  <cols>
    <col min="1" max="1" width="2.85546875" customWidth="1"/>
    <col min="2" max="2" width="23.7109375" customWidth="1"/>
    <col min="3" max="6" width="10.140625" customWidth="1"/>
    <col min="7" max="7" width="2.85546875" customWidth="1"/>
    <col min="8" max="11" width="10.140625" customWidth="1"/>
    <col min="12" max="12" width="10.140625" hidden="1" customWidth="1"/>
    <col min="13" max="14" width="10.140625" customWidth="1"/>
    <col min="15" max="15" width="11.85546875" bestFit="1" customWidth="1"/>
    <col min="16" max="16" width="10.140625" hidden="1" customWidth="1"/>
    <col min="17" max="17" width="2.85546875" customWidth="1"/>
    <col min="18" max="19" width="10.140625" customWidth="1"/>
    <col min="20" max="20" width="10.140625" hidden="1" customWidth="1"/>
    <col min="21" max="21" width="2.85546875" customWidth="1"/>
    <col min="22" max="22" width="10.140625" customWidth="1"/>
    <col min="23" max="23" width="18.140625" bestFit="1" customWidth="1"/>
    <col min="24" max="24" width="11.42578125" bestFit="1" customWidth="1"/>
    <col min="25" max="25" width="16.7109375" bestFit="1" customWidth="1"/>
    <col min="26" max="26" width="22" bestFit="1" customWidth="1"/>
    <col min="27" max="27" width="19.5703125" bestFit="1" customWidth="1"/>
    <col min="28" max="28" width="10.140625" customWidth="1"/>
  </cols>
  <sheetData>
    <row r="1" spans="1:49" ht="13.5" x14ac:dyDescent="0.2">
      <c r="A1" s="1"/>
      <c r="B1" s="1"/>
      <c r="C1" s="239" t="s">
        <v>0</v>
      </c>
      <c r="D1" s="240"/>
      <c r="E1" s="240"/>
      <c r="F1" s="240"/>
      <c r="G1" s="2"/>
      <c r="H1" s="241" t="s">
        <v>1</v>
      </c>
      <c r="I1" s="240"/>
      <c r="J1" s="240"/>
      <c r="K1" s="240"/>
      <c r="L1" s="240"/>
      <c r="M1" s="240"/>
      <c r="N1" s="240"/>
      <c r="O1" s="3"/>
      <c r="P1" s="3"/>
      <c r="Q1" s="4"/>
      <c r="R1" s="241" t="s">
        <v>2</v>
      </c>
      <c r="S1" s="240"/>
      <c r="T1" s="240"/>
      <c r="U1" s="4"/>
      <c r="V1" s="242" t="s">
        <v>3</v>
      </c>
      <c r="W1" s="240"/>
      <c r="X1" s="240"/>
      <c r="Y1" s="240"/>
      <c r="Z1" s="240"/>
      <c r="AA1" s="240"/>
      <c r="AB1" s="240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3.5" x14ac:dyDescent="0.2">
      <c r="A2" s="5"/>
      <c r="B2" s="5"/>
      <c r="C2" s="6" t="s">
        <v>4</v>
      </c>
      <c r="D2" s="7" t="s">
        <v>5</v>
      </c>
      <c r="E2" s="7" t="s">
        <v>6</v>
      </c>
      <c r="F2" s="6" t="s">
        <v>7</v>
      </c>
      <c r="G2" s="8"/>
      <c r="H2" s="9" t="s">
        <v>8</v>
      </c>
      <c r="I2" s="10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2" t="s">
        <v>14</v>
      </c>
      <c r="O2" s="13" t="s">
        <v>15</v>
      </c>
      <c r="P2" s="14" t="s">
        <v>16</v>
      </c>
      <c r="Q2" s="15"/>
      <c r="R2" s="16" t="s">
        <v>17</v>
      </c>
      <c r="S2" s="16" t="s">
        <v>18</v>
      </c>
      <c r="T2" s="17" t="s">
        <v>19</v>
      </c>
      <c r="U2" s="18"/>
      <c r="V2" s="19" t="s">
        <v>20</v>
      </c>
      <c r="W2" s="20" t="s">
        <v>21</v>
      </c>
      <c r="X2" s="19" t="s">
        <v>22</v>
      </c>
      <c r="Y2" s="20" t="s">
        <v>23</v>
      </c>
      <c r="Z2" s="19" t="s">
        <v>24</v>
      </c>
      <c r="AA2" s="21" t="s">
        <v>25</v>
      </c>
      <c r="AB2" s="21" t="s">
        <v>26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</row>
    <row r="3" spans="1:49" ht="58.5" x14ac:dyDescent="0.2">
      <c r="A3" s="22"/>
      <c r="B3" s="22"/>
      <c r="C3" s="23" t="s">
        <v>27</v>
      </c>
      <c r="D3" s="24" t="s">
        <v>28</v>
      </c>
      <c r="E3" s="24" t="s">
        <v>29</v>
      </c>
      <c r="F3" s="23" t="s">
        <v>30</v>
      </c>
      <c r="G3" s="25"/>
      <c r="H3" s="26" t="s">
        <v>31</v>
      </c>
      <c r="I3" s="27" t="s">
        <v>32</v>
      </c>
      <c r="J3" s="28" t="s">
        <v>33</v>
      </c>
      <c r="K3" s="29" t="s">
        <v>34</v>
      </c>
      <c r="L3" s="28" t="s">
        <v>35</v>
      </c>
      <c r="M3" s="27" t="s">
        <v>36</v>
      </c>
      <c r="N3" s="245" t="s">
        <v>93</v>
      </c>
      <c r="O3" s="244" t="s">
        <v>92</v>
      </c>
      <c r="P3" s="30" t="s">
        <v>37</v>
      </c>
      <c r="Q3" s="31"/>
      <c r="R3" s="32" t="s">
        <v>38</v>
      </c>
      <c r="S3" s="32" t="s">
        <v>39</v>
      </c>
      <c r="T3" s="33" t="s">
        <v>40</v>
      </c>
      <c r="U3" s="34"/>
      <c r="V3" s="35" t="s">
        <v>41</v>
      </c>
      <c r="W3" s="35" t="s">
        <v>42</v>
      </c>
      <c r="X3" s="36" t="s">
        <v>43</v>
      </c>
      <c r="Y3" s="35" t="s">
        <v>44</v>
      </c>
      <c r="Z3" s="36" t="s">
        <v>45</v>
      </c>
      <c r="AA3" s="36" t="s">
        <v>46</v>
      </c>
      <c r="AB3" s="35" t="s">
        <v>47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</row>
    <row r="4" spans="1:49" ht="22.5" customHeight="1" x14ac:dyDescent="0.2">
      <c r="A4" s="37"/>
      <c r="B4" s="38"/>
      <c r="C4" s="39"/>
      <c r="D4" s="40"/>
      <c r="E4" s="39"/>
      <c r="F4" s="41"/>
      <c r="G4" s="42"/>
      <c r="H4" s="42"/>
      <c r="I4" s="43"/>
      <c r="J4" s="44"/>
      <c r="K4" s="44"/>
      <c r="L4" s="44"/>
      <c r="M4" s="44"/>
      <c r="N4" s="45"/>
      <c r="O4" s="42"/>
      <c r="P4" s="46"/>
      <c r="Q4" s="43"/>
      <c r="R4" s="47"/>
      <c r="S4" s="47"/>
      <c r="T4" s="46"/>
      <c r="U4" s="43"/>
      <c r="V4" s="43"/>
      <c r="W4" s="48"/>
      <c r="X4" s="48"/>
      <c r="Y4" s="43"/>
      <c r="Z4" s="43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</row>
    <row r="5" spans="1:49" ht="22.5" customHeight="1" x14ac:dyDescent="0.2">
      <c r="A5" s="50"/>
      <c r="B5" s="51" t="s">
        <v>48</v>
      </c>
      <c r="C5" s="52"/>
      <c r="D5" s="53"/>
      <c r="E5" s="52"/>
      <c r="F5" s="54"/>
      <c r="G5" s="55"/>
      <c r="H5" s="55"/>
      <c r="I5" s="56"/>
      <c r="J5" s="57"/>
      <c r="K5" s="57"/>
      <c r="L5" s="58"/>
      <c r="M5" s="58"/>
      <c r="N5" s="58"/>
      <c r="O5" s="58"/>
      <c r="P5" s="59"/>
      <c r="Q5" s="60"/>
      <c r="R5" s="60"/>
      <c r="S5" s="50"/>
      <c r="T5" s="61"/>
      <c r="U5" s="61"/>
      <c r="V5" s="54"/>
      <c r="W5" s="62"/>
      <c r="X5" s="56"/>
      <c r="Y5" s="56"/>
      <c r="Z5" s="56"/>
      <c r="AA5" s="63"/>
      <c r="AB5" s="56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</row>
    <row r="6" spans="1:49" ht="16.5" customHeight="1" x14ac:dyDescent="0.2">
      <c r="A6" s="65"/>
      <c r="B6" s="66"/>
      <c r="C6" s="67"/>
      <c r="D6" s="68"/>
      <c r="E6" s="69"/>
      <c r="F6" s="69"/>
      <c r="G6" s="70"/>
      <c r="H6" s="70"/>
      <c r="I6" s="70"/>
      <c r="J6" s="71"/>
      <c r="K6" s="71"/>
      <c r="L6" s="71"/>
      <c r="M6" s="71"/>
      <c r="N6" s="65"/>
      <c r="O6" s="67"/>
      <c r="P6" s="67"/>
      <c r="Q6" s="67"/>
      <c r="R6" s="65"/>
      <c r="S6" s="65"/>
      <c r="T6" s="65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</row>
    <row r="7" spans="1:49" ht="22.5" customHeight="1" x14ac:dyDescent="0.2">
      <c r="A7" s="72"/>
      <c r="B7" s="73" t="s">
        <v>49</v>
      </c>
      <c r="C7" s="72"/>
      <c r="D7" s="74"/>
      <c r="E7" s="75"/>
      <c r="F7" s="76"/>
      <c r="G7" s="76"/>
      <c r="H7" s="77"/>
      <c r="I7" s="77"/>
      <c r="J7" s="78"/>
      <c r="K7" s="75"/>
      <c r="L7" s="75"/>
      <c r="M7" s="75"/>
      <c r="N7" s="75"/>
      <c r="O7" s="75"/>
      <c r="P7" s="75"/>
      <c r="Q7" s="79"/>
      <c r="R7" s="79"/>
      <c r="S7" s="77"/>
      <c r="T7" s="77"/>
      <c r="U7" s="80"/>
      <c r="V7" s="77"/>
      <c r="W7" s="81"/>
      <c r="X7" s="82"/>
      <c r="Y7" s="82"/>
      <c r="Z7" s="80"/>
      <c r="AA7" s="77"/>
      <c r="AB7" s="77"/>
      <c r="AC7" s="77"/>
      <c r="AD7" s="77"/>
      <c r="AE7" s="77"/>
      <c r="AF7" s="77"/>
      <c r="AG7" s="77"/>
      <c r="AH7" s="77"/>
      <c r="AI7" s="77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</row>
    <row r="8" spans="1:49" ht="22.5" customHeight="1" x14ac:dyDescent="0.2">
      <c r="A8" s="84"/>
      <c r="B8" s="85" t="s">
        <v>50</v>
      </c>
      <c r="C8" s="84"/>
      <c r="D8" s="86"/>
      <c r="E8" s="87"/>
      <c r="F8" s="87"/>
      <c r="G8" s="88"/>
      <c r="H8" s="88"/>
      <c r="I8" s="88"/>
      <c r="J8" s="89"/>
      <c r="K8" s="89"/>
      <c r="L8" s="89"/>
      <c r="M8" s="89"/>
      <c r="N8" s="90"/>
      <c r="O8" s="84"/>
      <c r="P8" s="84"/>
      <c r="Q8" s="84"/>
      <c r="R8" s="90"/>
      <c r="S8" s="90"/>
      <c r="T8" s="90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</row>
    <row r="9" spans="1:49" ht="22.5" customHeight="1" x14ac:dyDescent="0.2">
      <c r="A9" s="91"/>
      <c r="B9" s="85" t="s">
        <v>51</v>
      </c>
      <c r="C9" s="92"/>
      <c r="D9" s="93"/>
      <c r="E9" s="92"/>
      <c r="F9" s="94"/>
      <c r="G9" s="95"/>
      <c r="H9" s="95"/>
      <c r="I9" s="96"/>
      <c r="J9" s="97"/>
      <c r="K9" s="97"/>
      <c r="L9" s="97"/>
      <c r="M9" s="97"/>
      <c r="N9" s="98"/>
      <c r="O9" s="95"/>
      <c r="P9" s="99"/>
      <c r="Q9" s="96"/>
      <c r="R9" s="100"/>
      <c r="S9" s="100"/>
      <c r="T9" s="99"/>
      <c r="U9" s="96"/>
      <c r="V9" s="96"/>
      <c r="W9" s="101"/>
      <c r="X9" s="101"/>
      <c r="Y9" s="96"/>
      <c r="Z9" s="96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</row>
    <row r="10" spans="1:49" ht="22.5" customHeight="1" x14ac:dyDescent="0.2">
      <c r="A10" s="91"/>
      <c r="B10" s="85" t="s">
        <v>52</v>
      </c>
      <c r="C10" s="92"/>
      <c r="D10" s="93"/>
      <c r="E10" s="92"/>
      <c r="F10" s="94"/>
      <c r="G10" s="95"/>
      <c r="H10" s="95"/>
      <c r="I10" s="96"/>
      <c r="J10" s="97"/>
      <c r="K10" s="97"/>
      <c r="L10" s="97"/>
      <c r="M10" s="97"/>
      <c r="N10" s="98"/>
      <c r="O10" s="95"/>
      <c r="P10" s="99"/>
      <c r="Q10" s="96"/>
      <c r="R10" s="100"/>
      <c r="S10" s="100"/>
      <c r="T10" s="99"/>
      <c r="U10" s="96"/>
      <c r="V10" s="96"/>
      <c r="W10" s="101"/>
      <c r="X10" s="101"/>
      <c r="Y10" s="96"/>
      <c r="Z10" s="96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</row>
    <row r="11" spans="1:49" ht="22.5" customHeight="1" x14ac:dyDescent="0.2">
      <c r="A11" s="91"/>
      <c r="B11" s="102" t="s">
        <v>53</v>
      </c>
      <c r="C11" s="92"/>
      <c r="D11" s="93"/>
      <c r="E11" s="92"/>
      <c r="F11" s="94"/>
      <c r="G11" s="95"/>
      <c r="H11" s="95"/>
      <c r="I11" s="96"/>
      <c r="J11" s="97"/>
      <c r="K11" s="97"/>
      <c r="L11" s="97"/>
      <c r="M11" s="97"/>
      <c r="N11" s="98"/>
      <c r="O11" s="95"/>
      <c r="P11" s="99"/>
      <c r="Q11" s="96"/>
      <c r="R11" s="100"/>
      <c r="S11" s="100"/>
      <c r="T11" s="99"/>
      <c r="U11" s="96"/>
      <c r="V11" s="96"/>
      <c r="W11" s="101"/>
      <c r="X11" s="101"/>
      <c r="Y11" s="96"/>
      <c r="Z11" s="96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</row>
    <row r="12" spans="1:49" ht="22.5" customHeight="1" x14ac:dyDescent="0.2">
      <c r="A12" s="37"/>
      <c r="B12" s="38"/>
      <c r="C12" s="39"/>
      <c r="D12" s="40"/>
      <c r="E12" s="39"/>
      <c r="F12" s="41"/>
      <c r="G12" s="42"/>
      <c r="H12" s="42"/>
      <c r="I12" s="43"/>
      <c r="J12" s="44"/>
      <c r="K12" s="44"/>
      <c r="L12" s="44"/>
      <c r="M12" s="44"/>
      <c r="N12" s="45"/>
      <c r="O12" s="42"/>
      <c r="P12" s="46"/>
      <c r="Q12" s="43"/>
      <c r="R12" s="47"/>
      <c r="S12" s="47"/>
      <c r="T12" s="46"/>
      <c r="U12" s="43"/>
      <c r="V12" s="43"/>
      <c r="W12" s="48"/>
      <c r="X12" s="48"/>
      <c r="Y12" s="43"/>
      <c r="Z12" s="43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</row>
    <row r="13" spans="1:49" ht="22.5" customHeight="1" x14ac:dyDescent="0.2">
      <c r="A13" s="37"/>
      <c r="B13" s="38" t="s">
        <v>54</v>
      </c>
      <c r="C13" s="103">
        <v>54300</v>
      </c>
      <c r="D13" s="82">
        <f>E13/C13</f>
        <v>3.9963167587476981E-3</v>
      </c>
      <c r="E13" s="104">
        <v>217</v>
      </c>
      <c r="F13" s="104">
        <f>E13*N13</f>
        <v>217</v>
      </c>
      <c r="G13" s="42"/>
      <c r="H13" s="105">
        <f>I13*N13</f>
        <v>5100</v>
      </c>
      <c r="I13" s="106">
        <v>5100</v>
      </c>
      <c r="J13" s="107"/>
      <c r="K13" s="71"/>
      <c r="L13" s="108"/>
      <c r="M13" s="71"/>
      <c r="N13" s="109">
        <v>1</v>
      </c>
      <c r="O13" s="77">
        <f>Z13/E13</f>
        <v>4700.4608294930877</v>
      </c>
      <c r="P13" s="110"/>
      <c r="Q13" s="70"/>
      <c r="R13" s="81">
        <f>Z13/C13</f>
        <v>18.784530386740332</v>
      </c>
      <c r="S13" s="111">
        <f>H13*D13</f>
        <v>20.381215469613259</v>
      </c>
      <c r="T13" s="112"/>
      <c r="U13" s="113"/>
      <c r="V13" s="114"/>
      <c r="W13" s="114">
        <f>C13*(S13-R13)</f>
        <v>86699.999999999942</v>
      </c>
      <c r="X13" s="114">
        <f>I13*F13</f>
        <v>1106700</v>
      </c>
      <c r="Y13" s="114">
        <f>H13*E13</f>
        <v>1106700</v>
      </c>
      <c r="Z13" s="115">
        <v>1020000</v>
      </c>
      <c r="AA13" s="116"/>
      <c r="AB13" s="115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</row>
    <row r="14" spans="1:49" ht="22.5" customHeight="1" x14ac:dyDescent="0.2">
      <c r="A14" s="37"/>
      <c r="B14" s="117" t="s">
        <v>55</v>
      </c>
      <c r="C14" s="39"/>
      <c r="D14" s="118">
        <f>1-D13</f>
        <v>0.99600368324125232</v>
      </c>
      <c r="E14" s="39"/>
      <c r="F14" s="39"/>
      <c r="G14" s="42"/>
      <c r="H14" s="119"/>
      <c r="I14" s="120"/>
      <c r="J14" s="107"/>
      <c r="K14" s="71"/>
      <c r="L14" s="108"/>
      <c r="M14" s="71"/>
      <c r="N14" s="121"/>
      <c r="O14" s="122"/>
      <c r="P14" s="46"/>
      <c r="Q14" s="70"/>
      <c r="R14" s="123"/>
      <c r="S14" s="123"/>
      <c r="T14" s="68"/>
      <c r="U14" s="113"/>
      <c r="V14" s="70"/>
      <c r="W14" s="70"/>
      <c r="X14" s="70"/>
      <c r="Y14" s="70"/>
      <c r="Z14" s="124"/>
      <c r="AA14" s="49"/>
      <c r="AB14" s="124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</row>
    <row r="15" spans="1:49" ht="22.5" customHeight="1" x14ac:dyDescent="0.2">
      <c r="A15" s="125"/>
      <c r="B15" s="125"/>
      <c r="C15" s="108"/>
      <c r="D15" s="68"/>
      <c r="E15" s="126"/>
      <c r="F15" s="70"/>
      <c r="G15" s="70"/>
      <c r="H15" s="70"/>
      <c r="I15" s="71"/>
      <c r="J15" s="71"/>
      <c r="K15" s="71"/>
      <c r="L15" s="71"/>
      <c r="M15" s="127"/>
      <c r="N15" s="69"/>
      <c r="O15" s="70"/>
      <c r="P15" s="67"/>
      <c r="Q15" s="67"/>
      <c r="R15" s="70"/>
      <c r="S15" s="70"/>
      <c r="T15" s="65"/>
      <c r="U15" s="67"/>
      <c r="V15" s="70"/>
      <c r="W15" s="108"/>
      <c r="X15" s="70"/>
      <c r="Y15" s="43"/>
      <c r="Z15" s="49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</row>
    <row r="16" spans="1:49" ht="22.5" customHeight="1" x14ac:dyDescent="0.2">
      <c r="A16" s="243"/>
      <c r="B16" s="129" t="s">
        <v>56</v>
      </c>
      <c r="C16" s="103">
        <f>$C$13</f>
        <v>54300</v>
      </c>
      <c r="D16" s="82">
        <f>$D$13+1.45%</f>
        <v>1.8496316758747695E-2</v>
      </c>
      <c r="E16" s="104">
        <f>C16*D16</f>
        <v>1004.3499999999999</v>
      </c>
      <c r="F16" s="104">
        <f>E16*N16</f>
        <v>1004.3499999999999</v>
      </c>
      <c r="G16" s="100"/>
      <c r="H16" s="131">
        <f>I16*N16</f>
        <v>5100</v>
      </c>
      <c r="I16" s="106">
        <f>$I$13</f>
        <v>5100</v>
      </c>
      <c r="J16" s="107"/>
      <c r="K16" s="71"/>
      <c r="L16" s="108"/>
      <c r="M16" s="71"/>
      <c r="N16" s="109">
        <f>$N$13</f>
        <v>1</v>
      </c>
      <c r="O16" s="106">
        <f>Z16/E16</f>
        <v>1015.582217354508</v>
      </c>
      <c r="P16" s="110"/>
      <c r="Q16" s="124"/>
      <c r="R16" s="81">
        <f>Z16/C16</f>
        <v>18.784530386740332</v>
      </c>
      <c r="S16" s="111">
        <f>H16*D16</f>
        <v>94.331215469613241</v>
      </c>
      <c r="T16" s="130"/>
      <c r="U16" s="113"/>
      <c r="V16" s="115"/>
      <c r="W16" s="115">
        <f>C16*(S16-R16)</f>
        <v>4102184.9999999991</v>
      </c>
      <c r="X16" s="115">
        <f>I16*F16</f>
        <v>5122185</v>
      </c>
      <c r="Y16" s="115">
        <f>H16*E16</f>
        <v>5122185</v>
      </c>
      <c r="Z16" s="115">
        <v>1020000</v>
      </c>
      <c r="AA16" s="116"/>
      <c r="AB16" s="115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</row>
    <row r="17" spans="1:49" ht="22.5" customHeight="1" x14ac:dyDescent="0.2">
      <c r="A17" s="240"/>
      <c r="B17" s="132" t="s">
        <v>57</v>
      </c>
      <c r="C17" s="39"/>
      <c r="D17" s="40"/>
      <c r="E17" s="39"/>
      <c r="F17" s="41"/>
      <c r="G17" s="42"/>
      <c r="H17" s="39"/>
      <c r="I17" s="40"/>
      <c r="J17" s="39"/>
      <c r="K17" s="39"/>
      <c r="L17" s="39"/>
      <c r="M17" s="40"/>
      <c r="N17" s="41"/>
      <c r="O17" s="41"/>
      <c r="P17" s="46"/>
      <c r="Q17" s="43"/>
      <c r="R17" s="47"/>
      <c r="S17" s="47"/>
      <c r="T17" s="46"/>
      <c r="U17" s="43"/>
      <c r="V17" s="43"/>
      <c r="W17" s="48"/>
      <c r="X17" s="48"/>
      <c r="Y17" s="43"/>
      <c r="Z17" s="43"/>
      <c r="AA17" s="49"/>
      <c r="AB17" s="49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</row>
    <row r="18" spans="1:49" ht="22.5" customHeight="1" x14ac:dyDescent="0.2">
      <c r="A18" s="240"/>
      <c r="B18" s="133" t="s">
        <v>58</v>
      </c>
      <c r="C18" s="103">
        <f>$C$13+200000</f>
        <v>254300</v>
      </c>
      <c r="D18" s="82">
        <f>$D$13</f>
        <v>3.9963167587476981E-3</v>
      </c>
      <c r="E18" s="104">
        <f>C18*D18</f>
        <v>1016.2633517495397</v>
      </c>
      <c r="F18" s="104">
        <f>E18*N18</f>
        <v>1016.2633517495397</v>
      </c>
      <c r="G18" s="100"/>
      <c r="H18" s="131">
        <f>I18*N18</f>
        <v>5100</v>
      </c>
      <c r="I18" s="106">
        <f>$I$13</f>
        <v>5100</v>
      </c>
      <c r="J18" s="107"/>
      <c r="K18" s="107"/>
      <c r="L18" s="231"/>
      <c r="M18" s="107"/>
      <c r="N18" s="109">
        <f>$N$13</f>
        <v>1</v>
      </c>
      <c r="O18" s="106">
        <f>Z18/E18</f>
        <v>1003.6768503400497</v>
      </c>
      <c r="P18" s="110"/>
      <c r="Q18" s="124"/>
      <c r="R18" s="81">
        <f>Z18/C18</f>
        <v>4.0110106173810456</v>
      </c>
      <c r="S18" s="111">
        <f>H18*D18</f>
        <v>20.381215469613259</v>
      </c>
      <c r="T18" s="130"/>
      <c r="U18" s="113"/>
      <c r="V18" s="115"/>
      <c r="W18" s="115">
        <f>C18*(S18-R18)</f>
        <v>4162943.0939226518</v>
      </c>
      <c r="X18" s="115">
        <f>I18*F18</f>
        <v>5182943.0939226523</v>
      </c>
      <c r="Y18" s="115">
        <f>H18*E18</f>
        <v>5182943.0939226523</v>
      </c>
      <c r="Z18" s="115">
        <v>1020000</v>
      </c>
      <c r="AA18" s="116"/>
      <c r="AB18" s="115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</row>
    <row r="19" spans="1:49" ht="22.5" customHeight="1" x14ac:dyDescent="0.2">
      <c r="A19" s="134"/>
      <c r="B19" s="134"/>
      <c r="C19" s="135"/>
      <c r="D19" s="136"/>
      <c r="E19" s="137"/>
      <c r="F19" s="41"/>
      <c r="G19" s="42"/>
      <c r="H19" s="42"/>
      <c r="I19" s="43"/>
      <c r="J19" s="44"/>
      <c r="K19" s="44"/>
      <c r="L19" s="44"/>
      <c r="M19" s="138"/>
      <c r="N19" s="139"/>
      <c r="O19" s="42"/>
      <c r="P19" s="67"/>
      <c r="Q19" s="67"/>
      <c r="R19" s="43"/>
      <c r="S19" s="43"/>
      <c r="T19" s="140"/>
      <c r="U19" s="46"/>
      <c r="V19" s="43"/>
      <c r="W19" s="43"/>
      <c r="X19" s="43"/>
      <c r="Y19" s="43"/>
      <c r="Z19" s="49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</row>
    <row r="20" spans="1:49" ht="22.5" customHeight="1" x14ac:dyDescent="0.2">
      <c r="B20" s="129" t="s">
        <v>59</v>
      </c>
      <c r="C20" s="103">
        <f>$C$13+1000000</f>
        <v>1054300</v>
      </c>
      <c r="D20" s="82">
        <f>$D$13</f>
        <v>3.9963167587476981E-3</v>
      </c>
      <c r="E20" s="104">
        <f>C20*D20</f>
        <v>4213.3167587476983</v>
      </c>
      <c r="F20" s="104">
        <f>E20*N20</f>
        <v>4213.3167587476983</v>
      </c>
      <c r="G20" s="100"/>
      <c r="H20" s="131">
        <f>I20*N20</f>
        <v>5100</v>
      </c>
      <c r="I20" s="106">
        <f>$I$13</f>
        <v>5100</v>
      </c>
      <c r="J20" s="107"/>
      <c r="K20" s="107"/>
      <c r="L20" s="231"/>
      <c r="M20" s="107"/>
      <c r="N20" s="109">
        <f>$N$13</f>
        <v>1</v>
      </c>
      <c r="O20" s="106">
        <f>Z20/E20</f>
        <v>242.08955993690091</v>
      </c>
      <c r="P20" s="110"/>
      <c r="Q20" s="124"/>
      <c r="R20" s="81">
        <f>Z20/C20</f>
        <v>0.96746656549369248</v>
      </c>
      <c r="S20" s="111">
        <f>H20*D20</f>
        <v>20.381215469613259</v>
      </c>
      <c r="T20" s="130"/>
      <c r="U20" s="113"/>
      <c r="V20" s="115"/>
      <c r="W20" s="115">
        <f>C20*(S20-R20)</f>
        <v>20467915.469613262</v>
      </c>
      <c r="X20" s="115">
        <f>I20*F20</f>
        <v>21487915.469613262</v>
      </c>
      <c r="Y20" s="115">
        <f>H20*E20</f>
        <v>21487915.469613262</v>
      </c>
      <c r="Z20" s="115">
        <v>1020000</v>
      </c>
      <c r="AA20" s="116"/>
      <c r="AB20" s="115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</row>
    <row r="21" spans="1:49" ht="22.5" customHeight="1" x14ac:dyDescent="0.2">
      <c r="A21" s="134"/>
      <c r="B21" s="134"/>
      <c r="C21" s="135"/>
      <c r="D21" s="136"/>
      <c r="E21" s="137"/>
      <c r="F21" s="41"/>
      <c r="G21" s="42"/>
      <c r="H21" s="42"/>
      <c r="I21" s="43"/>
      <c r="J21" s="44"/>
      <c r="K21" s="44"/>
      <c r="L21" s="44"/>
      <c r="M21" s="138"/>
      <c r="N21" s="139"/>
      <c r="O21" s="42"/>
      <c r="P21" s="67"/>
      <c r="Q21" s="67"/>
      <c r="R21" s="43"/>
      <c r="S21" s="43"/>
      <c r="T21" s="140"/>
      <c r="U21" s="46"/>
      <c r="V21" s="43"/>
      <c r="W21" s="43"/>
      <c r="X21" s="43"/>
      <c r="Y21" s="43"/>
      <c r="Z21" s="49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</row>
    <row r="22" spans="1:49" ht="22.5" customHeight="1" x14ac:dyDescent="0.2">
      <c r="A22" s="72"/>
      <c r="B22" s="73" t="s">
        <v>60</v>
      </c>
      <c r="C22" s="72"/>
      <c r="D22" s="74"/>
      <c r="E22" s="75"/>
      <c r="F22" s="76"/>
      <c r="G22" s="76"/>
      <c r="H22" s="77"/>
      <c r="I22" s="77"/>
      <c r="J22" s="78"/>
      <c r="K22" s="75"/>
      <c r="L22" s="75"/>
      <c r="M22" s="75"/>
      <c r="N22" s="75"/>
      <c r="O22" s="75"/>
      <c r="P22" s="75"/>
      <c r="Q22" s="79"/>
      <c r="R22" s="79"/>
      <c r="S22" s="77"/>
      <c r="T22" s="77"/>
      <c r="U22" s="80"/>
      <c r="V22" s="77"/>
      <c r="W22" s="81"/>
      <c r="X22" s="82"/>
      <c r="Y22" s="82"/>
      <c r="Z22" s="80"/>
      <c r="AA22" s="77"/>
      <c r="AB22" s="77"/>
      <c r="AC22" s="77"/>
      <c r="AD22" s="77"/>
      <c r="AE22" s="77"/>
      <c r="AF22" s="77"/>
      <c r="AG22" s="77"/>
      <c r="AH22" s="77"/>
      <c r="AI22" s="77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</row>
    <row r="23" spans="1:49" ht="22.5" customHeight="1" x14ac:dyDescent="0.2">
      <c r="A23" s="67"/>
      <c r="B23" s="102" t="s">
        <v>61</v>
      </c>
      <c r="C23" s="67"/>
      <c r="D23" s="68"/>
      <c r="E23" s="69"/>
      <c r="F23" s="69"/>
      <c r="G23" s="70"/>
      <c r="H23" s="70"/>
      <c r="I23" s="70"/>
      <c r="J23" s="71"/>
      <c r="K23" s="71"/>
      <c r="L23" s="71"/>
      <c r="M23" s="71"/>
      <c r="N23" s="65"/>
      <c r="O23" s="67"/>
      <c r="P23" s="67"/>
      <c r="Q23" s="67"/>
      <c r="R23" s="65"/>
      <c r="S23" s="65"/>
      <c r="T23" s="65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</row>
    <row r="24" spans="1:49" ht="22.5" customHeight="1" x14ac:dyDescent="0.2">
      <c r="A24" s="134"/>
      <c r="B24" s="102" t="s">
        <v>62</v>
      </c>
      <c r="C24" s="135"/>
      <c r="D24" s="136"/>
      <c r="E24" s="137"/>
      <c r="F24" s="41"/>
      <c r="G24" s="42"/>
      <c r="H24" s="42"/>
      <c r="I24" s="43"/>
      <c r="J24" s="44"/>
      <c r="K24" s="44"/>
      <c r="L24" s="44"/>
      <c r="M24" s="138"/>
      <c r="N24" s="139"/>
      <c r="O24" s="42"/>
      <c r="P24" s="67"/>
      <c r="Q24" s="67"/>
      <c r="R24" s="43"/>
      <c r="S24" s="43"/>
      <c r="T24" s="140"/>
      <c r="U24" s="46"/>
      <c r="V24" s="43"/>
      <c r="W24" s="43"/>
      <c r="X24" s="43"/>
      <c r="Y24" s="43"/>
      <c r="Z24" s="49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</row>
    <row r="25" spans="1:49" ht="22.5" customHeight="1" x14ac:dyDescent="0.2">
      <c r="A25" s="134"/>
      <c r="B25" s="102" t="s">
        <v>63</v>
      </c>
      <c r="C25" s="135"/>
      <c r="D25" s="136"/>
      <c r="E25" s="137"/>
      <c r="F25" s="41"/>
      <c r="G25" s="42"/>
      <c r="H25" s="42"/>
      <c r="I25" s="43"/>
      <c r="J25" s="44"/>
      <c r="K25" s="44"/>
      <c r="L25" s="44"/>
      <c r="M25" s="138"/>
      <c r="N25" s="139"/>
      <c r="O25" s="42"/>
      <c r="P25" s="67"/>
      <c r="Q25" s="67"/>
      <c r="R25" s="43"/>
      <c r="S25" s="43"/>
      <c r="T25" s="140"/>
      <c r="U25" s="46"/>
      <c r="V25" s="43"/>
      <c r="W25" s="43"/>
      <c r="X25" s="43"/>
      <c r="Y25" s="43"/>
      <c r="Z25" s="49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</row>
    <row r="26" spans="1:49" ht="22.5" customHeight="1" x14ac:dyDescent="0.2">
      <c r="A26" s="134"/>
      <c r="B26" s="102" t="s">
        <v>64</v>
      </c>
      <c r="C26" s="135"/>
      <c r="D26" s="136"/>
      <c r="E26" s="137"/>
      <c r="F26" s="41"/>
      <c r="G26" s="42"/>
      <c r="H26" s="42"/>
      <c r="I26" s="43"/>
      <c r="J26" s="44"/>
      <c r="K26" s="44"/>
      <c r="L26" s="44"/>
      <c r="M26" s="138"/>
      <c r="N26" s="139"/>
      <c r="O26" s="42"/>
      <c r="P26" s="67"/>
      <c r="Q26" s="67"/>
      <c r="R26" s="43"/>
      <c r="S26" s="43"/>
      <c r="T26" s="140"/>
      <c r="U26" s="46"/>
      <c r="V26" s="43"/>
      <c r="W26" s="43"/>
      <c r="X26" s="43"/>
      <c r="Y26" s="43"/>
      <c r="Z26" s="49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</row>
    <row r="27" spans="1:49" ht="22.5" customHeight="1" x14ac:dyDescent="0.2">
      <c r="A27" s="134"/>
      <c r="B27" s="102" t="s">
        <v>65</v>
      </c>
      <c r="C27" s="135"/>
      <c r="D27" s="136"/>
      <c r="E27" s="137"/>
      <c r="F27" s="41"/>
      <c r="G27" s="42"/>
      <c r="H27" s="42"/>
      <c r="I27" s="43"/>
      <c r="J27" s="44"/>
      <c r="K27" s="44"/>
      <c r="L27" s="44"/>
      <c r="M27" s="138"/>
      <c r="N27" s="139"/>
      <c r="O27" s="42"/>
      <c r="P27" s="67"/>
      <c r="Q27" s="67"/>
      <c r="R27" s="43"/>
      <c r="S27" s="43"/>
      <c r="T27" s="140"/>
      <c r="U27" s="46"/>
      <c r="V27" s="43"/>
      <c r="W27" s="43"/>
      <c r="X27" s="43"/>
      <c r="Y27" s="43"/>
      <c r="Z27" s="49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</row>
    <row r="28" spans="1:49" ht="22.5" customHeight="1" x14ac:dyDescent="0.2">
      <c r="A28" s="134"/>
      <c r="B28" s="102" t="s">
        <v>66</v>
      </c>
      <c r="C28" s="135"/>
      <c r="D28" s="136"/>
      <c r="E28" s="137"/>
      <c r="F28" s="41"/>
      <c r="G28" s="42"/>
      <c r="H28" s="42"/>
      <c r="I28" s="43"/>
      <c r="J28" s="44"/>
      <c r="K28" s="44"/>
      <c r="L28" s="44"/>
      <c r="M28" s="138"/>
      <c r="N28" s="139"/>
      <c r="O28" s="42"/>
      <c r="P28" s="67"/>
      <c r="Q28" s="67"/>
      <c r="R28" s="43"/>
      <c r="S28" s="43"/>
      <c r="T28" s="140"/>
      <c r="U28" s="46"/>
      <c r="V28" s="43"/>
      <c r="W28" s="43"/>
      <c r="X28" s="43"/>
      <c r="Y28" s="43"/>
      <c r="Z28" s="49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</row>
    <row r="29" spans="1:49" ht="22.5" customHeight="1" x14ac:dyDescent="0.2">
      <c r="A29" s="141"/>
      <c r="B29" s="102" t="s">
        <v>67</v>
      </c>
      <c r="C29" s="46"/>
      <c r="D29" s="142"/>
      <c r="E29" s="137"/>
      <c r="F29" s="137"/>
      <c r="G29" s="42"/>
      <c r="H29" s="42"/>
      <c r="I29" s="43"/>
      <c r="J29" s="138"/>
      <c r="K29" s="138"/>
      <c r="L29" s="138"/>
      <c r="M29" s="138"/>
      <c r="N29" s="143"/>
      <c r="O29" s="67"/>
      <c r="P29" s="67"/>
      <c r="Q29" s="67"/>
      <c r="R29" s="135"/>
      <c r="S29" s="144"/>
      <c r="T29" s="140"/>
      <c r="U29" s="46"/>
      <c r="V29" s="67"/>
      <c r="W29" s="67"/>
      <c r="X29" s="49"/>
      <c r="Y29" s="49"/>
      <c r="Z29" s="49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</row>
    <row r="30" spans="1:49" ht="22.5" customHeight="1" x14ac:dyDescent="0.2">
      <c r="A30" s="134"/>
      <c r="B30" s="102" t="s">
        <v>68</v>
      </c>
      <c r="C30" s="135"/>
      <c r="D30" s="136"/>
      <c r="E30" s="137"/>
      <c r="F30" s="41"/>
      <c r="G30" s="42"/>
      <c r="H30" s="42"/>
      <c r="I30" s="43"/>
      <c r="J30" s="44"/>
      <c r="K30" s="44"/>
      <c r="L30" s="44"/>
      <c r="M30" s="138"/>
      <c r="N30" s="139"/>
      <c r="O30" s="42"/>
      <c r="P30" s="67"/>
      <c r="Q30" s="67"/>
      <c r="R30" s="43"/>
      <c r="S30" s="43"/>
      <c r="T30" s="140"/>
      <c r="U30" s="46"/>
      <c r="V30" s="43"/>
      <c r="W30" s="43"/>
      <c r="X30" s="43"/>
      <c r="Y30" s="43"/>
      <c r="Z30" s="49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</row>
    <row r="31" spans="1:49" ht="22.5" customHeight="1" x14ac:dyDescent="0.2">
      <c r="A31" s="134"/>
      <c r="B31" s="134"/>
      <c r="C31" s="135"/>
      <c r="D31" s="136"/>
      <c r="E31" s="137"/>
      <c r="F31" s="41"/>
      <c r="G31" s="42"/>
      <c r="H31" s="42"/>
      <c r="I31" s="43"/>
      <c r="J31" s="44"/>
      <c r="K31" s="44"/>
      <c r="L31" s="44"/>
      <c r="M31" s="138"/>
      <c r="N31" s="139"/>
      <c r="O31" s="42"/>
      <c r="P31" s="67"/>
      <c r="Q31" s="67"/>
      <c r="R31" s="43"/>
      <c r="S31" s="43"/>
      <c r="T31" s="140"/>
      <c r="U31" s="46"/>
      <c r="V31" s="43"/>
      <c r="W31" s="43"/>
      <c r="X31" s="43"/>
      <c r="Y31" s="43"/>
      <c r="Z31" s="49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</row>
    <row r="32" spans="1:49" ht="22.5" customHeight="1" x14ac:dyDescent="0.2">
      <c r="A32" s="145"/>
      <c r="B32" s="146" t="s">
        <v>69</v>
      </c>
      <c r="C32" s="147"/>
      <c r="D32" s="148" t="s">
        <v>70</v>
      </c>
      <c r="E32" s="148" t="s">
        <v>71</v>
      </c>
      <c r="F32" s="149" t="s">
        <v>72</v>
      </c>
      <c r="G32" s="147"/>
      <c r="H32" s="146"/>
      <c r="I32" s="150"/>
      <c r="J32" s="148"/>
      <c r="K32" s="148"/>
      <c r="L32" s="147"/>
      <c r="M32" s="151"/>
      <c r="N32" s="152"/>
      <c r="O32" s="147"/>
      <c r="P32" s="147"/>
      <c r="Q32" s="147"/>
      <c r="R32" s="153"/>
      <c r="S32" s="154"/>
      <c r="T32" s="155"/>
      <c r="U32" s="156"/>
      <c r="V32" s="147"/>
      <c r="W32" s="147"/>
      <c r="X32" s="157"/>
      <c r="Y32" s="157"/>
      <c r="Z32" s="157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</row>
    <row r="33" spans="1:49" ht="22.5" customHeight="1" x14ac:dyDescent="0.3">
      <c r="A33" s="159"/>
      <c r="B33" s="159" t="s">
        <v>73</v>
      </c>
      <c r="C33" s="39">
        <v>54300</v>
      </c>
      <c r="D33" s="142"/>
      <c r="E33" s="41"/>
      <c r="F33" s="68"/>
      <c r="G33" s="160"/>
      <c r="H33" s="161"/>
      <c r="I33" s="162"/>
      <c r="J33" s="68"/>
      <c r="K33" s="71"/>
      <c r="L33" s="67"/>
      <c r="M33" s="43"/>
      <c r="N33" s="143"/>
      <c r="O33" s="67"/>
      <c r="P33" s="67"/>
      <c r="Q33" s="67"/>
      <c r="R33" s="135"/>
      <c r="S33" s="144"/>
      <c r="T33" s="140"/>
      <c r="U33" s="46"/>
      <c r="V33" s="67"/>
      <c r="W33" s="67"/>
      <c r="X33" s="49"/>
      <c r="Y33" s="49"/>
      <c r="Z33" s="49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</row>
    <row r="34" spans="1:49" ht="22.5" customHeight="1" x14ac:dyDescent="0.3">
      <c r="A34" s="135"/>
      <c r="B34" s="135" t="s">
        <v>74</v>
      </c>
      <c r="C34" s="104"/>
      <c r="D34" s="163"/>
      <c r="E34" s="163"/>
      <c r="F34" s="164">
        <f t="shared" ref="F34:F36" si="0">2*SQRT(E34*(1-E34)/$C$33)</f>
        <v>0</v>
      </c>
      <c r="G34" s="160"/>
      <c r="H34" s="161"/>
      <c r="I34" s="108"/>
      <c r="J34" s="165"/>
      <c r="K34" s="68"/>
      <c r="L34" s="67"/>
      <c r="M34" s="138"/>
      <c r="N34" s="143"/>
      <c r="O34" s="67"/>
      <c r="P34" s="67"/>
      <c r="Q34" s="67"/>
      <c r="R34" s="135"/>
      <c r="S34" s="144"/>
      <c r="T34" s="140"/>
      <c r="U34" s="46"/>
      <c r="V34" s="67"/>
      <c r="W34" s="67"/>
      <c r="X34" s="49"/>
      <c r="Y34" s="49"/>
      <c r="Z34" s="49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</row>
    <row r="35" spans="1:49" ht="22.5" customHeight="1" x14ac:dyDescent="0.3">
      <c r="A35" s="135"/>
      <c r="B35" s="135" t="s">
        <v>75</v>
      </c>
      <c r="C35" s="104"/>
      <c r="D35" s="166"/>
      <c r="E35" s="163"/>
      <c r="F35" s="164">
        <f t="shared" si="0"/>
        <v>0</v>
      </c>
      <c r="G35" s="160"/>
      <c r="H35" s="161"/>
      <c r="I35" s="108"/>
      <c r="J35" s="165"/>
      <c r="K35" s="68"/>
      <c r="L35" s="67"/>
      <c r="M35" s="138"/>
      <c r="N35" s="143"/>
      <c r="O35" s="67"/>
      <c r="P35" s="67"/>
      <c r="Q35" s="67"/>
      <c r="R35" s="167"/>
      <c r="S35" s="167"/>
      <c r="T35" s="140"/>
      <c r="U35" s="46"/>
      <c r="V35" s="47"/>
      <c r="W35" s="47"/>
      <c r="X35" s="168"/>
      <c r="Y35" s="169"/>
      <c r="Z35" s="49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</row>
    <row r="36" spans="1:49" ht="22.5" customHeight="1" x14ac:dyDescent="0.3">
      <c r="A36" s="135"/>
      <c r="B36" s="135" t="s">
        <v>76</v>
      </c>
      <c r="C36" s="104">
        <v>217</v>
      </c>
      <c r="D36" s="166"/>
      <c r="E36" s="163"/>
      <c r="F36" s="164">
        <f t="shared" si="0"/>
        <v>0</v>
      </c>
      <c r="G36" s="160"/>
      <c r="H36" s="161"/>
      <c r="I36" s="108"/>
      <c r="J36" s="165"/>
      <c r="K36" s="68"/>
      <c r="L36" s="67"/>
      <c r="M36" s="138"/>
      <c r="N36" s="143"/>
      <c r="O36" s="67"/>
      <c r="P36" s="67"/>
      <c r="Q36" s="67"/>
      <c r="R36" s="167"/>
      <c r="S36" s="167"/>
      <c r="T36" s="140"/>
      <c r="U36" s="46"/>
      <c r="V36" s="47"/>
      <c r="W36" s="47"/>
      <c r="X36" s="49"/>
      <c r="Y36" s="49"/>
      <c r="Z36" s="49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</row>
    <row r="37" spans="1:49" ht="22.5" customHeight="1" x14ac:dyDescent="0.2">
      <c r="A37" s="46"/>
      <c r="B37" s="46"/>
      <c r="C37" s="39"/>
      <c r="D37" s="136"/>
      <c r="E37" s="137"/>
      <c r="F37" s="170"/>
      <c r="G37" s="42"/>
      <c r="H37" s="161"/>
      <c r="I37" s="108"/>
      <c r="J37" s="165"/>
      <c r="K37" s="68"/>
      <c r="L37" s="67"/>
      <c r="M37" s="138"/>
      <c r="N37" s="143"/>
      <c r="O37" s="67"/>
      <c r="P37" s="67"/>
      <c r="Q37" s="67"/>
      <c r="R37" s="167"/>
      <c r="S37" s="171"/>
      <c r="T37" s="140"/>
      <c r="U37" s="46"/>
      <c r="V37" s="47"/>
      <c r="W37" s="47"/>
      <c r="X37" s="49"/>
      <c r="Y37" s="49"/>
      <c r="Z37" s="49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</row>
    <row r="38" spans="1:49" ht="22.5" customHeight="1" x14ac:dyDescent="0.2">
      <c r="A38" s="172"/>
      <c r="B38" s="173" t="s">
        <v>77</v>
      </c>
      <c r="C38" s="147"/>
      <c r="D38" s="148" t="s">
        <v>78</v>
      </c>
      <c r="E38" s="148" t="s">
        <v>79</v>
      </c>
      <c r="F38" s="149" t="s">
        <v>72</v>
      </c>
      <c r="G38" s="147"/>
      <c r="H38" s="174"/>
      <c r="I38" s="151"/>
      <c r="J38" s="175"/>
      <c r="K38" s="175"/>
      <c r="L38" s="175"/>
      <c r="M38" s="176"/>
      <c r="N38" s="152"/>
      <c r="O38" s="147"/>
      <c r="P38" s="147"/>
      <c r="Q38" s="147"/>
      <c r="R38" s="177"/>
      <c r="S38" s="177"/>
      <c r="T38" s="155"/>
      <c r="U38" s="156"/>
      <c r="V38" s="178"/>
      <c r="W38" s="178"/>
      <c r="X38" s="157"/>
      <c r="Y38" s="157"/>
      <c r="Z38" s="157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</row>
    <row r="39" spans="1:49" ht="22.5" customHeight="1" x14ac:dyDescent="0.3">
      <c r="A39" s="159"/>
      <c r="B39" s="159" t="s">
        <v>73</v>
      </c>
      <c r="C39" s="104">
        <f>C33*7/30</f>
        <v>12670</v>
      </c>
      <c r="D39" s="142"/>
      <c r="E39" s="41"/>
      <c r="F39" s="68"/>
      <c r="G39" s="160"/>
      <c r="H39" s="42"/>
      <c r="I39" s="108"/>
      <c r="J39" s="44"/>
      <c r="K39" s="44"/>
      <c r="L39" s="44"/>
      <c r="M39" s="138"/>
      <c r="N39" s="143"/>
      <c r="O39" s="159"/>
      <c r="P39" s="67"/>
      <c r="Q39" s="67"/>
      <c r="R39" s="167"/>
      <c r="S39" s="167"/>
      <c r="T39" s="140"/>
      <c r="U39" s="46"/>
      <c r="V39" s="47"/>
      <c r="W39" s="47"/>
      <c r="X39" s="179"/>
      <c r="Y39" s="169"/>
      <c r="Z39" s="179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</row>
    <row r="40" spans="1:49" ht="22.5" customHeight="1" x14ac:dyDescent="0.3">
      <c r="A40" s="135"/>
      <c r="B40" s="135" t="s">
        <v>74</v>
      </c>
      <c r="C40" s="104"/>
      <c r="D40" s="163"/>
      <c r="E40" s="163"/>
      <c r="F40" s="164">
        <v>0</v>
      </c>
      <c r="G40" s="160"/>
      <c r="H40" s="42"/>
      <c r="I40" s="108"/>
      <c r="J40" s="138"/>
      <c r="K40" s="138"/>
      <c r="L40" s="138"/>
      <c r="M40" s="138"/>
      <c r="N40" s="143"/>
      <c r="O40" s="67"/>
      <c r="P40" s="67"/>
      <c r="Q40" s="67"/>
      <c r="R40" s="135"/>
      <c r="S40" s="144"/>
      <c r="T40" s="140"/>
      <c r="U40" s="46"/>
      <c r="V40" s="67"/>
      <c r="W40" s="47"/>
      <c r="X40" s="49"/>
      <c r="Y40" s="49"/>
      <c r="Z40" s="49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</row>
    <row r="41" spans="1:49" ht="22.5" customHeight="1" x14ac:dyDescent="0.3">
      <c r="A41" s="135"/>
      <c r="B41" s="135" t="s">
        <v>75</v>
      </c>
      <c r="C41" s="104"/>
      <c r="D41" s="166"/>
      <c r="E41" s="163"/>
      <c r="F41" s="164">
        <v>0</v>
      </c>
      <c r="G41" s="160"/>
      <c r="H41" s="42"/>
      <c r="I41" s="108"/>
      <c r="J41" s="138"/>
      <c r="K41" s="138"/>
      <c r="L41" s="138"/>
      <c r="M41" s="138"/>
      <c r="N41" s="143"/>
      <c r="O41" s="67"/>
      <c r="P41" s="67"/>
      <c r="Q41" s="67"/>
      <c r="R41" s="135"/>
      <c r="S41" s="144"/>
      <c r="T41" s="140"/>
      <c r="U41" s="46"/>
      <c r="V41" s="67"/>
      <c r="W41" s="47"/>
      <c r="X41" s="49"/>
      <c r="Y41" s="49"/>
      <c r="Z41" s="49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</row>
    <row r="42" spans="1:49" ht="22.5" customHeight="1" x14ac:dyDescent="0.3">
      <c r="A42" s="135"/>
      <c r="B42" s="135" t="s">
        <v>76</v>
      </c>
      <c r="C42" s="104">
        <f>C36*7/30</f>
        <v>50.633333333333333</v>
      </c>
      <c r="D42" s="166"/>
      <c r="E42" s="163"/>
      <c r="F42" s="164">
        <v>0</v>
      </c>
      <c r="G42" s="160"/>
      <c r="H42" s="42"/>
      <c r="I42" s="171"/>
      <c r="J42" s="44"/>
      <c r="K42" s="44"/>
      <c r="L42" s="44"/>
      <c r="M42" s="138"/>
      <c r="N42" s="143"/>
      <c r="O42" s="159"/>
      <c r="P42" s="67"/>
      <c r="Q42" s="67"/>
      <c r="R42" s="167"/>
      <c r="S42" s="167"/>
      <c r="T42" s="140"/>
      <c r="U42" s="46"/>
      <c r="V42" s="47"/>
      <c r="W42" s="47"/>
      <c r="X42" s="179"/>
      <c r="Y42" s="169"/>
      <c r="Z42" s="179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</row>
    <row r="43" spans="1:49" ht="22.5" customHeight="1" x14ac:dyDescent="0.2">
      <c r="A43" s="180"/>
      <c r="B43" s="141"/>
      <c r="C43" s="46"/>
      <c r="D43" s="142"/>
      <c r="E43" s="137"/>
      <c r="F43" s="137"/>
      <c r="G43" s="42"/>
      <c r="H43" s="42"/>
      <c r="I43" s="43"/>
      <c r="J43" s="138"/>
      <c r="K43" s="138"/>
      <c r="L43" s="138"/>
      <c r="M43" s="138"/>
      <c r="N43" s="143"/>
      <c r="O43" s="67"/>
      <c r="P43" s="67"/>
      <c r="Q43" s="67"/>
      <c r="R43" s="135"/>
      <c r="S43" s="144"/>
      <c r="T43" s="140"/>
      <c r="U43" s="46"/>
      <c r="V43" s="67"/>
      <c r="W43" s="67"/>
      <c r="X43" s="49"/>
      <c r="Y43" s="49"/>
      <c r="Z43" s="49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</row>
    <row r="44" spans="1:49" ht="15" x14ac:dyDescent="0.2">
      <c r="A44" s="181"/>
      <c r="B44" s="173" t="s">
        <v>80</v>
      </c>
      <c r="C44" s="156"/>
      <c r="D44" s="182"/>
      <c r="E44" s="148" t="s">
        <v>81</v>
      </c>
      <c r="F44" s="149" t="s">
        <v>72</v>
      </c>
      <c r="G44" s="174"/>
      <c r="H44" s="174"/>
      <c r="I44" s="151"/>
      <c r="J44" s="176"/>
      <c r="K44" s="176"/>
      <c r="L44" s="176"/>
      <c r="M44" s="176"/>
      <c r="N44" s="152"/>
      <c r="O44" s="147"/>
      <c r="P44" s="147"/>
      <c r="Q44" s="147"/>
      <c r="R44" s="153"/>
      <c r="S44" s="154"/>
      <c r="T44" s="155"/>
      <c r="U44" s="156"/>
      <c r="V44" s="147"/>
      <c r="W44" s="147"/>
      <c r="X44" s="157"/>
      <c r="Y44" s="157"/>
      <c r="Z44" s="157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</row>
    <row r="45" spans="1:49" ht="22.5" customHeight="1" x14ac:dyDescent="0.2">
      <c r="A45" s="134"/>
      <c r="B45" s="134" t="s">
        <v>82</v>
      </c>
      <c r="C45" s="104">
        <f>C39/3</f>
        <v>4223.333333333333</v>
      </c>
      <c r="D45" s="183"/>
      <c r="E45" s="183">
        <f>D13</f>
        <v>3.9963167587476981E-3</v>
      </c>
      <c r="F45" s="164">
        <v>0</v>
      </c>
      <c r="G45" s="42"/>
      <c r="H45" s="43"/>
      <c r="I45" s="43"/>
      <c r="J45" s="138"/>
      <c r="K45" s="138"/>
      <c r="L45" s="138"/>
      <c r="M45" s="138"/>
      <c r="N45" s="143"/>
      <c r="O45" s="67"/>
      <c r="P45" s="67"/>
      <c r="Q45" s="67"/>
      <c r="R45" s="135"/>
      <c r="S45" s="144"/>
      <c r="T45" s="140"/>
      <c r="U45" s="46"/>
      <c r="V45" s="67"/>
      <c r="W45" s="67"/>
      <c r="X45" s="49"/>
      <c r="Y45" s="49"/>
      <c r="Z45" s="49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</row>
    <row r="46" spans="1:49" ht="22.5" customHeight="1" x14ac:dyDescent="0.2">
      <c r="A46" s="141"/>
      <c r="B46" s="134" t="s">
        <v>83</v>
      </c>
      <c r="C46" s="104">
        <f t="shared" ref="C46:C47" si="1">C45</f>
        <v>4223.333333333333</v>
      </c>
      <c r="D46" s="107"/>
      <c r="E46" s="183">
        <f>D13</f>
        <v>3.9963167587476981E-3</v>
      </c>
      <c r="F46" s="164">
        <v>0</v>
      </c>
      <c r="G46" s="42"/>
      <c r="H46" s="42"/>
      <c r="I46" s="43"/>
      <c r="J46" s="138"/>
      <c r="K46" s="138"/>
      <c r="L46" s="138"/>
      <c r="M46" s="138"/>
      <c r="N46" s="143"/>
      <c r="O46" s="67"/>
      <c r="P46" s="67"/>
      <c r="Q46" s="67"/>
      <c r="R46" s="135"/>
      <c r="S46" s="144"/>
      <c r="T46" s="140"/>
      <c r="U46" s="46"/>
      <c r="V46" s="67"/>
      <c r="W46" s="67"/>
      <c r="X46" s="49"/>
      <c r="Y46" s="49"/>
      <c r="Z46" s="49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</row>
    <row r="47" spans="1:49" ht="15" x14ac:dyDescent="0.2">
      <c r="A47" s="141"/>
      <c r="B47" s="134" t="s">
        <v>84</v>
      </c>
      <c r="C47" s="104">
        <f t="shared" si="1"/>
        <v>4223.333333333333</v>
      </c>
      <c r="D47" s="107"/>
      <c r="E47" s="163"/>
      <c r="F47" s="184"/>
      <c r="G47" s="42"/>
      <c r="H47" s="42"/>
      <c r="I47" s="43"/>
      <c r="J47" s="138"/>
      <c r="K47" s="138"/>
      <c r="L47" s="138"/>
      <c r="M47" s="138"/>
      <c r="N47" s="143"/>
      <c r="O47" s="67"/>
      <c r="P47" s="67"/>
      <c r="Q47" s="67"/>
      <c r="R47" s="135"/>
      <c r="S47" s="144"/>
      <c r="T47" s="140"/>
      <c r="U47" s="46"/>
      <c r="V47" s="67"/>
      <c r="W47" s="67"/>
      <c r="X47" s="49"/>
      <c r="Y47" s="49"/>
      <c r="Z47" s="49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</row>
    <row r="48" spans="1:49" ht="17.25" customHeight="1" x14ac:dyDescent="0.2">
      <c r="A48" s="141"/>
      <c r="B48" s="141"/>
      <c r="C48" s="46"/>
      <c r="D48" s="142"/>
      <c r="E48" s="137"/>
      <c r="F48" s="137"/>
      <c r="G48" s="42"/>
      <c r="H48" s="42"/>
      <c r="I48" s="43"/>
      <c r="J48" s="138"/>
      <c r="K48" s="138"/>
      <c r="L48" s="138"/>
      <c r="M48" s="138"/>
      <c r="N48" s="143"/>
      <c r="O48" s="67"/>
      <c r="P48" s="67"/>
      <c r="Q48" s="67"/>
      <c r="R48" s="135"/>
      <c r="S48" s="144"/>
      <c r="T48" s="140"/>
      <c r="U48" s="46"/>
      <c r="V48" s="67"/>
      <c r="W48" s="67"/>
      <c r="X48" s="49"/>
      <c r="Y48" s="49"/>
      <c r="Z48" s="49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</row>
    <row r="49" spans="1:49" ht="17.25" customHeight="1" x14ac:dyDescent="0.2">
      <c r="A49" s="141"/>
      <c r="B49" s="141"/>
      <c r="C49" s="46"/>
      <c r="D49" s="142"/>
      <c r="E49" s="137"/>
      <c r="F49" s="137"/>
      <c r="G49" s="42"/>
      <c r="H49" s="42"/>
      <c r="I49" s="43"/>
      <c r="J49" s="138"/>
      <c r="K49" s="138"/>
      <c r="L49" s="138"/>
      <c r="M49" s="138"/>
      <c r="N49" s="143"/>
      <c r="O49" s="67"/>
      <c r="P49" s="67"/>
      <c r="Q49" s="67"/>
      <c r="R49" s="135"/>
      <c r="S49" s="144"/>
      <c r="T49" s="140"/>
      <c r="U49" s="46"/>
      <c r="V49" s="67"/>
      <c r="W49" s="67"/>
      <c r="X49" s="49"/>
      <c r="Y49" s="49"/>
      <c r="Z49" s="49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</row>
    <row r="50" spans="1:49" ht="17.25" customHeight="1" x14ac:dyDescent="0.2">
      <c r="A50" s="141"/>
      <c r="B50" s="134"/>
      <c r="C50" s="46"/>
      <c r="D50" s="142"/>
      <c r="E50" s="137"/>
      <c r="F50" s="137"/>
      <c r="G50" s="42"/>
      <c r="H50" s="42"/>
      <c r="I50" s="43"/>
      <c r="J50" s="138"/>
      <c r="K50" s="138"/>
      <c r="L50" s="138"/>
      <c r="M50" s="138"/>
      <c r="N50" s="143"/>
      <c r="O50" s="67"/>
      <c r="P50" s="67"/>
      <c r="Q50" s="67"/>
      <c r="R50" s="135"/>
      <c r="S50" s="144"/>
      <c r="T50" s="140"/>
      <c r="U50" s="46"/>
      <c r="V50" s="67"/>
      <c r="W50" s="67"/>
      <c r="X50" s="49"/>
      <c r="Y50" s="49"/>
      <c r="Z50" s="49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</row>
    <row r="51" spans="1:49" ht="17.25" customHeight="1" x14ac:dyDescent="0.2">
      <c r="A51" s="141"/>
      <c r="B51" s="141"/>
      <c r="C51" s="46"/>
      <c r="D51" s="142"/>
      <c r="E51" s="137"/>
      <c r="F51" s="137"/>
      <c r="G51" s="42"/>
      <c r="H51" s="42"/>
      <c r="I51" s="43"/>
      <c r="J51" s="138"/>
      <c r="K51" s="138"/>
      <c r="L51" s="138"/>
      <c r="M51" s="138"/>
      <c r="N51" s="143"/>
      <c r="O51" s="67"/>
      <c r="P51" s="67"/>
      <c r="Q51" s="67"/>
      <c r="R51" s="135"/>
      <c r="S51" s="144"/>
      <c r="T51" s="140"/>
      <c r="U51" s="46"/>
      <c r="V51" s="67"/>
      <c r="W51" s="67"/>
      <c r="X51" s="49"/>
      <c r="Y51" s="49"/>
      <c r="Z51" s="49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</row>
    <row r="52" spans="1:49" ht="17.25" customHeight="1" x14ac:dyDescent="0.2">
      <c r="A52" s="141"/>
      <c r="B52" s="141"/>
      <c r="C52" s="46"/>
      <c r="D52" s="142"/>
      <c r="E52" s="137"/>
      <c r="F52" s="137"/>
      <c r="G52" s="42"/>
      <c r="H52" s="42"/>
      <c r="I52" s="43"/>
      <c r="J52" s="138"/>
      <c r="K52" s="138"/>
      <c r="L52" s="138"/>
      <c r="M52" s="138"/>
      <c r="N52" s="143"/>
      <c r="O52" s="67"/>
      <c r="P52" s="67"/>
      <c r="Q52" s="67"/>
      <c r="R52" s="135"/>
      <c r="S52" s="144"/>
      <c r="T52" s="140"/>
      <c r="U52" s="46"/>
      <c r="V52" s="67"/>
      <c r="W52" s="67"/>
      <c r="X52" s="49"/>
      <c r="Y52" s="49"/>
      <c r="Z52" s="49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</row>
    <row r="53" spans="1:49" ht="17.25" customHeight="1" x14ac:dyDescent="0.2">
      <c r="A53" s="185"/>
      <c r="B53" s="134"/>
      <c r="C53" s="185"/>
      <c r="D53" s="186"/>
      <c r="E53" s="187"/>
      <c r="F53" s="187"/>
      <c r="G53" s="188"/>
      <c r="H53" s="188"/>
      <c r="I53" s="185"/>
      <c r="J53" s="185"/>
      <c r="K53" s="185"/>
      <c r="L53" s="185"/>
      <c r="M53" s="49"/>
      <c r="N53" s="185"/>
      <c r="O53" s="185"/>
      <c r="P53" s="49"/>
      <c r="Q53" s="49"/>
      <c r="R53" s="185"/>
      <c r="S53" s="188"/>
      <c r="T53" s="188"/>
      <c r="U53" s="49"/>
      <c r="V53" s="188"/>
      <c r="W53" s="188"/>
      <c r="X53" s="49"/>
      <c r="Y53" s="49"/>
      <c r="Z53" s="49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</row>
    <row r="54" spans="1:49" ht="17.25" customHeight="1" x14ac:dyDescent="0.2">
      <c r="A54" s="185"/>
      <c r="B54" s="185"/>
      <c r="C54" s="185"/>
      <c r="D54" s="186"/>
      <c r="E54" s="187"/>
      <c r="F54" s="187"/>
      <c r="G54" s="188"/>
      <c r="H54" s="188"/>
      <c r="I54" s="185"/>
      <c r="J54" s="185"/>
      <c r="K54" s="185"/>
      <c r="L54" s="185"/>
      <c r="M54" s="49"/>
      <c r="N54" s="185"/>
      <c r="O54" s="185"/>
      <c r="P54" s="49"/>
      <c r="Q54" s="49"/>
      <c r="R54" s="185"/>
      <c r="S54" s="188"/>
      <c r="T54" s="188"/>
      <c r="U54" s="49"/>
      <c r="V54" s="188"/>
      <c r="W54" s="188"/>
      <c r="X54" s="49"/>
      <c r="Y54" s="49"/>
      <c r="Z54" s="49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</row>
    <row r="55" spans="1:49" ht="17.25" customHeight="1" x14ac:dyDescent="0.2">
      <c r="A55" s="185"/>
      <c r="B55" s="189"/>
      <c r="C55" s="185"/>
      <c r="D55" s="186"/>
      <c r="E55" s="187"/>
      <c r="F55" s="187"/>
      <c r="G55" s="188"/>
      <c r="H55" s="188"/>
      <c r="I55" s="185"/>
      <c r="J55" s="185"/>
      <c r="K55" s="185"/>
      <c r="L55" s="185"/>
      <c r="M55" s="49"/>
      <c r="N55" s="185"/>
      <c r="O55" s="185"/>
      <c r="P55" s="49"/>
      <c r="Q55" s="49"/>
      <c r="R55" s="185"/>
      <c r="S55" s="188"/>
      <c r="T55" s="188"/>
      <c r="U55" s="49"/>
      <c r="V55" s="188"/>
      <c r="W55" s="188"/>
      <c r="X55" s="49"/>
      <c r="Y55" s="49"/>
      <c r="Z55" s="49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</row>
    <row r="56" spans="1:49" ht="17.25" customHeight="1" x14ac:dyDescent="0.2">
      <c r="A56" s="185"/>
      <c r="B56" s="185"/>
      <c r="C56" s="185"/>
      <c r="D56" s="186"/>
      <c r="E56" s="187"/>
      <c r="F56" s="187"/>
      <c r="G56" s="188"/>
      <c r="H56" s="188"/>
      <c r="I56" s="185"/>
      <c r="J56" s="185"/>
      <c r="K56" s="185"/>
      <c r="L56" s="185"/>
      <c r="M56" s="49"/>
      <c r="N56" s="185"/>
      <c r="O56" s="185"/>
      <c r="P56" s="49"/>
      <c r="Q56" s="49"/>
      <c r="R56" s="185"/>
      <c r="S56" s="188"/>
      <c r="T56" s="188"/>
      <c r="U56" s="49"/>
      <c r="V56" s="188"/>
      <c r="W56" s="188"/>
      <c r="X56" s="49"/>
      <c r="Y56" s="49"/>
      <c r="Z56" s="49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</row>
    <row r="57" spans="1:49" ht="17.25" customHeight="1" x14ac:dyDescent="0.2">
      <c r="A57" s="185"/>
      <c r="B57" s="185"/>
      <c r="C57" s="185"/>
      <c r="D57" s="186"/>
      <c r="E57" s="187"/>
      <c r="F57" s="187"/>
      <c r="G57" s="188"/>
      <c r="H57" s="188"/>
      <c r="I57" s="185"/>
      <c r="J57" s="185"/>
      <c r="K57" s="185"/>
      <c r="L57" s="185"/>
      <c r="M57" s="49"/>
      <c r="N57" s="185"/>
      <c r="O57" s="185"/>
      <c r="P57" s="49"/>
      <c r="Q57" s="49"/>
      <c r="R57" s="185"/>
      <c r="S57" s="188"/>
      <c r="T57" s="188"/>
      <c r="U57" s="49"/>
      <c r="V57" s="188"/>
      <c r="W57" s="188"/>
      <c r="X57" s="49"/>
      <c r="Y57" s="49"/>
      <c r="Z57" s="49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</row>
    <row r="58" spans="1:49" ht="15" x14ac:dyDescent="0.2">
      <c r="A58" s="185"/>
      <c r="B58" s="185"/>
      <c r="C58" s="185"/>
      <c r="D58" s="186"/>
      <c r="E58" s="187"/>
      <c r="F58" s="187"/>
      <c r="G58" s="188"/>
      <c r="H58" s="188"/>
      <c r="I58" s="185"/>
      <c r="J58" s="185"/>
      <c r="K58" s="185"/>
      <c r="L58" s="185"/>
      <c r="M58" s="49"/>
      <c r="N58" s="185"/>
      <c r="O58" s="185"/>
      <c r="P58" s="49"/>
      <c r="Q58" s="49"/>
      <c r="R58" s="185"/>
      <c r="S58" s="188"/>
      <c r="T58" s="188"/>
      <c r="U58" s="49"/>
      <c r="V58" s="188"/>
      <c r="W58" s="188"/>
      <c r="X58" s="49"/>
      <c r="Y58" s="49"/>
      <c r="Z58" s="49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</row>
    <row r="59" spans="1:49" ht="15" x14ac:dyDescent="0.2">
      <c r="A59" s="185"/>
      <c r="B59" s="185"/>
      <c r="C59" s="185"/>
      <c r="D59" s="186"/>
      <c r="E59" s="187"/>
      <c r="F59" s="187"/>
      <c r="G59" s="188"/>
      <c r="H59" s="188"/>
      <c r="I59" s="185"/>
      <c r="J59" s="185"/>
      <c r="K59" s="185"/>
      <c r="L59" s="185"/>
      <c r="M59" s="49"/>
      <c r="N59" s="185"/>
      <c r="O59" s="185"/>
      <c r="P59" s="49"/>
      <c r="Q59" s="49"/>
      <c r="R59" s="185"/>
      <c r="S59" s="188"/>
      <c r="T59" s="188"/>
      <c r="U59" s="49"/>
      <c r="V59" s="188"/>
      <c r="W59" s="188"/>
      <c r="X59" s="49"/>
      <c r="Y59" s="49"/>
      <c r="Z59" s="49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</row>
    <row r="60" spans="1:49" ht="15" x14ac:dyDescent="0.2">
      <c r="A60" s="185"/>
      <c r="B60" s="185"/>
      <c r="C60" s="185"/>
      <c r="D60" s="186"/>
      <c r="E60" s="187"/>
      <c r="F60" s="187"/>
      <c r="G60" s="188"/>
      <c r="H60" s="188"/>
      <c r="I60" s="185"/>
      <c r="J60" s="185"/>
      <c r="K60" s="185"/>
      <c r="L60" s="185"/>
      <c r="M60" s="49"/>
      <c r="N60" s="185"/>
      <c r="O60" s="185"/>
      <c r="P60" s="49"/>
      <c r="Q60" s="49"/>
      <c r="R60" s="185"/>
      <c r="S60" s="188"/>
      <c r="T60" s="188"/>
      <c r="U60" s="49"/>
      <c r="V60" s="188"/>
      <c r="W60" s="188"/>
      <c r="X60" s="49"/>
      <c r="Y60" s="49"/>
      <c r="Z60" s="49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</row>
    <row r="61" spans="1:49" ht="15" x14ac:dyDescent="0.2">
      <c r="A61" s="185"/>
      <c r="B61" s="185"/>
      <c r="C61" s="185"/>
      <c r="D61" s="186"/>
      <c r="E61" s="187"/>
      <c r="F61" s="187"/>
      <c r="G61" s="188"/>
      <c r="H61" s="188"/>
      <c r="I61" s="185"/>
      <c r="J61" s="185"/>
      <c r="K61" s="185"/>
      <c r="L61" s="185"/>
      <c r="M61" s="49"/>
      <c r="N61" s="185"/>
      <c r="O61" s="185"/>
      <c r="P61" s="49"/>
      <c r="Q61" s="49"/>
      <c r="R61" s="185"/>
      <c r="S61" s="188"/>
      <c r="T61" s="188"/>
      <c r="U61" s="49"/>
      <c r="V61" s="188"/>
      <c r="W61" s="188"/>
      <c r="X61" s="49"/>
      <c r="Y61" s="49"/>
      <c r="Z61" s="49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</row>
    <row r="62" spans="1:49" ht="15" x14ac:dyDescent="0.2">
      <c r="A62" s="185"/>
      <c r="B62" s="185"/>
      <c r="C62" s="185"/>
      <c r="D62" s="186"/>
      <c r="E62" s="187"/>
      <c r="F62" s="187"/>
      <c r="G62" s="188"/>
      <c r="H62" s="188"/>
      <c r="I62" s="185"/>
      <c r="J62" s="185"/>
      <c r="K62" s="185"/>
      <c r="L62" s="185"/>
      <c r="M62" s="49"/>
      <c r="N62" s="185"/>
      <c r="O62" s="185"/>
      <c r="P62" s="49"/>
      <c r="Q62" s="49"/>
      <c r="R62" s="185"/>
      <c r="S62" s="188"/>
      <c r="T62" s="188"/>
      <c r="U62" s="49"/>
      <c r="V62" s="188"/>
      <c r="W62" s="188"/>
      <c r="X62" s="49"/>
      <c r="Y62" s="49"/>
      <c r="Z62" s="49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</row>
    <row r="63" spans="1:49" ht="15" x14ac:dyDescent="0.2">
      <c r="A63" s="185"/>
      <c r="B63" s="185"/>
      <c r="C63" s="185"/>
      <c r="D63" s="186"/>
      <c r="E63" s="187"/>
      <c r="F63" s="187"/>
      <c r="G63" s="188"/>
      <c r="H63" s="188"/>
      <c r="I63" s="185"/>
      <c r="J63" s="185"/>
      <c r="K63" s="185"/>
      <c r="L63" s="185"/>
      <c r="M63" s="49"/>
      <c r="N63" s="185"/>
      <c r="O63" s="185"/>
      <c r="P63" s="49"/>
      <c r="Q63" s="49"/>
      <c r="R63" s="185"/>
      <c r="S63" s="188"/>
      <c r="T63" s="188"/>
      <c r="U63" s="49"/>
      <c r="V63" s="188"/>
      <c r="W63" s="188"/>
      <c r="X63" s="49"/>
      <c r="Y63" s="49"/>
      <c r="Z63" s="49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</row>
    <row r="64" spans="1:49" ht="15" x14ac:dyDescent="0.2">
      <c r="A64" s="185"/>
      <c r="B64" s="185"/>
      <c r="C64" s="185"/>
      <c r="D64" s="186"/>
      <c r="E64" s="187"/>
      <c r="F64" s="187"/>
      <c r="G64" s="188"/>
      <c r="H64" s="188"/>
      <c r="I64" s="185"/>
      <c r="J64" s="185"/>
      <c r="K64" s="185"/>
      <c r="L64" s="185"/>
      <c r="M64" s="49"/>
      <c r="N64" s="185"/>
      <c r="O64" s="185"/>
      <c r="P64" s="49"/>
      <c r="Q64" s="49"/>
      <c r="R64" s="185"/>
      <c r="S64" s="188"/>
      <c r="T64" s="188"/>
      <c r="U64" s="49"/>
      <c r="V64" s="188"/>
      <c r="W64" s="188"/>
      <c r="X64" s="49"/>
      <c r="Y64" s="49"/>
      <c r="Z64" s="49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</row>
    <row r="65" spans="1:49" ht="15" x14ac:dyDescent="0.2">
      <c r="A65" s="185"/>
      <c r="B65" s="185"/>
      <c r="C65" s="185"/>
      <c r="D65" s="186"/>
      <c r="E65" s="187"/>
      <c r="F65" s="187"/>
      <c r="G65" s="188"/>
      <c r="H65" s="188"/>
      <c r="I65" s="185"/>
      <c r="J65" s="185"/>
      <c r="K65" s="185"/>
      <c r="L65" s="185"/>
      <c r="M65" s="49"/>
      <c r="N65" s="185"/>
      <c r="O65" s="185"/>
      <c r="P65" s="49"/>
      <c r="Q65" s="49"/>
      <c r="R65" s="185"/>
      <c r="S65" s="188"/>
      <c r="T65" s="188"/>
      <c r="U65" s="49"/>
      <c r="V65" s="188"/>
      <c r="W65" s="188"/>
      <c r="X65" s="49"/>
      <c r="Y65" s="49"/>
      <c r="Z65" s="49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</row>
    <row r="66" spans="1:49" ht="15" x14ac:dyDescent="0.2">
      <c r="A66" s="185"/>
      <c r="B66" s="185"/>
      <c r="C66" s="185"/>
      <c r="D66" s="186"/>
      <c r="E66" s="187"/>
      <c r="F66" s="187"/>
      <c r="G66" s="188"/>
      <c r="H66" s="188"/>
      <c r="I66" s="185"/>
      <c r="J66" s="185"/>
      <c r="K66" s="185"/>
      <c r="L66" s="185"/>
      <c r="M66" s="49"/>
      <c r="N66" s="185"/>
      <c r="O66" s="185"/>
      <c r="P66" s="49"/>
      <c r="Q66" s="49"/>
      <c r="R66" s="185"/>
      <c r="S66" s="188"/>
      <c r="T66" s="188"/>
      <c r="U66" s="49"/>
      <c r="V66" s="188"/>
      <c r="W66" s="188"/>
      <c r="X66" s="49"/>
      <c r="Y66" s="49"/>
      <c r="Z66" s="49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</row>
    <row r="67" spans="1:49" ht="15" x14ac:dyDescent="0.2">
      <c r="A67" s="185"/>
      <c r="B67" s="185"/>
      <c r="C67" s="185"/>
      <c r="D67" s="186"/>
      <c r="E67" s="187"/>
      <c r="F67" s="187"/>
      <c r="G67" s="188"/>
      <c r="H67" s="188"/>
      <c r="I67" s="185"/>
      <c r="J67" s="185"/>
      <c r="K67" s="185"/>
      <c r="L67" s="185"/>
      <c r="M67" s="49"/>
      <c r="N67" s="185"/>
      <c r="O67" s="185"/>
      <c r="P67" s="49"/>
      <c r="Q67" s="49"/>
      <c r="R67" s="185"/>
      <c r="S67" s="188"/>
      <c r="T67" s="188"/>
      <c r="U67" s="49"/>
      <c r="V67" s="188"/>
      <c r="W67" s="188"/>
      <c r="X67" s="49"/>
      <c r="Y67" s="49"/>
      <c r="Z67" s="49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</row>
    <row r="68" spans="1:49" ht="15" x14ac:dyDescent="0.2">
      <c r="A68" s="185"/>
      <c r="B68" s="185"/>
      <c r="C68" s="185"/>
      <c r="D68" s="186"/>
      <c r="E68" s="187"/>
      <c r="F68" s="187"/>
      <c r="G68" s="188"/>
      <c r="H68" s="188"/>
      <c r="I68" s="185"/>
      <c r="J68" s="185"/>
      <c r="K68" s="185"/>
      <c r="L68" s="185"/>
      <c r="M68" s="49"/>
      <c r="N68" s="185"/>
      <c r="O68" s="185"/>
      <c r="P68" s="49"/>
      <c r="Q68" s="49"/>
      <c r="R68" s="185"/>
      <c r="S68" s="188"/>
      <c r="T68" s="188"/>
      <c r="U68" s="49"/>
      <c r="V68" s="188"/>
      <c r="W68" s="188"/>
      <c r="X68" s="49"/>
      <c r="Y68" s="49"/>
      <c r="Z68" s="49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</row>
    <row r="69" spans="1:49" ht="15" x14ac:dyDescent="0.2">
      <c r="A69" s="185"/>
      <c r="B69" s="185"/>
      <c r="C69" s="185"/>
      <c r="D69" s="186"/>
      <c r="E69" s="187"/>
      <c r="F69" s="187"/>
      <c r="G69" s="188"/>
      <c r="H69" s="188"/>
      <c r="I69" s="185"/>
      <c r="J69" s="185"/>
      <c r="K69" s="185"/>
      <c r="L69" s="185"/>
      <c r="M69" s="49"/>
      <c r="N69" s="185"/>
      <c r="O69" s="185"/>
      <c r="P69" s="49"/>
      <c r="Q69" s="49"/>
      <c r="R69" s="185"/>
      <c r="S69" s="188"/>
      <c r="T69" s="188"/>
      <c r="U69" s="49"/>
      <c r="V69" s="188"/>
      <c r="W69" s="188"/>
      <c r="X69" s="49"/>
      <c r="Y69" s="49"/>
      <c r="Z69" s="49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</row>
    <row r="70" spans="1:49" ht="15" x14ac:dyDescent="0.2">
      <c r="A70" s="185"/>
      <c r="B70" s="185"/>
      <c r="C70" s="185"/>
      <c r="D70" s="186"/>
      <c r="E70" s="187"/>
      <c r="F70" s="187"/>
      <c r="G70" s="188"/>
      <c r="H70" s="188"/>
      <c r="I70" s="185"/>
      <c r="J70" s="185"/>
      <c r="K70" s="185"/>
      <c r="L70" s="185"/>
      <c r="M70" s="49"/>
      <c r="N70" s="185"/>
      <c r="O70" s="185"/>
      <c r="P70" s="49"/>
      <c r="Q70" s="49"/>
      <c r="R70" s="185"/>
      <c r="S70" s="188"/>
      <c r="T70" s="188"/>
      <c r="U70" s="49"/>
      <c r="V70" s="188"/>
      <c r="W70" s="188"/>
      <c r="X70" s="49"/>
      <c r="Y70" s="49"/>
      <c r="Z70" s="49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</row>
    <row r="71" spans="1:49" ht="15" x14ac:dyDescent="0.2">
      <c r="A71" s="67"/>
      <c r="B71" s="67"/>
      <c r="C71" s="190"/>
      <c r="D71" s="190"/>
      <c r="E71" s="187"/>
      <c r="F71" s="187"/>
      <c r="G71" s="188"/>
      <c r="H71" s="188"/>
      <c r="I71" s="190"/>
      <c r="J71" s="190"/>
      <c r="K71" s="190"/>
      <c r="L71" s="190"/>
      <c r="M71" s="49"/>
      <c r="N71" s="190"/>
      <c r="O71" s="190"/>
      <c r="P71" s="49"/>
      <c r="Q71" s="49"/>
      <c r="R71" s="190"/>
      <c r="S71" s="188"/>
      <c r="T71" s="188"/>
      <c r="U71" s="169"/>
      <c r="V71" s="191"/>
      <c r="W71" s="191"/>
      <c r="X71" s="49"/>
      <c r="Y71" s="49"/>
      <c r="Z71" s="169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</row>
    <row r="72" spans="1:49" ht="15" x14ac:dyDescent="0.2">
      <c r="A72" s="192"/>
      <c r="B72" s="192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188"/>
      <c r="U72" s="49"/>
      <c r="V72" s="185"/>
      <c r="W72" s="185"/>
      <c r="X72" s="49"/>
      <c r="Y72" s="49"/>
      <c r="Z72" s="49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</row>
    <row r="73" spans="1:49" ht="15" x14ac:dyDescent="0.2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</row>
    <row r="74" spans="1:49" ht="15" x14ac:dyDescent="0.2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</row>
    <row r="75" spans="1:49" ht="15" x14ac:dyDescent="0.2">
      <c r="A75" s="128"/>
      <c r="B75" s="128"/>
      <c r="C75" s="193"/>
      <c r="D75" s="194"/>
      <c r="E75" s="128"/>
      <c r="F75" s="128"/>
      <c r="G75" s="159"/>
      <c r="H75" s="159"/>
      <c r="I75" s="193"/>
      <c r="J75" s="128"/>
      <c r="K75" s="128"/>
      <c r="L75" s="128"/>
      <c r="M75" s="128"/>
      <c r="N75" s="193"/>
      <c r="O75" s="128"/>
      <c r="P75" s="128"/>
      <c r="Q75" s="128"/>
      <c r="R75" s="128"/>
      <c r="S75" s="195"/>
      <c r="T75" s="128"/>
      <c r="U75" s="128"/>
      <c r="V75" s="128"/>
      <c r="W75" s="128"/>
      <c r="X75" s="128"/>
      <c r="Y75" s="193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</row>
    <row r="76" spans="1:49" ht="15" x14ac:dyDescent="0.2">
      <c r="A76" s="128"/>
      <c r="B76" s="128"/>
      <c r="C76" s="193"/>
      <c r="D76" s="196"/>
      <c r="E76" s="193"/>
      <c r="F76" s="193"/>
      <c r="G76" s="128"/>
      <c r="H76" s="128"/>
      <c r="I76" s="193"/>
      <c r="J76" s="128"/>
      <c r="K76" s="128"/>
      <c r="L76" s="128"/>
      <c r="M76" s="128"/>
      <c r="N76" s="193"/>
      <c r="O76" s="128"/>
      <c r="P76" s="128"/>
      <c r="Q76" s="128"/>
      <c r="R76" s="128"/>
      <c r="S76" s="195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</row>
    <row r="77" spans="1:49" ht="15" x14ac:dyDescent="0.2">
      <c r="A77" s="128"/>
      <c r="B77" s="128"/>
      <c r="C77" s="128"/>
      <c r="D77" s="194"/>
      <c r="E77" s="128"/>
      <c r="F77" s="128"/>
      <c r="G77" s="128"/>
      <c r="H77" s="128"/>
      <c r="I77" s="193"/>
      <c r="J77" s="128"/>
      <c r="K77" s="128"/>
      <c r="L77" s="128"/>
      <c r="M77" s="128"/>
      <c r="N77" s="193"/>
      <c r="O77" s="128"/>
      <c r="P77" s="128"/>
      <c r="Q77" s="128"/>
      <c r="R77" s="128"/>
      <c r="S77" s="195"/>
      <c r="T77" s="128"/>
      <c r="U77" s="128"/>
      <c r="V77" s="128"/>
      <c r="W77" s="128"/>
      <c r="X77" s="128"/>
      <c r="Y77" s="67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</row>
    <row r="78" spans="1:49" ht="15" x14ac:dyDescent="0.2">
      <c r="A78" s="128"/>
      <c r="B78" s="128"/>
      <c r="C78" s="128"/>
      <c r="D78" s="194"/>
      <c r="E78" s="128"/>
      <c r="F78" s="128"/>
      <c r="G78" s="193"/>
      <c r="H78" s="193"/>
      <c r="I78" s="193"/>
      <c r="J78" s="194"/>
      <c r="K78" s="194"/>
      <c r="L78" s="194"/>
      <c r="M78" s="128"/>
      <c r="N78" s="193"/>
      <c r="O78" s="193"/>
      <c r="P78" s="128"/>
      <c r="Q78" s="128"/>
      <c r="R78" s="193"/>
      <c r="S78" s="197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</row>
    <row r="79" spans="1:49" ht="15" x14ac:dyDescent="0.2">
      <c r="A79" s="128"/>
      <c r="B79" s="128"/>
      <c r="C79" s="128"/>
      <c r="D79" s="19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</row>
    <row r="80" spans="1:49" ht="15" x14ac:dyDescent="0.2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</row>
    <row r="81" spans="1:49" ht="15" x14ac:dyDescent="0.2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</row>
    <row r="82" spans="1:49" ht="15" x14ac:dyDescent="0.2">
      <c r="A82" s="193"/>
      <c r="B82" s="193"/>
      <c r="C82" s="67"/>
      <c r="D82" s="199"/>
      <c r="E82" s="193"/>
      <c r="F82" s="193"/>
      <c r="G82" s="128"/>
      <c r="H82" s="128"/>
      <c r="I82" s="193"/>
      <c r="J82" s="128"/>
      <c r="K82" s="128"/>
      <c r="L82" s="128"/>
      <c r="M82" s="193"/>
      <c r="N82" s="193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93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</row>
    <row r="83" spans="1:49" ht="15" x14ac:dyDescent="0.2">
      <c r="A83" s="193"/>
      <c r="B83" s="193"/>
      <c r="C83" s="128"/>
      <c r="D83" s="128"/>
      <c r="E83" s="193"/>
      <c r="F83" s="193"/>
      <c r="G83" s="193"/>
      <c r="H83" s="193"/>
      <c r="I83" s="193"/>
      <c r="J83" s="128"/>
      <c r="K83" s="128"/>
      <c r="L83" s="128"/>
      <c r="M83" s="128"/>
      <c r="N83" s="193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</row>
    <row r="84" spans="1:49" ht="15" x14ac:dyDescent="0.2">
      <c r="A84" s="193"/>
      <c r="B84" s="193"/>
      <c r="C84" s="128"/>
      <c r="D84" s="128"/>
      <c r="E84" s="193"/>
      <c r="F84" s="193"/>
      <c r="G84" s="128"/>
      <c r="H84" s="128"/>
      <c r="I84" s="193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</row>
    <row r="85" spans="1:49" ht="15" x14ac:dyDescent="0.2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200"/>
      <c r="W85" s="200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</row>
    <row r="86" spans="1:49" ht="15" x14ac:dyDescent="0.2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</row>
    <row r="87" spans="1:49" ht="15" x14ac:dyDescent="0.2">
      <c r="A87" s="128"/>
      <c r="B87" s="128"/>
      <c r="C87" s="193"/>
      <c r="D87" s="194"/>
      <c r="E87" s="128"/>
      <c r="F87" s="128"/>
      <c r="G87" s="128"/>
      <c r="H87" s="128"/>
      <c r="I87" s="193"/>
      <c r="J87" s="128"/>
      <c r="K87" s="128"/>
      <c r="L87" s="128"/>
      <c r="M87" s="128"/>
      <c r="N87" s="193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</row>
    <row r="88" spans="1:49" ht="15" x14ac:dyDescent="0.2">
      <c r="A88" s="128"/>
      <c r="B88" s="128"/>
      <c r="C88" s="193"/>
      <c r="D88" s="194"/>
      <c r="E88" s="128"/>
      <c r="F88" s="128"/>
      <c r="G88" s="128"/>
      <c r="H88" s="128"/>
      <c r="I88" s="193"/>
      <c r="J88" s="128"/>
      <c r="K88" s="128"/>
      <c r="L88" s="128"/>
      <c r="M88" s="128"/>
      <c r="N88" s="193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</row>
    <row r="89" spans="1:49" ht="15" x14ac:dyDescent="0.2">
      <c r="A89" s="128"/>
      <c r="B89" s="128"/>
      <c r="C89" s="193"/>
      <c r="D89" s="194"/>
      <c r="E89" s="128"/>
      <c r="F89" s="128"/>
      <c r="G89" s="128"/>
      <c r="H89" s="128"/>
      <c r="I89" s="193"/>
      <c r="J89" s="128"/>
      <c r="K89" s="128"/>
      <c r="L89" s="128"/>
      <c r="M89" s="194"/>
      <c r="N89" s="193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</row>
    <row r="90" spans="1:49" ht="15" x14ac:dyDescent="0.2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93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</row>
    <row r="91" spans="1:49" ht="15" x14ac:dyDescent="0.2">
      <c r="A91" s="128"/>
      <c r="B91" s="128"/>
      <c r="C91" s="128"/>
      <c r="D91" s="194"/>
      <c r="E91" s="128"/>
      <c r="F91" s="128"/>
      <c r="G91" s="67"/>
      <c r="H91" s="67"/>
      <c r="I91" s="193"/>
      <c r="J91" s="194"/>
      <c r="K91" s="194"/>
      <c r="L91" s="194"/>
      <c r="M91" s="128"/>
      <c r="N91" s="193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</row>
    <row r="92" spans="1:49" ht="15" x14ac:dyDescent="0.2">
      <c r="A92" s="128"/>
      <c r="B92" s="128"/>
      <c r="C92" s="128"/>
      <c r="D92" s="194"/>
      <c r="E92" s="128"/>
      <c r="F92" s="128"/>
      <c r="G92" s="67"/>
      <c r="H92" s="67"/>
      <c r="I92" s="193"/>
      <c r="J92" s="128"/>
      <c r="K92" s="128"/>
      <c r="L92" s="128"/>
      <c r="M92" s="193"/>
      <c r="N92" s="193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</row>
    <row r="93" spans="1:49" ht="15" x14ac:dyDescent="0.2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</row>
    <row r="94" spans="1:49" ht="15" x14ac:dyDescent="0.2">
      <c r="A94" s="128"/>
      <c r="B94" s="128"/>
      <c r="C94" s="128"/>
      <c r="D94" s="194"/>
      <c r="E94" s="128"/>
      <c r="F94" s="128"/>
      <c r="G94" s="128"/>
      <c r="H94" s="128"/>
      <c r="I94" s="193"/>
      <c r="J94" s="128"/>
      <c r="K94" s="128"/>
      <c r="L94" s="128"/>
      <c r="M94" s="128"/>
      <c r="N94" s="193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</row>
    <row r="95" spans="1:49" ht="15" x14ac:dyDescent="0.2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</row>
    <row r="96" spans="1:49" ht="15" x14ac:dyDescent="0.2">
      <c r="A96" s="193"/>
      <c r="B96" s="193"/>
      <c r="C96" s="193"/>
      <c r="D96" s="194"/>
      <c r="E96" s="128"/>
      <c r="F96" s="128"/>
      <c r="G96" s="128"/>
      <c r="H96" s="128"/>
      <c r="I96" s="193"/>
      <c r="J96" s="128"/>
      <c r="K96" s="128"/>
      <c r="L96" s="128"/>
      <c r="M96" s="128"/>
      <c r="N96" s="193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</row>
    <row r="97" spans="1:49" ht="15" x14ac:dyDescent="0.2">
      <c r="A97" s="193"/>
      <c r="B97" s="193"/>
      <c r="C97" s="67"/>
      <c r="D97" s="67"/>
      <c r="E97" s="159"/>
      <c r="F97" s="159"/>
      <c r="G97" s="128"/>
      <c r="H97" s="128"/>
      <c r="I97" s="193"/>
      <c r="J97" s="128"/>
      <c r="K97" s="128"/>
      <c r="L97" s="128"/>
      <c r="M97" s="128"/>
      <c r="N97" s="193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67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</row>
    <row r="98" spans="1:49" ht="15" x14ac:dyDescent="0.2">
      <c r="A98" s="193"/>
      <c r="B98" s="193"/>
      <c r="C98" s="201"/>
      <c r="D98" s="194"/>
      <c r="E98" s="193"/>
      <c r="F98" s="193"/>
      <c r="G98" s="128"/>
      <c r="H98" s="128"/>
      <c r="I98" s="128"/>
      <c r="J98" s="128"/>
      <c r="K98" s="128"/>
      <c r="L98" s="128"/>
      <c r="M98" s="128"/>
      <c r="N98" s="128"/>
      <c r="O98" s="202"/>
      <c r="P98" s="128"/>
      <c r="Q98" s="128"/>
      <c r="R98" s="202"/>
      <c r="S98" s="128"/>
      <c r="T98" s="128"/>
      <c r="U98" s="128"/>
      <c r="V98" s="128"/>
      <c r="W98" s="128"/>
      <c r="X98" s="128"/>
      <c r="Y98" s="193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</row>
    <row r="99" spans="1:49" ht="15" x14ac:dyDescent="0.2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</row>
    <row r="100" spans="1:49" ht="15" x14ac:dyDescent="0.2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</row>
    <row r="101" spans="1:49" ht="15" x14ac:dyDescent="0.2">
      <c r="A101" s="193"/>
      <c r="B101" s="193"/>
      <c r="C101" s="193"/>
      <c r="D101" s="194"/>
      <c r="E101" s="128"/>
      <c r="F101" s="128"/>
      <c r="G101" s="128"/>
      <c r="H101" s="128"/>
      <c r="I101" s="193"/>
      <c r="J101" s="128"/>
      <c r="K101" s="128"/>
      <c r="L101" s="128"/>
      <c r="M101" s="128"/>
      <c r="N101" s="193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</row>
    <row r="102" spans="1:49" ht="15" x14ac:dyDescent="0.2">
      <c r="A102" s="128"/>
      <c r="B102" s="128"/>
      <c r="C102" s="193"/>
      <c r="D102" s="194"/>
      <c r="E102" s="128"/>
      <c r="F102" s="128"/>
      <c r="G102" s="193"/>
      <c r="H102" s="193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93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</row>
    <row r="103" spans="1:49" ht="15" x14ac:dyDescent="0.2">
      <c r="A103" s="128"/>
      <c r="B103" s="12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</row>
    <row r="104" spans="1:49" ht="15" x14ac:dyDescent="0.2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</row>
    <row r="105" spans="1:49" ht="15" x14ac:dyDescent="0.2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</row>
    <row r="106" spans="1:49" ht="15" x14ac:dyDescent="0.2">
      <c r="A106" s="193"/>
      <c r="B106" s="193"/>
      <c r="C106" s="195"/>
      <c r="D106" s="194"/>
      <c r="E106" s="193"/>
      <c r="F106" s="193"/>
      <c r="G106" s="128"/>
      <c r="H106" s="128"/>
      <c r="I106" s="193"/>
      <c r="J106" s="194"/>
      <c r="K106" s="194"/>
      <c r="L106" s="194"/>
      <c r="M106" s="128"/>
      <c r="N106" s="193"/>
      <c r="O106" s="128"/>
      <c r="P106" s="128"/>
      <c r="Q106" s="128"/>
      <c r="R106" s="193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</row>
    <row r="107" spans="1:49" ht="15" x14ac:dyDescent="0.2">
      <c r="A107" s="193"/>
      <c r="B107" s="193"/>
      <c r="C107" s="128"/>
      <c r="D107" s="128"/>
      <c r="E107" s="193"/>
      <c r="F107" s="193"/>
      <c r="G107" s="128"/>
      <c r="H107" s="128"/>
      <c r="I107" s="193"/>
      <c r="J107" s="194"/>
      <c r="K107" s="194"/>
      <c r="L107" s="194"/>
      <c r="M107" s="128"/>
      <c r="N107" s="193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</row>
    <row r="108" spans="1:49" ht="15" x14ac:dyDescent="0.2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203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</row>
    <row r="109" spans="1:49" ht="15" x14ac:dyDescent="0.2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</row>
    <row r="110" spans="1:49" ht="15" x14ac:dyDescent="0.2">
      <c r="A110" s="128"/>
      <c r="B110" s="128"/>
      <c r="C110" s="195"/>
      <c r="D110" s="194"/>
      <c r="E110" s="204"/>
      <c r="F110" s="204"/>
      <c r="G110" s="128"/>
      <c r="H110" s="128"/>
      <c r="I110" s="193"/>
      <c r="J110" s="194"/>
      <c r="K110" s="194"/>
      <c r="L110" s="194"/>
      <c r="M110" s="128"/>
      <c r="N110" s="193"/>
      <c r="O110" s="193"/>
      <c r="P110" s="128"/>
      <c r="Q110" s="128"/>
      <c r="R110" s="193"/>
      <c r="S110" s="128"/>
      <c r="T110" s="128"/>
      <c r="U110" s="128"/>
      <c r="V110" s="128"/>
      <c r="W110" s="128"/>
      <c r="X110" s="128"/>
      <c r="Y110" s="195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</row>
    <row r="111" spans="1:49" ht="15" x14ac:dyDescent="0.2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</row>
    <row r="112" spans="1:49" ht="15" x14ac:dyDescent="0.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</row>
    <row r="113" spans="1:49" ht="15" x14ac:dyDescent="0.2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</row>
    <row r="114" spans="1:49" ht="15" x14ac:dyDescent="0.2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</row>
    <row r="115" spans="1:49" ht="15" x14ac:dyDescent="0.2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</row>
    <row r="116" spans="1:49" ht="15" x14ac:dyDescent="0.2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</row>
    <row r="117" spans="1:49" ht="15" x14ac:dyDescent="0.2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</row>
    <row r="118" spans="1:49" ht="15" x14ac:dyDescent="0.2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</row>
    <row r="119" spans="1:49" ht="15" x14ac:dyDescent="0.2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</row>
    <row r="120" spans="1:49" ht="15" x14ac:dyDescent="0.2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</row>
    <row r="121" spans="1:49" ht="15" x14ac:dyDescent="0.2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</row>
    <row r="122" spans="1:49" ht="15" x14ac:dyDescent="0.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</row>
    <row r="123" spans="1:49" ht="15" x14ac:dyDescent="0.2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</row>
    <row r="124" spans="1:49" ht="15" x14ac:dyDescent="0.2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</row>
    <row r="125" spans="1:49" ht="15" x14ac:dyDescent="0.2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</row>
    <row r="126" spans="1:49" ht="15" x14ac:dyDescent="0.2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</row>
    <row r="127" spans="1:49" ht="15" x14ac:dyDescent="0.2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</row>
    <row r="128" spans="1:49" ht="15" x14ac:dyDescent="0.2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</row>
    <row r="129" spans="1:49" ht="15" x14ac:dyDescent="0.2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</row>
    <row r="130" spans="1:49" ht="15" x14ac:dyDescent="0.2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</row>
    <row r="131" spans="1:49" ht="15" x14ac:dyDescent="0.2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</row>
    <row r="132" spans="1:49" ht="15" x14ac:dyDescent="0.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</row>
    <row r="133" spans="1:49" ht="15" x14ac:dyDescent="0.2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</row>
    <row r="134" spans="1:49" ht="15" x14ac:dyDescent="0.2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</row>
    <row r="135" spans="1:49" ht="15" x14ac:dyDescent="0.2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</row>
    <row r="136" spans="1:49" ht="15" x14ac:dyDescent="0.2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</row>
    <row r="137" spans="1:49" ht="15" x14ac:dyDescent="0.2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</row>
    <row r="138" spans="1:49" ht="15" x14ac:dyDescent="0.2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</row>
    <row r="139" spans="1:49" ht="15" x14ac:dyDescent="0.2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</row>
    <row r="140" spans="1:49" ht="15" x14ac:dyDescent="0.2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</row>
    <row r="141" spans="1:49" ht="15" x14ac:dyDescent="0.2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</row>
    <row r="142" spans="1:49" ht="15" x14ac:dyDescent="0.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</row>
    <row r="143" spans="1:49" ht="15" x14ac:dyDescent="0.2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</row>
    <row r="144" spans="1:49" ht="15" x14ac:dyDescent="0.2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</row>
    <row r="145" spans="1:49" ht="15" x14ac:dyDescent="0.2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</row>
    <row r="146" spans="1:49" ht="15" x14ac:dyDescent="0.2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</row>
    <row r="147" spans="1:49" ht="15" x14ac:dyDescent="0.2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</row>
    <row r="148" spans="1:49" ht="15" x14ac:dyDescent="0.2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</row>
    <row r="149" spans="1:49" ht="15" x14ac:dyDescent="0.2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</row>
    <row r="150" spans="1:49" ht="15" x14ac:dyDescent="0.2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</row>
    <row r="151" spans="1:49" ht="15" x14ac:dyDescent="0.2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</row>
    <row r="152" spans="1:49" ht="15" x14ac:dyDescent="0.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</row>
    <row r="153" spans="1:49" ht="15" x14ac:dyDescent="0.2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</row>
    <row r="154" spans="1:49" ht="15" x14ac:dyDescent="0.2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</row>
    <row r="155" spans="1:49" ht="15" x14ac:dyDescent="0.2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</row>
    <row r="156" spans="1:49" ht="15" x14ac:dyDescent="0.2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</row>
    <row r="157" spans="1:49" ht="15" x14ac:dyDescent="0.2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</row>
    <row r="158" spans="1:49" ht="15" x14ac:dyDescent="0.2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</row>
    <row r="159" spans="1:49" ht="15" x14ac:dyDescent="0.2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</row>
    <row r="160" spans="1:49" ht="15" x14ac:dyDescent="0.2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</row>
    <row r="161" spans="1:49" ht="15" x14ac:dyDescent="0.2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</row>
    <row r="162" spans="1:49" ht="15" x14ac:dyDescent="0.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</row>
    <row r="163" spans="1:49" ht="15" x14ac:dyDescent="0.2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</row>
    <row r="164" spans="1:49" ht="15" x14ac:dyDescent="0.2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</row>
    <row r="165" spans="1:49" ht="15" x14ac:dyDescent="0.2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</row>
    <row r="166" spans="1:49" ht="15" x14ac:dyDescent="0.2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</row>
    <row r="167" spans="1:49" ht="15" x14ac:dyDescent="0.2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</row>
    <row r="168" spans="1:49" ht="15" x14ac:dyDescent="0.2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</row>
    <row r="169" spans="1:49" ht="15" x14ac:dyDescent="0.2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</row>
    <row r="170" spans="1:49" ht="15" x14ac:dyDescent="0.2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</row>
    <row r="171" spans="1:49" ht="15" x14ac:dyDescent="0.2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</row>
    <row r="172" spans="1:49" ht="15" x14ac:dyDescent="0.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</row>
    <row r="173" spans="1:49" ht="15" x14ac:dyDescent="0.2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</row>
    <row r="174" spans="1:49" ht="15" x14ac:dyDescent="0.2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</row>
    <row r="175" spans="1:49" ht="15" x14ac:dyDescent="0.2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</row>
    <row r="176" spans="1:49" ht="15" x14ac:dyDescent="0.2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</row>
    <row r="177" spans="1:49" ht="15" x14ac:dyDescent="0.2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</row>
    <row r="178" spans="1:49" ht="15" x14ac:dyDescent="0.2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</row>
    <row r="179" spans="1:49" ht="15" x14ac:dyDescent="0.2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</row>
    <row r="180" spans="1:49" ht="15" x14ac:dyDescent="0.2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</row>
    <row r="181" spans="1:49" ht="15" x14ac:dyDescent="0.2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</row>
    <row r="182" spans="1:49" ht="15" x14ac:dyDescent="0.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</row>
    <row r="183" spans="1:49" ht="15" x14ac:dyDescent="0.2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</row>
    <row r="184" spans="1:49" ht="15" x14ac:dyDescent="0.2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</row>
    <row r="185" spans="1:49" ht="15" x14ac:dyDescent="0.2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</row>
    <row r="186" spans="1:49" ht="15" x14ac:dyDescent="0.2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</row>
    <row r="187" spans="1:49" ht="15" x14ac:dyDescent="0.2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</row>
    <row r="188" spans="1:49" ht="15" x14ac:dyDescent="0.2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</row>
    <row r="189" spans="1:49" ht="15" x14ac:dyDescent="0.2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</row>
    <row r="190" spans="1:49" ht="15" x14ac:dyDescent="0.2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</row>
    <row r="191" spans="1:49" ht="15" x14ac:dyDescent="0.2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</row>
    <row r="192" spans="1:49" ht="15" x14ac:dyDescent="0.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</row>
    <row r="193" spans="1:49" ht="15" x14ac:dyDescent="0.2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</row>
    <row r="194" spans="1:49" ht="15" x14ac:dyDescent="0.2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</row>
    <row r="195" spans="1:49" ht="15" x14ac:dyDescent="0.2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</row>
    <row r="196" spans="1:49" ht="15" x14ac:dyDescent="0.2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</row>
    <row r="197" spans="1:49" ht="15" x14ac:dyDescent="0.2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</row>
    <row r="198" spans="1:49" ht="15" x14ac:dyDescent="0.2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</row>
    <row r="199" spans="1:49" ht="15" x14ac:dyDescent="0.2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</row>
    <row r="200" spans="1:49" ht="15" x14ac:dyDescent="0.2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</row>
    <row r="201" spans="1:49" ht="15" x14ac:dyDescent="0.2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</row>
    <row r="202" spans="1:49" ht="15" x14ac:dyDescent="0.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</row>
    <row r="203" spans="1:49" ht="15" x14ac:dyDescent="0.2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</row>
    <row r="204" spans="1:49" ht="15" x14ac:dyDescent="0.2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</row>
    <row r="205" spans="1:49" ht="15" x14ac:dyDescent="0.2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</row>
    <row r="206" spans="1:49" ht="15" x14ac:dyDescent="0.2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</row>
    <row r="207" spans="1:49" ht="15" x14ac:dyDescent="0.2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</row>
    <row r="208" spans="1:49" ht="15" x14ac:dyDescent="0.2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</row>
    <row r="209" spans="1:49" ht="15" x14ac:dyDescent="0.2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</row>
    <row r="210" spans="1:49" ht="15" x14ac:dyDescent="0.2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</row>
    <row r="211" spans="1:49" ht="15" x14ac:dyDescent="0.2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</row>
    <row r="212" spans="1:49" ht="15" x14ac:dyDescent="0.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</row>
    <row r="213" spans="1:49" ht="15" x14ac:dyDescent="0.2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</row>
    <row r="214" spans="1:49" ht="15" x14ac:dyDescent="0.2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</row>
    <row r="215" spans="1:49" ht="15" x14ac:dyDescent="0.2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</row>
    <row r="216" spans="1:49" ht="15" x14ac:dyDescent="0.2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</row>
    <row r="217" spans="1:49" ht="15" x14ac:dyDescent="0.2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</row>
    <row r="218" spans="1:49" ht="15" x14ac:dyDescent="0.2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</row>
    <row r="219" spans="1:49" ht="15" x14ac:dyDescent="0.2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</row>
    <row r="220" spans="1:49" ht="15" x14ac:dyDescent="0.2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</row>
    <row r="221" spans="1:49" ht="15" x14ac:dyDescent="0.2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</row>
    <row r="222" spans="1:49" ht="15" x14ac:dyDescent="0.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</row>
    <row r="223" spans="1:49" ht="15" x14ac:dyDescent="0.2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</row>
    <row r="224" spans="1:49" ht="15" x14ac:dyDescent="0.2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</row>
    <row r="225" spans="1:49" ht="15" x14ac:dyDescent="0.2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</row>
    <row r="226" spans="1:49" ht="15" x14ac:dyDescent="0.2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</row>
    <row r="227" spans="1:49" ht="15" x14ac:dyDescent="0.2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</row>
    <row r="228" spans="1:49" ht="15" x14ac:dyDescent="0.2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</row>
    <row r="229" spans="1:49" ht="15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</row>
    <row r="230" spans="1:49" ht="15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</row>
    <row r="231" spans="1:49" ht="15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</row>
    <row r="232" spans="1:49" ht="15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</row>
    <row r="233" spans="1:49" ht="15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</row>
    <row r="234" spans="1:49" ht="15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</row>
    <row r="235" spans="1:49" ht="15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</row>
    <row r="236" spans="1:49" ht="15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</row>
    <row r="237" spans="1:49" ht="15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</row>
    <row r="238" spans="1:49" ht="15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</row>
    <row r="239" spans="1:49" ht="15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</row>
    <row r="240" spans="1:49" ht="15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</row>
    <row r="241" spans="1:49" ht="15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</row>
    <row r="242" spans="1:49" ht="15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</row>
    <row r="243" spans="1:49" ht="15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</row>
    <row r="244" spans="1:49" ht="15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</row>
    <row r="245" spans="1:49" ht="15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</row>
    <row r="246" spans="1:49" ht="15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</row>
    <row r="247" spans="1:49" ht="15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</row>
    <row r="248" spans="1:49" ht="15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</row>
    <row r="249" spans="1:49" ht="15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</row>
    <row r="250" spans="1:49" ht="15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</row>
    <row r="251" spans="1:49" ht="15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</row>
    <row r="252" spans="1:49" ht="15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</row>
    <row r="253" spans="1:49" ht="15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</row>
    <row r="254" spans="1:49" ht="15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</row>
    <row r="255" spans="1:49" ht="15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</row>
    <row r="256" spans="1:49" ht="15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</row>
    <row r="257" spans="1:49" ht="15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</row>
    <row r="258" spans="1:49" ht="15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</row>
    <row r="259" spans="1:49" ht="15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</row>
    <row r="260" spans="1:49" ht="15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</row>
    <row r="261" spans="1:49" ht="15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</row>
    <row r="262" spans="1:49" ht="15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</row>
    <row r="263" spans="1:49" ht="15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</row>
    <row r="264" spans="1:49" ht="15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</row>
    <row r="265" spans="1:49" ht="15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</row>
    <row r="266" spans="1:49" ht="15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</row>
    <row r="267" spans="1:49" ht="15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</row>
    <row r="268" spans="1:49" ht="15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</row>
    <row r="269" spans="1:49" ht="15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</row>
    <row r="270" spans="1:49" ht="15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</row>
    <row r="271" spans="1:49" ht="15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</row>
    <row r="272" spans="1:49" ht="15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</row>
    <row r="273" spans="1:49" ht="15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</row>
    <row r="274" spans="1:49" ht="15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</row>
    <row r="275" spans="1:49" ht="15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</row>
    <row r="276" spans="1:49" ht="15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</row>
    <row r="277" spans="1:49" ht="15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</row>
    <row r="278" spans="1:49" ht="15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</row>
    <row r="279" spans="1:49" ht="15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</row>
    <row r="280" spans="1:49" ht="15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</row>
    <row r="281" spans="1:49" ht="15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</row>
    <row r="282" spans="1:49" ht="15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</row>
    <row r="283" spans="1:49" ht="15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</row>
    <row r="284" spans="1:49" ht="15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</row>
    <row r="285" spans="1:49" ht="15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</row>
    <row r="286" spans="1:49" ht="15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</row>
    <row r="287" spans="1:49" ht="15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</row>
    <row r="288" spans="1:49" ht="15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</row>
    <row r="289" spans="1:49" ht="15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</row>
    <row r="290" spans="1:49" ht="15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</row>
    <row r="291" spans="1:49" ht="15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</row>
    <row r="292" spans="1:49" ht="15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</row>
    <row r="293" spans="1:49" ht="15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</row>
    <row r="294" spans="1:49" ht="15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</row>
    <row r="295" spans="1:49" ht="15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</row>
    <row r="296" spans="1:49" ht="15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</row>
    <row r="297" spans="1:49" ht="15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</row>
    <row r="298" spans="1:49" ht="15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</row>
    <row r="299" spans="1:49" ht="15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</row>
    <row r="300" spans="1:49" ht="15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</row>
    <row r="301" spans="1:49" ht="15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</row>
    <row r="302" spans="1:49" ht="15" x14ac:dyDescent="0.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</row>
    <row r="303" spans="1:49" ht="15" x14ac:dyDescent="0.2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</row>
    <row r="304" spans="1:49" ht="15" x14ac:dyDescent="0.2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</row>
    <row r="305" spans="1:49" ht="15" x14ac:dyDescent="0.2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</row>
    <row r="306" spans="1:49" ht="15" x14ac:dyDescent="0.2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</row>
    <row r="307" spans="1:49" ht="15" x14ac:dyDescent="0.2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</row>
    <row r="308" spans="1:49" ht="15" x14ac:dyDescent="0.2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</row>
    <row r="309" spans="1:49" ht="15" x14ac:dyDescent="0.2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</row>
    <row r="310" spans="1:49" ht="15" x14ac:dyDescent="0.2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</row>
    <row r="311" spans="1:49" ht="15" x14ac:dyDescent="0.2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</row>
    <row r="312" spans="1:49" ht="15" x14ac:dyDescent="0.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</row>
    <row r="313" spans="1:49" ht="15" x14ac:dyDescent="0.2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</row>
    <row r="314" spans="1:49" ht="15" x14ac:dyDescent="0.2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</row>
    <row r="315" spans="1:49" ht="15" x14ac:dyDescent="0.2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</row>
    <row r="316" spans="1:49" ht="15" x14ac:dyDescent="0.2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</row>
    <row r="317" spans="1:49" ht="15" x14ac:dyDescent="0.2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</row>
    <row r="318" spans="1:49" ht="15" x14ac:dyDescent="0.2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</row>
    <row r="319" spans="1:49" ht="15" x14ac:dyDescent="0.2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</row>
    <row r="320" spans="1:49" ht="15" x14ac:dyDescent="0.2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</row>
    <row r="321" spans="1:49" ht="15" x14ac:dyDescent="0.2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</row>
    <row r="322" spans="1:49" ht="15" x14ac:dyDescent="0.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</row>
    <row r="323" spans="1:49" ht="15" x14ac:dyDescent="0.2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</row>
    <row r="324" spans="1:49" ht="15" x14ac:dyDescent="0.2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</row>
    <row r="325" spans="1:49" ht="15" x14ac:dyDescent="0.2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</row>
    <row r="326" spans="1:49" ht="15" x14ac:dyDescent="0.2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</row>
    <row r="327" spans="1:49" ht="15" x14ac:dyDescent="0.2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</row>
    <row r="328" spans="1:49" ht="15" x14ac:dyDescent="0.2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</row>
    <row r="329" spans="1:49" ht="15" x14ac:dyDescent="0.2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</row>
    <row r="330" spans="1:49" ht="15" x14ac:dyDescent="0.2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</row>
    <row r="331" spans="1:49" ht="15" x14ac:dyDescent="0.2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</row>
    <row r="332" spans="1:49" ht="15" x14ac:dyDescent="0.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</row>
    <row r="333" spans="1:49" ht="15" x14ac:dyDescent="0.2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</row>
    <row r="334" spans="1:49" ht="15" x14ac:dyDescent="0.2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</row>
    <row r="335" spans="1:49" ht="15" x14ac:dyDescent="0.2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</row>
    <row r="336" spans="1:49" ht="15" x14ac:dyDescent="0.2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</row>
    <row r="337" spans="1:49" ht="15" x14ac:dyDescent="0.2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</row>
    <row r="338" spans="1:49" ht="15" x14ac:dyDescent="0.2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</row>
    <row r="339" spans="1:49" ht="15" x14ac:dyDescent="0.2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</row>
    <row r="340" spans="1:49" ht="15" x14ac:dyDescent="0.2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</row>
    <row r="341" spans="1:49" ht="15" x14ac:dyDescent="0.2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</row>
    <row r="342" spans="1:49" ht="15" x14ac:dyDescent="0.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</row>
    <row r="343" spans="1:49" ht="15" x14ac:dyDescent="0.2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</row>
    <row r="344" spans="1:49" ht="15" x14ac:dyDescent="0.2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</row>
    <row r="345" spans="1:49" ht="15" x14ac:dyDescent="0.2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</row>
    <row r="346" spans="1:49" ht="15" x14ac:dyDescent="0.2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</row>
    <row r="347" spans="1:49" ht="15" x14ac:dyDescent="0.2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</row>
    <row r="348" spans="1:49" ht="15" x14ac:dyDescent="0.2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</row>
    <row r="349" spans="1:49" ht="15" x14ac:dyDescent="0.2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</row>
    <row r="350" spans="1:49" ht="15" x14ac:dyDescent="0.2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</row>
    <row r="351" spans="1:49" ht="15" x14ac:dyDescent="0.2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</row>
    <row r="352" spans="1:49" ht="15" x14ac:dyDescent="0.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</row>
    <row r="353" spans="1:49" ht="15" x14ac:dyDescent="0.2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</row>
    <row r="354" spans="1:49" ht="15" x14ac:dyDescent="0.2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</row>
    <row r="355" spans="1:49" ht="15" x14ac:dyDescent="0.2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</row>
    <row r="356" spans="1:49" ht="15" x14ac:dyDescent="0.2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</row>
    <row r="357" spans="1:49" ht="15" x14ac:dyDescent="0.2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</row>
    <row r="358" spans="1:49" ht="15" x14ac:dyDescent="0.2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</row>
    <row r="359" spans="1:49" ht="15" x14ac:dyDescent="0.2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</row>
    <row r="360" spans="1:49" ht="15" x14ac:dyDescent="0.2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</row>
    <row r="361" spans="1:49" ht="15" x14ac:dyDescent="0.2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</row>
    <row r="362" spans="1:49" ht="15" x14ac:dyDescent="0.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</row>
    <row r="363" spans="1:49" ht="15" x14ac:dyDescent="0.2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</row>
    <row r="364" spans="1:49" ht="15" x14ac:dyDescent="0.2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</row>
    <row r="365" spans="1:49" ht="15" x14ac:dyDescent="0.2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</row>
    <row r="366" spans="1:49" ht="15" x14ac:dyDescent="0.2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</row>
    <row r="367" spans="1:49" ht="15" x14ac:dyDescent="0.2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</row>
    <row r="368" spans="1:49" ht="15" x14ac:dyDescent="0.2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</row>
    <row r="369" spans="1:49" ht="15" x14ac:dyDescent="0.2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</row>
    <row r="370" spans="1:49" ht="15" x14ac:dyDescent="0.2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</row>
    <row r="371" spans="1:49" ht="15" x14ac:dyDescent="0.2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</row>
    <row r="372" spans="1:49" ht="15" x14ac:dyDescent="0.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</row>
    <row r="373" spans="1:49" ht="15" x14ac:dyDescent="0.2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</row>
    <row r="374" spans="1:49" ht="15" x14ac:dyDescent="0.2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</row>
    <row r="375" spans="1:49" ht="15" x14ac:dyDescent="0.2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</row>
    <row r="376" spans="1:49" ht="15" x14ac:dyDescent="0.2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</row>
    <row r="377" spans="1:49" ht="15" x14ac:dyDescent="0.2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</row>
    <row r="378" spans="1:49" ht="15" x14ac:dyDescent="0.2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</row>
    <row r="379" spans="1:49" ht="15" x14ac:dyDescent="0.2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</row>
    <row r="380" spans="1:49" ht="15" x14ac:dyDescent="0.2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</row>
    <row r="381" spans="1:49" ht="15" x14ac:dyDescent="0.2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</row>
    <row r="382" spans="1:49" ht="15" x14ac:dyDescent="0.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</row>
    <row r="383" spans="1:49" ht="15" x14ac:dyDescent="0.2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</row>
    <row r="384" spans="1:49" ht="15" x14ac:dyDescent="0.2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</row>
    <row r="385" spans="1:49" ht="15" x14ac:dyDescent="0.2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</row>
    <row r="386" spans="1:49" ht="15" x14ac:dyDescent="0.2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</row>
    <row r="387" spans="1:49" ht="15" x14ac:dyDescent="0.2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</row>
    <row r="388" spans="1:49" ht="15" x14ac:dyDescent="0.2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</row>
    <row r="389" spans="1:49" ht="15" x14ac:dyDescent="0.2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</row>
    <row r="390" spans="1:49" ht="15" x14ac:dyDescent="0.2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</row>
    <row r="391" spans="1:49" ht="15" x14ac:dyDescent="0.2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</row>
    <row r="392" spans="1:49" ht="15" x14ac:dyDescent="0.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</row>
    <row r="393" spans="1:49" ht="15" x14ac:dyDescent="0.2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</row>
    <row r="394" spans="1:49" ht="15" x14ac:dyDescent="0.2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</row>
    <row r="395" spans="1:49" ht="15" x14ac:dyDescent="0.2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</row>
    <row r="396" spans="1:49" ht="15" x14ac:dyDescent="0.2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</row>
    <row r="397" spans="1:49" ht="15" x14ac:dyDescent="0.2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</row>
    <row r="398" spans="1:49" ht="15" x14ac:dyDescent="0.2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</row>
    <row r="399" spans="1:49" ht="15" x14ac:dyDescent="0.2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</row>
    <row r="400" spans="1:49" ht="15" x14ac:dyDescent="0.2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</row>
    <row r="401" spans="1:49" ht="15" x14ac:dyDescent="0.2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</row>
    <row r="402" spans="1:49" ht="15" x14ac:dyDescent="0.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</row>
    <row r="403" spans="1:49" ht="15" x14ac:dyDescent="0.2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</row>
    <row r="404" spans="1:49" ht="15" x14ac:dyDescent="0.2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</row>
    <row r="405" spans="1:49" ht="15" x14ac:dyDescent="0.2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</row>
    <row r="406" spans="1:49" ht="15" x14ac:dyDescent="0.2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</row>
    <row r="407" spans="1:49" ht="15" x14ac:dyDescent="0.2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</row>
    <row r="408" spans="1:49" ht="15" x14ac:dyDescent="0.2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</row>
    <row r="409" spans="1:49" ht="15" x14ac:dyDescent="0.2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</row>
    <row r="410" spans="1:49" ht="15" x14ac:dyDescent="0.2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</row>
    <row r="411" spans="1:49" ht="15" x14ac:dyDescent="0.2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</row>
    <row r="412" spans="1:49" ht="15" x14ac:dyDescent="0.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</row>
    <row r="413" spans="1:49" ht="15" x14ac:dyDescent="0.2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</row>
    <row r="414" spans="1:49" ht="15" x14ac:dyDescent="0.2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</row>
    <row r="415" spans="1:49" ht="15" x14ac:dyDescent="0.2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</row>
    <row r="416" spans="1:49" ht="15" x14ac:dyDescent="0.2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</row>
    <row r="417" spans="1:49" ht="15" x14ac:dyDescent="0.2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</row>
    <row r="418" spans="1:49" ht="15" x14ac:dyDescent="0.2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</row>
    <row r="419" spans="1:49" ht="15" x14ac:dyDescent="0.2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</row>
    <row r="420" spans="1:49" ht="15" x14ac:dyDescent="0.2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</row>
    <row r="421" spans="1:49" ht="15" x14ac:dyDescent="0.2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</row>
    <row r="422" spans="1:49" ht="15" x14ac:dyDescent="0.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</row>
    <row r="423" spans="1:49" ht="15" x14ac:dyDescent="0.2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</row>
    <row r="424" spans="1:49" ht="15" x14ac:dyDescent="0.2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</row>
    <row r="425" spans="1:49" ht="15" x14ac:dyDescent="0.2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</row>
    <row r="426" spans="1:49" ht="15" x14ac:dyDescent="0.2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</row>
    <row r="427" spans="1:49" ht="15" x14ac:dyDescent="0.2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</row>
    <row r="428" spans="1:49" ht="15" x14ac:dyDescent="0.2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</row>
    <row r="429" spans="1:49" ht="15" x14ac:dyDescent="0.2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</row>
    <row r="430" spans="1:49" ht="15" x14ac:dyDescent="0.2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</row>
    <row r="431" spans="1:49" ht="15" x14ac:dyDescent="0.2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</row>
    <row r="432" spans="1:49" ht="15" x14ac:dyDescent="0.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</row>
    <row r="433" spans="1:49" ht="15" x14ac:dyDescent="0.2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</row>
    <row r="434" spans="1:49" ht="15" x14ac:dyDescent="0.2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</row>
    <row r="435" spans="1:49" ht="15" x14ac:dyDescent="0.2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</row>
    <row r="436" spans="1:49" ht="15" x14ac:dyDescent="0.2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</row>
    <row r="437" spans="1:49" ht="15" x14ac:dyDescent="0.2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</row>
    <row r="438" spans="1:49" ht="15" x14ac:dyDescent="0.2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</row>
    <row r="439" spans="1:49" ht="15" x14ac:dyDescent="0.2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</row>
    <row r="440" spans="1:49" ht="15" x14ac:dyDescent="0.2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</row>
    <row r="441" spans="1:49" ht="15" x14ac:dyDescent="0.2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</row>
    <row r="442" spans="1:49" ht="15" x14ac:dyDescent="0.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</row>
    <row r="443" spans="1:49" ht="15" x14ac:dyDescent="0.2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</row>
    <row r="444" spans="1:49" ht="15" x14ac:dyDescent="0.2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</row>
    <row r="445" spans="1:49" ht="15" x14ac:dyDescent="0.2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</row>
    <row r="446" spans="1:49" ht="15" x14ac:dyDescent="0.2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</row>
    <row r="447" spans="1:49" ht="15" x14ac:dyDescent="0.2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</row>
    <row r="448" spans="1:49" ht="15" x14ac:dyDescent="0.2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</row>
    <row r="449" spans="1:49" ht="15" x14ac:dyDescent="0.2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</row>
    <row r="450" spans="1:49" ht="15" x14ac:dyDescent="0.2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</row>
    <row r="451" spans="1:49" ht="15" x14ac:dyDescent="0.2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</row>
    <row r="452" spans="1:49" ht="15" x14ac:dyDescent="0.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</row>
    <row r="453" spans="1:49" ht="15" x14ac:dyDescent="0.2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</row>
    <row r="454" spans="1:49" ht="15" x14ac:dyDescent="0.2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</row>
    <row r="455" spans="1:49" ht="15" x14ac:dyDescent="0.2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</row>
    <row r="456" spans="1:49" ht="15" x14ac:dyDescent="0.2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</row>
    <row r="457" spans="1:49" ht="15" x14ac:dyDescent="0.2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</row>
    <row r="458" spans="1:49" ht="15" x14ac:dyDescent="0.2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</row>
    <row r="459" spans="1:49" ht="15" x14ac:dyDescent="0.2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</row>
    <row r="460" spans="1:49" ht="15" x14ac:dyDescent="0.2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</row>
    <row r="461" spans="1:49" ht="15" x14ac:dyDescent="0.2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</row>
    <row r="462" spans="1:49" ht="15" x14ac:dyDescent="0.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</row>
    <row r="463" spans="1:49" ht="15" x14ac:dyDescent="0.2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</row>
    <row r="464" spans="1:49" ht="15" x14ac:dyDescent="0.2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</row>
    <row r="465" spans="1:49" ht="15" x14ac:dyDescent="0.2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</row>
    <row r="466" spans="1:49" ht="15" x14ac:dyDescent="0.2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</row>
    <row r="467" spans="1:49" ht="15" x14ac:dyDescent="0.2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</row>
    <row r="468" spans="1:49" ht="15" x14ac:dyDescent="0.2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</row>
    <row r="469" spans="1:49" ht="15" x14ac:dyDescent="0.2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</row>
    <row r="470" spans="1:49" ht="15" x14ac:dyDescent="0.2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</row>
    <row r="471" spans="1:49" ht="15" x14ac:dyDescent="0.2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</row>
    <row r="472" spans="1:49" ht="15" x14ac:dyDescent="0.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</row>
    <row r="473" spans="1:49" ht="15" x14ac:dyDescent="0.2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</row>
    <row r="474" spans="1:49" ht="15" x14ac:dyDescent="0.2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</row>
    <row r="475" spans="1:49" ht="15" x14ac:dyDescent="0.2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</row>
    <row r="476" spans="1:49" ht="15" x14ac:dyDescent="0.2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</row>
    <row r="477" spans="1:49" ht="15" x14ac:dyDescent="0.2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</row>
    <row r="478" spans="1:49" ht="15" x14ac:dyDescent="0.2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</row>
    <row r="479" spans="1:49" ht="15" x14ac:dyDescent="0.2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</row>
    <row r="480" spans="1:49" ht="15" x14ac:dyDescent="0.2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</row>
    <row r="481" spans="1:49" ht="15" x14ac:dyDescent="0.2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</row>
    <row r="482" spans="1:49" ht="15" x14ac:dyDescent="0.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</row>
    <row r="483" spans="1:49" ht="15" x14ac:dyDescent="0.2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</row>
    <row r="484" spans="1:49" ht="15" x14ac:dyDescent="0.2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</row>
    <row r="485" spans="1:49" ht="15" x14ac:dyDescent="0.2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</row>
    <row r="486" spans="1:49" ht="15" x14ac:dyDescent="0.2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</row>
    <row r="487" spans="1:49" ht="15" x14ac:dyDescent="0.2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</row>
    <row r="488" spans="1:49" ht="15" x14ac:dyDescent="0.2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</row>
    <row r="489" spans="1:49" ht="15" x14ac:dyDescent="0.2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</row>
    <row r="490" spans="1:49" ht="15" x14ac:dyDescent="0.2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</row>
    <row r="491" spans="1:49" ht="15" x14ac:dyDescent="0.2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</row>
    <row r="492" spans="1:49" ht="15" x14ac:dyDescent="0.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</row>
    <row r="493" spans="1:49" ht="15" x14ac:dyDescent="0.2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</row>
    <row r="494" spans="1:49" ht="15" x14ac:dyDescent="0.2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</row>
    <row r="495" spans="1:49" ht="15" x14ac:dyDescent="0.2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</row>
    <row r="496" spans="1:49" ht="15" x14ac:dyDescent="0.2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</row>
    <row r="497" spans="1:49" ht="15" x14ac:dyDescent="0.2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</row>
    <row r="498" spans="1:49" ht="15" x14ac:dyDescent="0.2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</row>
    <row r="499" spans="1:49" ht="15" x14ac:dyDescent="0.2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</row>
    <row r="500" spans="1:49" ht="15" x14ac:dyDescent="0.2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</row>
    <row r="501" spans="1:49" ht="15" x14ac:dyDescent="0.2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</row>
    <row r="502" spans="1:49" ht="15" x14ac:dyDescent="0.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</row>
    <row r="503" spans="1:49" ht="15" x14ac:dyDescent="0.2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</row>
    <row r="504" spans="1:49" ht="15" x14ac:dyDescent="0.2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</row>
    <row r="505" spans="1:49" ht="15" x14ac:dyDescent="0.2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</row>
    <row r="506" spans="1:49" ht="15" x14ac:dyDescent="0.2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</row>
    <row r="507" spans="1:49" ht="15" x14ac:dyDescent="0.2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</row>
    <row r="508" spans="1:49" ht="15" x14ac:dyDescent="0.2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</row>
    <row r="509" spans="1:49" ht="15" x14ac:dyDescent="0.2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</row>
    <row r="510" spans="1:49" ht="15" x14ac:dyDescent="0.2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</row>
    <row r="511" spans="1:49" ht="15" x14ac:dyDescent="0.2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</row>
    <row r="512" spans="1:49" ht="15" x14ac:dyDescent="0.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</row>
    <row r="513" spans="1:49" ht="15" x14ac:dyDescent="0.2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</row>
    <row r="514" spans="1:49" ht="15" x14ac:dyDescent="0.2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</row>
    <row r="515" spans="1:49" ht="15" x14ac:dyDescent="0.2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</row>
    <row r="516" spans="1:49" ht="15" x14ac:dyDescent="0.2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</row>
    <row r="517" spans="1:49" ht="15" x14ac:dyDescent="0.2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</row>
    <row r="518" spans="1:49" ht="15" x14ac:dyDescent="0.2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</row>
    <row r="519" spans="1:49" ht="15" x14ac:dyDescent="0.2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</row>
    <row r="520" spans="1:49" ht="15" x14ac:dyDescent="0.2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</row>
    <row r="521" spans="1:49" ht="15" x14ac:dyDescent="0.2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</row>
    <row r="522" spans="1:49" ht="15" x14ac:dyDescent="0.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</row>
    <row r="523" spans="1:49" ht="15" x14ac:dyDescent="0.2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</row>
    <row r="524" spans="1:49" ht="15" x14ac:dyDescent="0.2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</row>
    <row r="525" spans="1:49" ht="15" x14ac:dyDescent="0.2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</row>
    <row r="526" spans="1:49" ht="15" x14ac:dyDescent="0.2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</row>
    <row r="527" spans="1:49" ht="15" x14ac:dyDescent="0.2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</row>
    <row r="528" spans="1:49" ht="15" x14ac:dyDescent="0.2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</row>
    <row r="529" spans="1:49" ht="15" x14ac:dyDescent="0.2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</row>
    <row r="530" spans="1:49" ht="15" x14ac:dyDescent="0.2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</row>
    <row r="531" spans="1:49" ht="15" x14ac:dyDescent="0.2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</row>
    <row r="532" spans="1:49" ht="15" x14ac:dyDescent="0.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</row>
    <row r="533" spans="1:49" ht="15" x14ac:dyDescent="0.2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</row>
    <row r="534" spans="1:49" ht="15" x14ac:dyDescent="0.2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</row>
    <row r="535" spans="1:49" ht="15" x14ac:dyDescent="0.2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</row>
    <row r="536" spans="1:49" ht="15" x14ac:dyDescent="0.2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</row>
    <row r="537" spans="1:49" ht="15" x14ac:dyDescent="0.2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</row>
    <row r="538" spans="1:49" ht="15" x14ac:dyDescent="0.2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</row>
    <row r="539" spans="1:49" ht="15" x14ac:dyDescent="0.2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</row>
    <row r="540" spans="1:49" ht="15" x14ac:dyDescent="0.2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</row>
    <row r="541" spans="1:49" ht="15" x14ac:dyDescent="0.2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</row>
    <row r="542" spans="1:49" ht="15" x14ac:dyDescent="0.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</row>
    <row r="543" spans="1:49" ht="15" x14ac:dyDescent="0.2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</row>
    <row r="544" spans="1:49" ht="15" x14ac:dyDescent="0.2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</row>
    <row r="545" spans="1:49" ht="15" x14ac:dyDescent="0.2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</row>
    <row r="546" spans="1:49" ht="15" x14ac:dyDescent="0.2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</row>
    <row r="547" spans="1:49" ht="15" x14ac:dyDescent="0.2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</row>
    <row r="548" spans="1:49" ht="15" x14ac:dyDescent="0.2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</row>
    <row r="549" spans="1:49" ht="15" x14ac:dyDescent="0.2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</row>
    <row r="550" spans="1:49" ht="15" x14ac:dyDescent="0.2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</row>
    <row r="551" spans="1:49" ht="15" x14ac:dyDescent="0.2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</row>
    <row r="552" spans="1:49" ht="15" x14ac:dyDescent="0.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</row>
    <row r="553" spans="1:49" ht="15" x14ac:dyDescent="0.2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</row>
    <row r="554" spans="1:49" ht="15" x14ac:dyDescent="0.2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</row>
    <row r="555" spans="1:49" ht="15" x14ac:dyDescent="0.2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</row>
    <row r="556" spans="1:49" ht="15" x14ac:dyDescent="0.2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</row>
    <row r="557" spans="1:49" ht="15" x14ac:dyDescent="0.2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</row>
    <row r="558" spans="1:49" ht="15" x14ac:dyDescent="0.2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</row>
    <row r="559" spans="1:49" ht="15" x14ac:dyDescent="0.2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</row>
    <row r="560" spans="1:49" ht="15" x14ac:dyDescent="0.2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</row>
    <row r="561" spans="1:49" ht="15" x14ac:dyDescent="0.2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</row>
    <row r="562" spans="1:49" ht="15" x14ac:dyDescent="0.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</row>
    <row r="563" spans="1:49" ht="15" x14ac:dyDescent="0.2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</row>
    <row r="564" spans="1:49" ht="15" x14ac:dyDescent="0.2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</row>
    <row r="565" spans="1:49" ht="15" x14ac:dyDescent="0.2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</row>
    <row r="566" spans="1:49" ht="15" x14ac:dyDescent="0.2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</row>
    <row r="567" spans="1:49" ht="15" x14ac:dyDescent="0.2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</row>
    <row r="568" spans="1:49" ht="15" x14ac:dyDescent="0.2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</row>
    <row r="569" spans="1:49" ht="15" x14ac:dyDescent="0.2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</row>
    <row r="570" spans="1:49" ht="15" x14ac:dyDescent="0.2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</row>
    <row r="571" spans="1:49" ht="15" x14ac:dyDescent="0.2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</row>
    <row r="572" spans="1:49" ht="15" x14ac:dyDescent="0.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</row>
    <row r="573" spans="1:49" ht="15" x14ac:dyDescent="0.2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</row>
    <row r="574" spans="1:49" ht="15" x14ac:dyDescent="0.2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</row>
    <row r="575" spans="1:49" ht="15" x14ac:dyDescent="0.2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</row>
    <row r="576" spans="1:49" ht="15" x14ac:dyDescent="0.2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</row>
    <row r="577" spans="1:49" ht="15" x14ac:dyDescent="0.2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</row>
    <row r="578" spans="1:49" ht="15" x14ac:dyDescent="0.2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</row>
    <row r="579" spans="1:49" ht="15" x14ac:dyDescent="0.2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</row>
    <row r="580" spans="1:49" ht="15" x14ac:dyDescent="0.2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</row>
    <row r="581" spans="1:49" ht="15" x14ac:dyDescent="0.2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</row>
    <row r="582" spans="1:49" ht="15" x14ac:dyDescent="0.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</row>
    <row r="583" spans="1:49" ht="15" x14ac:dyDescent="0.2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</row>
    <row r="584" spans="1:49" ht="15" x14ac:dyDescent="0.2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</row>
    <row r="585" spans="1:49" ht="15" x14ac:dyDescent="0.2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</row>
    <row r="586" spans="1:49" ht="15" x14ac:dyDescent="0.2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</row>
    <row r="587" spans="1:49" ht="15" x14ac:dyDescent="0.2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</row>
    <row r="588" spans="1:49" ht="15" x14ac:dyDescent="0.2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</row>
    <row r="589" spans="1:49" ht="15" x14ac:dyDescent="0.2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</row>
    <row r="590" spans="1:49" ht="15" x14ac:dyDescent="0.2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</row>
    <row r="591" spans="1:49" ht="15" x14ac:dyDescent="0.2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</row>
    <row r="592" spans="1:49" ht="15" x14ac:dyDescent="0.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</row>
    <row r="593" spans="1:49" ht="15" x14ac:dyDescent="0.2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</row>
    <row r="594" spans="1:49" ht="15" x14ac:dyDescent="0.2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</row>
    <row r="595" spans="1:49" ht="15" x14ac:dyDescent="0.2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</row>
    <row r="596" spans="1:49" ht="15" x14ac:dyDescent="0.2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</row>
    <row r="597" spans="1:49" ht="15" x14ac:dyDescent="0.2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</row>
    <row r="598" spans="1:49" ht="15" x14ac:dyDescent="0.2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</row>
    <row r="599" spans="1:49" ht="15" x14ac:dyDescent="0.2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</row>
    <row r="600" spans="1:49" ht="15" x14ac:dyDescent="0.2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</row>
    <row r="601" spans="1:49" ht="15" x14ac:dyDescent="0.2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</row>
    <row r="602" spans="1:49" ht="15" x14ac:dyDescent="0.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</row>
    <row r="603" spans="1:49" ht="15" x14ac:dyDescent="0.2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</row>
    <row r="604" spans="1:49" ht="15" x14ac:dyDescent="0.2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</row>
    <row r="605" spans="1:49" ht="15" x14ac:dyDescent="0.2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</row>
    <row r="606" spans="1:49" ht="15" x14ac:dyDescent="0.2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</row>
    <row r="607" spans="1:49" ht="15" x14ac:dyDescent="0.2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</row>
    <row r="608" spans="1:49" ht="15" x14ac:dyDescent="0.2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</row>
    <row r="609" spans="1:49" ht="15" x14ac:dyDescent="0.2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</row>
    <row r="610" spans="1:49" ht="15" x14ac:dyDescent="0.2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</row>
    <row r="611" spans="1:49" ht="15" x14ac:dyDescent="0.2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</row>
    <row r="612" spans="1:49" ht="15" x14ac:dyDescent="0.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</row>
    <row r="613" spans="1:49" ht="15" x14ac:dyDescent="0.2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</row>
    <row r="614" spans="1:49" ht="15" x14ac:dyDescent="0.2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</row>
    <row r="615" spans="1:49" ht="15" x14ac:dyDescent="0.2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</row>
    <row r="616" spans="1:49" ht="15" x14ac:dyDescent="0.2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</row>
    <row r="617" spans="1:49" ht="15" x14ac:dyDescent="0.2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</row>
    <row r="618" spans="1:49" ht="15" x14ac:dyDescent="0.2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</row>
    <row r="619" spans="1:49" ht="15" x14ac:dyDescent="0.2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</row>
    <row r="620" spans="1:49" ht="15" x14ac:dyDescent="0.2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</row>
    <row r="621" spans="1:49" ht="15" x14ac:dyDescent="0.2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</row>
    <row r="622" spans="1:49" ht="15" x14ac:dyDescent="0.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</row>
    <row r="623" spans="1:49" ht="15" x14ac:dyDescent="0.2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</row>
    <row r="624" spans="1:49" ht="15" x14ac:dyDescent="0.2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</row>
    <row r="625" spans="1:49" ht="15" x14ac:dyDescent="0.2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</row>
    <row r="626" spans="1:49" ht="15" x14ac:dyDescent="0.2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</row>
    <row r="627" spans="1:49" ht="15" x14ac:dyDescent="0.2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</row>
    <row r="628" spans="1:49" ht="15" x14ac:dyDescent="0.2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</row>
    <row r="629" spans="1:49" ht="15" x14ac:dyDescent="0.2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</row>
    <row r="630" spans="1:49" ht="15" x14ac:dyDescent="0.2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</row>
    <row r="631" spans="1:49" ht="15" x14ac:dyDescent="0.2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</row>
    <row r="632" spans="1:49" ht="15" x14ac:dyDescent="0.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</row>
    <row r="633" spans="1:49" ht="15" x14ac:dyDescent="0.2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</row>
    <row r="634" spans="1:49" ht="15" x14ac:dyDescent="0.2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</row>
    <row r="635" spans="1:49" ht="15" x14ac:dyDescent="0.2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</row>
    <row r="636" spans="1:49" ht="15" x14ac:dyDescent="0.2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</row>
    <row r="637" spans="1:49" ht="15" x14ac:dyDescent="0.2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</row>
    <row r="638" spans="1:49" ht="15" x14ac:dyDescent="0.2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</row>
    <row r="639" spans="1:49" ht="15" x14ac:dyDescent="0.2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</row>
    <row r="640" spans="1:49" ht="15" x14ac:dyDescent="0.2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</row>
    <row r="641" spans="1:49" ht="15" x14ac:dyDescent="0.2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</row>
    <row r="642" spans="1:49" ht="15" x14ac:dyDescent="0.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</row>
    <row r="643" spans="1:49" ht="15" x14ac:dyDescent="0.2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</row>
    <row r="644" spans="1:49" ht="15" x14ac:dyDescent="0.2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</row>
    <row r="645" spans="1:49" ht="15" x14ac:dyDescent="0.2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</row>
    <row r="646" spans="1:49" ht="15" x14ac:dyDescent="0.2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</row>
    <row r="647" spans="1:49" ht="15" x14ac:dyDescent="0.2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</row>
    <row r="648" spans="1:49" ht="15" x14ac:dyDescent="0.2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</row>
    <row r="649" spans="1:49" ht="15" x14ac:dyDescent="0.2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</row>
    <row r="650" spans="1:49" ht="15" x14ac:dyDescent="0.2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</row>
    <row r="651" spans="1:49" ht="15" x14ac:dyDescent="0.2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</row>
    <row r="652" spans="1:49" ht="15" x14ac:dyDescent="0.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</row>
    <row r="653" spans="1:49" ht="15" x14ac:dyDescent="0.2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</row>
    <row r="654" spans="1:49" ht="15" x14ac:dyDescent="0.2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</row>
    <row r="655" spans="1:49" ht="15" x14ac:dyDescent="0.2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</row>
    <row r="656" spans="1:49" ht="15" x14ac:dyDescent="0.2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</row>
    <row r="657" spans="1:49" ht="15" x14ac:dyDescent="0.2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</row>
    <row r="658" spans="1:49" ht="15" x14ac:dyDescent="0.2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</row>
    <row r="659" spans="1:49" ht="15" x14ac:dyDescent="0.2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</row>
    <row r="660" spans="1:49" ht="15" x14ac:dyDescent="0.2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</row>
    <row r="661" spans="1:49" ht="15" x14ac:dyDescent="0.2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</row>
    <row r="662" spans="1:49" ht="15" x14ac:dyDescent="0.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</row>
    <row r="663" spans="1:49" ht="15" x14ac:dyDescent="0.2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</row>
    <row r="664" spans="1:49" ht="15" x14ac:dyDescent="0.2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</row>
    <row r="665" spans="1:49" ht="15" x14ac:dyDescent="0.2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</row>
    <row r="666" spans="1:49" ht="15" x14ac:dyDescent="0.2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</row>
    <row r="667" spans="1:49" ht="15" x14ac:dyDescent="0.2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</row>
    <row r="668" spans="1:49" ht="15" x14ac:dyDescent="0.2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</row>
    <row r="669" spans="1:49" ht="15" x14ac:dyDescent="0.2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</row>
    <row r="670" spans="1:49" ht="15" x14ac:dyDescent="0.2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</row>
    <row r="671" spans="1:49" ht="15" x14ac:dyDescent="0.2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</row>
    <row r="672" spans="1:49" ht="15" x14ac:dyDescent="0.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</row>
    <row r="673" spans="1:49" ht="15" x14ac:dyDescent="0.2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</row>
    <row r="674" spans="1:49" ht="15" x14ac:dyDescent="0.2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</row>
    <row r="675" spans="1:49" ht="15" x14ac:dyDescent="0.2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</row>
    <row r="676" spans="1:49" ht="15" x14ac:dyDescent="0.2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</row>
    <row r="677" spans="1:49" ht="15" x14ac:dyDescent="0.2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</row>
    <row r="678" spans="1:49" ht="15" x14ac:dyDescent="0.2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</row>
    <row r="679" spans="1:49" ht="15" x14ac:dyDescent="0.2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</row>
    <row r="680" spans="1:49" ht="15" x14ac:dyDescent="0.2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</row>
    <row r="681" spans="1:49" ht="15" x14ac:dyDescent="0.2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</row>
    <row r="682" spans="1:49" ht="15" x14ac:dyDescent="0.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</row>
    <row r="683" spans="1:49" ht="15" x14ac:dyDescent="0.2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</row>
    <row r="684" spans="1:49" ht="15" x14ac:dyDescent="0.2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</row>
    <row r="685" spans="1:49" ht="15" x14ac:dyDescent="0.2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</row>
    <row r="686" spans="1:49" ht="15" x14ac:dyDescent="0.2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</row>
    <row r="687" spans="1:49" ht="15" x14ac:dyDescent="0.2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</row>
    <row r="688" spans="1:49" ht="15" x14ac:dyDescent="0.2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</row>
    <row r="689" spans="1:49" ht="15" x14ac:dyDescent="0.2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</row>
    <row r="690" spans="1:49" ht="15" x14ac:dyDescent="0.2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</row>
    <row r="691" spans="1:49" ht="15" x14ac:dyDescent="0.2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</row>
    <row r="692" spans="1:49" ht="15" x14ac:dyDescent="0.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</row>
    <row r="693" spans="1:49" ht="15" x14ac:dyDescent="0.2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</row>
    <row r="694" spans="1:49" ht="15" x14ac:dyDescent="0.2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</row>
    <row r="695" spans="1:49" ht="15" x14ac:dyDescent="0.2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</row>
    <row r="696" spans="1:49" ht="15" x14ac:dyDescent="0.2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</row>
    <row r="697" spans="1:49" ht="15" x14ac:dyDescent="0.2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</row>
    <row r="698" spans="1:49" ht="15" x14ac:dyDescent="0.2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</row>
    <row r="699" spans="1:49" ht="15" x14ac:dyDescent="0.2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</row>
    <row r="700" spans="1:49" ht="15" x14ac:dyDescent="0.2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</row>
    <row r="701" spans="1:49" ht="15" x14ac:dyDescent="0.2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</row>
    <row r="702" spans="1:49" ht="15" x14ac:dyDescent="0.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</row>
    <row r="703" spans="1:49" ht="15" x14ac:dyDescent="0.2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</row>
    <row r="704" spans="1:49" ht="15" x14ac:dyDescent="0.2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</row>
    <row r="705" spans="1:49" ht="15" x14ac:dyDescent="0.2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</row>
    <row r="706" spans="1:49" ht="15" x14ac:dyDescent="0.2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</row>
    <row r="707" spans="1:49" ht="15" x14ac:dyDescent="0.2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</row>
    <row r="708" spans="1:49" ht="15" x14ac:dyDescent="0.2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</row>
    <row r="709" spans="1:49" ht="15" x14ac:dyDescent="0.2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</row>
    <row r="710" spans="1:49" ht="15" x14ac:dyDescent="0.2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</row>
    <row r="711" spans="1:49" ht="15" x14ac:dyDescent="0.2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</row>
    <row r="712" spans="1:49" ht="15" x14ac:dyDescent="0.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</row>
    <row r="713" spans="1:49" ht="15" x14ac:dyDescent="0.2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</row>
    <row r="714" spans="1:49" ht="15" x14ac:dyDescent="0.2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</row>
    <row r="715" spans="1:49" ht="15" x14ac:dyDescent="0.2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</row>
    <row r="716" spans="1:49" ht="15" x14ac:dyDescent="0.2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</row>
    <row r="717" spans="1:49" ht="15" x14ac:dyDescent="0.2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</row>
    <row r="718" spans="1:49" ht="15" x14ac:dyDescent="0.2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</row>
    <row r="719" spans="1:49" ht="15" x14ac:dyDescent="0.2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</row>
    <row r="720" spans="1:49" ht="15" x14ac:dyDescent="0.2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</row>
    <row r="721" spans="1:49" ht="15" x14ac:dyDescent="0.2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</row>
    <row r="722" spans="1:49" ht="15" x14ac:dyDescent="0.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</row>
    <row r="723" spans="1:49" ht="15" x14ac:dyDescent="0.2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</row>
    <row r="724" spans="1:49" ht="15" x14ac:dyDescent="0.2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</row>
    <row r="725" spans="1:49" ht="15" x14ac:dyDescent="0.2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</row>
    <row r="726" spans="1:49" ht="15" x14ac:dyDescent="0.2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</row>
    <row r="727" spans="1:49" ht="15" x14ac:dyDescent="0.2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</row>
    <row r="728" spans="1:49" ht="15" x14ac:dyDescent="0.2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</row>
    <row r="729" spans="1:49" ht="15" x14ac:dyDescent="0.2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</row>
    <row r="730" spans="1:49" ht="15" x14ac:dyDescent="0.2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</row>
    <row r="731" spans="1:49" ht="15" x14ac:dyDescent="0.2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</row>
    <row r="732" spans="1:49" ht="15" x14ac:dyDescent="0.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</row>
    <row r="733" spans="1:49" ht="15" x14ac:dyDescent="0.2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</row>
    <row r="734" spans="1:49" ht="15" x14ac:dyDescent="0.2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</row>
    <row r="735" spans="1:49" ht="15" x14ac:dyDescent="0.2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</row>
    <row r="736" spans="1:49" ht="15" x14ac:dyDescent="0.2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</row>
    <row r="737" spans="1:49" ht="15" x14ac:dyDescent="0.2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</row>
    <row r="738" spans="1:49" ht="15" x14ac:dyDescent="0.2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</row>
    <row r="739" spans="1:49" ht="15" x14ac:dyDescent="0.2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</row>
    <row r="740" spans="1:49" ht="15" x14ac:dyDescent="0.2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</row>
    <row r="741" spans="1:49" ht="15" x14ac:dyDescent="0.2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</row>
    <row r="742" spans="1:49" ht="15" x14ac:dyDescent="0.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</row>
    <row r="743" spans="1:49" ht="15" x14ac:dyDescent="0.2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</row>
    <row r="744" spans="1:49" ht="15" x14ac:dyDescent="0.2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</row>
    <row r="745" spans="1:49" ht="15" x14ac:dyDescent="0.2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</row>
    <row r="746" spans="1:49" ht="15" x14ac:dyDescent="0.2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</row>
    <row r="747" spans="1:49" ht="15" x14ac:dyDescent="0.2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</row>
    <row r="748" spans="1:49" ht="15" x14ac:dyDescent="0.2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</row>
    <row r="749" spans="1:49" ht="15" x14ac:dyDescent="0.2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</row>
    <row r="750" spans="1:49" ht="15" x14ac:dyDescent="0.2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</row>
    <row r="751" spans="1:49" ht="15" x14ac:dyDescent="0.2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</row>
    <row r="752" spans="1:49" ht="15" x14ac:dyDescent="0.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</row>
    <row r="753" spans="1:49" ht="15" x14ac:dyDescent="0.2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</row>
    <row r="754" spans="1:49" ht="15" x14ac:dyDescent="0.2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</row>
    <row r="755" spans="1:49" ht="15" x14ac:dyDescent="0.2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</row>
    <row r="756" spans="1:49" ht="15" x14ac:dyDescent="0.2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</row>
    <row r="757" spans="1:49" ht="15" x14ac:dyDescent="0.2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</row>
    <row r="758" spans="1:49" ht=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</row>
    <row r="759" spans="1:49" ht="15" x14ac:dyDescent="0.2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</row>
    <row r="760" spans="1:49" ht="15" x14ac:dyDescent="0.2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</row>
    <row r="761" spans="1:49" ht="15" x14ac:dyDescent="0.2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</row>
    <row r="762" spans="1:49" ht="15" x14ac:dyDescent="0.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</row>
    <row r="763" spans="1:49" ht="15" x14ac:dyDescent="0.2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</row>
    <row r="764" spans="1:49" ht="15" x14ac:dyDescent="0.2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</row>
    <row r="765" spans="1:49" ht="15" x14ac:dyDescent="0.2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</row>
    <row r="766" spans="1:49" ht="15" x14ac:dyDescent="0.2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</row>
    <row r="767" spans="1:49" ht="15" x14ac:dyDescent="0.2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</row>
    <row r="768" spans="1:49" ht="15" x14ac:dyDescent="0.2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</row>
    <row r="769" spans="1:49" ht="15" x14ac:dyDescent="0.2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</row>
    <row r="770" spans="1:49" ht="15" x14ac:dyDescent="0.2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</row>
    <row r="771" spans="1:49" ht="15" x14ac:dyDescent="0.2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</row>
    <row r="772" spans="1:49" ht="15" x14ac:dyDescent="0.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</row>
    <row r="773" spans="1:49" ht="15" x14ac:dyDescent="0.2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</row>
    <row r="774" spans="1:49" ht="15" x14ac:dyDescent="0.2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</row>
    <row r="775" spans="1:49" ht="15" x14ac:dyDescent="0.2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</row>
    <row r="776" spans="1:49" ht="15" x14ac:dyDescent="0.2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</row>
    <row r="777" spans="1:49" ht="15" x14ac:dyDescent="0.2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</row>
    <row r="778" spans="1:49" ht="15" x14ac:dyDescent="0.2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</row>
    <row r="779" spans="1:49" ht="15" x14ac:dyDescent="0.2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</row>
    <row r="780" spans="1:49" ht="15" x14ac:dyDescent="0.2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</row>
    <row r="781" spans="1:49" ht="15" x14ac:dyDescent="0.2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</row>
    <row r="782" spans="1:49" ht="15" x14ac:dyDescent="0.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</row>
    <row r="783" spans="1:49" ht="15" x14ac:dyDescent="0.2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</row>
    <row r="784" spans="1:49" ht="15" x14ac:dyDescent="0.2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</row>
    <row r="785" spans="1:49" ht="15" x14ac:dyDescent="0.2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</row>
    <row r="786" spans="1:49" ht="15" x14ac:dyDescent="0.2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</row>
    <row r="787" spans="1:49" ht="15" x14ac:dyDescent="0.2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</row>
    <row r="788" spans="1:49" ht="15" x14ac:dyDescent="0.2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</row>
    <row r="789" spans="1:49" ht="15" x14ac:dyDescent="0.2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</row>
    <row r="790" spans="1:49" ht="15" x14ac:dyDescent="0.2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</row>
    <row r="791" spans="1:49" ht="15" x14ac:dyDescent="0.2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</row>
    <row r="792" spans="1:49" ht="15" x14ac:dyDescent="0.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</row>
    <row r="793" spans="1:49" ht="15" x14ac:dyDescent="0.2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</row>
    <row r="794" spans="1:49" ht="15" x14ac:dyDescent="0.2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</row>
    <row r="795" spans="1:49" ht="15" x14ac:dyDescent="0.2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</row>
    <row r="796" spans="1:49" ht="15" x14ac:dyDescent="0.2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</row>
    <row r="797" spans="1:49" ht="15" x14ac:dyDescent="0.2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</row>
    <row r="798" spans="1:49" ht="15" x14ac:dyDescent="0.2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</row>
    <row r="799" spans="1:49" ht="15" x14ac:dyDescent="0.2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</row>
    <row r="800" spans="1:49" ht="15" x14ac:dyDescent="0.2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</row>
    <row r="801" spans="1:49" ht="15" x14ac:dyDescent="0.2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</row>
    <row r="802" spans="1:49" ht="15" x14ac:dyDescent="0.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</row>
    <row r="803" spans="1:49" ht="15" x14ac:dyDescent="0.2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</row>
    <row r="804" spans="1:49" ht="15" x14ac:dyDescent="0.2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</row>
    <row r="805" spans="1:49" ht="15" x14ac:dyDescent="0.2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</row>
    <row r="806" spans="1:49" ht="15" x14ac:dyDescent="0.2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</row>
    <row r="807" spans="1:49" ht="15" x14ac:dyDescent="0.2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</row>
    <row r="808" spans="1:49" ht="15" x14ac:dyDescent="0.2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</row>
    <row r="809" spans="1:49" ht="15" x14ac:dyDescent="0.2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</row>
    <row r="810" spans="1:49" ht="15" x14ac:dyDescent="0.2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</row>
    <row r="811" spans="1:49" ht="15" x14ac:dyDescent="0.2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</row>
    <row r="812" spans="1:49" ht="15" x14ac:dyDescent="0.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</row>
    <row r="813" spans="1:49" ht="15" x14ac:dyDescent="0.2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</row>
    <row r="814" spans="1:49" ht="15" x14ac:dyDescent="0.2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</row>
    <row r="815" spans="1:49" ht="15" x14ac:dyDescent="0.2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</row>
    <row r="816" spans="1:49" ht="15" x14ac:dyDescent="0.2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</row>
    <row r="817" spans="1:49" ht="15" x14ac:dyDescent="0.2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</row>
    <row r="818" spans="1:49" ht="15" x14ac:dyDescent="0.2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</row>
    <row r="819" spans="1:49" ht="15" x14ac:dyDescent="0.2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</row>
    <row r="820" spans="1:49" ht="15" x14ac:dyDescent="0.2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</row>
    <row r="821" spans="1:49" ht="15" x14ac:dyDescent="0.2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</row>
    <row r="822" spans="1:49" ht="15" x14ac:dyDescent="0.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</row>
    <row r="823" spans="1:49" ht="15" x14ac:dyDescent="0.2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</row>
    <row r="824" spans="1:49" ht="15" x14ac:dyDescent="0.2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</row>
    <row r="825" spans="1:49" ht="15" x14ac:dyDescent="0.2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</row>
    <row r="826" spans="1:49" ht="15" x14ac:dyDescent="0.2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</row>
    <row r="827" spans="1:49" ht="15" x14ac:dyDescent="0.2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</row>
    <row r="828" spans="1:49" ht="15" x14ac:dyDescent="0.2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</row>
    <row r="829" spans="1:49" ht="15" x14ac:dyDescent="0.2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</row>
    <row r="830" spans="1:49" ht="15" x14ac:dyDescent="0.2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</row>
    <row r="831" spans="1:49" ht="15" x14ac:dyDescent="0.2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</row>
    <row r="832" spans="1:49" ht="15" x14ac:dyDescent="0.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</row>
    <row r="833" spans="1:49" ht="15" x14ac:dyDescent="0.2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</row>
    <row r="834" spans="1:49" ht="15" x14ac:dyDescent="0.2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</row>
    <row r="835" spans="1:49" ht="15" x14ac:dyDescent="0.2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</row>
    <row r="836" spans="1:49" ht="15" x14ac:dyDescent="0.2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</row>
    <row r="837" spans="1:49" ht="15" x14ac:dyDescent="0.2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</row>
    <row r="838" spans="1:49" ht="15" x14ac:dyDescent="0.2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</row>
    <row r="839" spans="1:49" ht="15" x14ac:dyDescent="0.2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</row>
    <row r="840" spans="1:49" ht="15" x14ac:dyDescent="0.2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</row>
    <row r="841" spans="1:49" ht="15" x14ac:dyDescent="0.2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</row>
    <row r="842" spans="1:49" ht="15" x14ac:dyDescent="0.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</row>
    <row r="843" spans="1:49" ht="15" x14ac:dyDescent="0.2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</row>
    <row r="844" spans="1:49" ht="15" x14ac:dyDescent="0.2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</row>
    <row r="845" spans="1:49" ht="15" x14ac:dyDescent="0.2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</row>
    <row r="846" spans="1:49" ht="15" x14ac:dyDescent="0.2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</row>
    <row r="847" spans="1:49" ht="15" x14ac:dyDescent="0.2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</row>
    <row r="848" spans="1:49" ht="15" x14ac:dyDescent="0.2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</row>
    <row r="849" spans="1:49" ht="15" x14ac:dyDescent="0.2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</row>
    <row r="850" spans="1:49" ht="15" x14ac:dyDescent="0.2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</row>
    <row r="851" spans="1:49" ht="15" x14ac:dyDescent="0.2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</row>
    <row r="852" spans="1:49" ht="15" x14ac:dyDescent="0.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</row>
    <row r="853" spans="1:49" ht="15" x14ac:dyDescent="0.2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</row>
    <row r="854" spans="1:49" ht="15" x14ac:dyDescent="0.2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</row>
    <row r="855" spans="1:49" ht="15" x14ac:dyDescent="0.2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</row>
    <row r="856" spans="1:49" ht="15" x14ac:dyDescent="0.2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</row>
    <row r="857" spans="1:49" ht="15" x14ac:dyDescent="0.2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</row>
    <row r="858" spans="1:49" ht="15" x14ac:dyDescent="0.2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</row>
    <row r="859" spans="1:49" ht="15" x14ac:dyDescent="0.2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</row>
    <row r="860" spans="1:49" ht="15" x14ac:dyDescent="0.2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</row>
    <row r="861" spans="1:49" ht="15" x14ac:dyDescent="0.2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</row>
    <row r="862" spans="1:49" ht="15" x14ac:dyDescent="0.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</row>
    <row r="863" spans="1:49" ht="15" x14ac:dyDescent="0.2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</row>
    <row r="864" spans="1:49" ht="15" x14ac:dyDescent="0.2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</row>
    <row r="865" spans="1:49" ht="15" x14ac:dyDescent="0.2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</row>
    <row r="866" spans="1:49" ht="15" x14ac:dyDescent="0.2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</row>
    <row r="867" spans="1:49" ht="15" x14ac:dyDescent="0.2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</row>
    <row r="868" spans="1:49" ht="15" x14ac:dyDescent="0.2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</row>
    <row r="869" spans="1:49" ht="15" x14ac:dyDescent="0.2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</row>
    <row r="870" spans="1:49" ht="15" x14ac:dyDescent="0.2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</row>
    <row r="871" spans="1:49" ht="15" x14ac:dyDescent="0.2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</row>
    <row r="872" spans="1:49" ht="15" x14ac:dyDescent="0.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</row>
    <row r="873" spans="1:49" ht="15" x14ac:dyDescent="0.2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</row>
    <row r="874" spans="1:49" ht="15" x14ac:dyDescent="0.2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</row>
    <row r="875" spans="1:49" ht="15" x14ac:dyDescent="0.2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</row>
    <row r="876" spans="1:49" ht="15" x14ac:dyDescent="0.2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</row>
    <row r="877" spans="1:49" ht="15" x14ac:dyDescent="0.2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</row>
    <row r="878" spans="1:49" ht="15" x14ac:dyDescent="0.2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</row>
    <row r="879" spans="1:49" ht="15" x14ac:dyDescent="0.2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</row>
    <row r="880" spans="1:49" ht="15" x14ac:dyDescent="0.2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</row>
    <row r="881" spans="1:49" ht="15" x14ac:dyDescent="0.2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</row>
    <row r="882" spans="1:49" ht="15" x14ac:dyDescent="0.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</row>
    <row r="883" spans="1:49" ht="15" x14ac:dyDescent="0.2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</row>
    <row r="884" spans="1:49" ht="15" x14ac:dyDescent="0.2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</row>
    <row r="885" spans="1:49" ht="15" x14ac:dyDescent="0.2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</row>
    <row r="886" spans="1:49" ht="15" x14ac:dyDescent="0.2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</row>
    <row r="887" spans="1:49" ht="15" x14ac:dyDescent="0.2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</row>
    <row r="888" spans="1:49" ht="15" x14ac:dyDescent="0.2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</row>
    <row r="889" spans="1:49" ht="15" x14ac:dyDescent="0.2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</row>
    <row r="890" spans="1:49" ht="15" x14ac:dyDescent="0.2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</row>
    <row r="891" spans="1:49" ht="15" x14ac:dyDescent="0.2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</row>
    <row r="892" spans="1:49" ht="15" x14ac:dyDescent="0.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</row>
    <row r="893" spans="1:49" ht="15" x14ac:dyDescent="0.2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</row>
    <row r="894" spans="1:49" ht="17.25" customHeight="1" x14ac:dyDescent="0.2">
      <c r="A894" s="134"/>
      <c r="B894" s="134" t="s">
        <v>85</v>
      </c>
      <c r="C894" s="39">
        <v>36812</v>
      </c>
      <c r="D894" s="136">
        <v>1.7000000000000001E-2</v>
      </c>
      <c r="E894" s="137">
        <f>D894*C894</f>
        <v>625.80400000000009</v>
      </c>
      <c r="F894" s="41">
        <f>N894*E894</f>
        <v>750.96480000000008</v>
      </c>
      <c r="G894" s="42"/>
      <c r="H894" s="42">
        <f>I894*L894*N894</f>
        <v>720</v>
      </c>
      <c r="I894" s="43">
        <v>3000</v>
      </c>
      <c r="J894" s="44"/>
      <c r="K894" s="44"/>
      <c r="L894" s="44">
        <v>0.2</v>
      </c>
      <c r="M894" s="138"/>
      <c r="N894" s="139">
        <v>1.2</v>
      </c>
      <c r="O894" s="42">
        <f>Y894/E894</f>
        <v>639.17776172731385</v>
      </c>
      <c r="P894" s="67"/>
      <c r="Q894" s="67"/>
      <c r="R894" s="43">
        <v>11</v>
      </c>
      <c r="S894" s="43">
        <f>D894*H894</f>
        <v>12.24</v>
      </c>
      <c r="T894" s="140"/>
      <c r="U894" s="46"/>
      <c r="V894" s="43">
        <f>X894-Y894</f>
        <v>50578.880000000063</v>
      </c>
      <c r="W894" s="43">
        <f>I894*F894</f>
        <v>2252894.4000000004</v>
      </c>
      <c r="X894" s="43">
        <f>H894*E894</f>
        <v>450578.88000000006</v>
      </c>
      <c r="Y894" s="43">
        <v>400000</v>
      </c>
      <c r="Z894" s="49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</row>
    <row r="895" spans="1:49" ht="17.25" customHeight="1" x14ac:dyDescent="0.2">
      <c r="A895" s="141"/>
      <c r="B895" s="141"/>
      <c r="C895" s="137"/>
      <c r="D895" s="142"/>
      <c r="E895" s="137"/>
      <c r="F895" s="137"/>
      <c r="G895" s="42"/>
      <c r="H895" s="42"/>
      <c r="I895" s="43"/>
      <c r="J895" s="138"/>
      <c r="K895" s="138"/>
      <c r="L895" s="138"/>
      <c r="M895" s="138"/>
      <c r="N895" s="143"/>
      <c r="O895" s="67"/>
      <c r="P895" s="67"/>
      <c r="Q895" s="67"/>
      <c r="R895" s="43"/>
      <c r="S895" s="144"/>
      <c r="T895" s="140"/>
      <c r="U895" s="46"/>
      <c r="V895" s="43"/>
      <c r="W895" s="43"/>
      <c r="X895" s="49"/>
      <c r="Y895" s="49"/>
      <c r="Z895" s="49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</row>
    <row r="896" spans="1:49" ht="17.25" hidden="1" customHeight="1" x14ac:dyDescent="0.2">
      <c r="A896" s="205"/>
      <c r="B896" s="205" t="s">
        <v>86</v>
      </c>
      <c r="C896" s="39">
        <f>C894</f>
        <v>36812</v>
      </c>
      <c r="D896" s="136">
        <f>D894+0.5%</f>
        <v>2.2000000000000002E-2</v>
      </c>
      <c r="E896" s="137">
        <f>D896*C896</f>
        <v>809.86400000000003</v>
      </c>
      <c r="F896" s="41">
        <f>E896*N896</f>
        <v>971.83680000000004</v>
      </c>
      <c r="G896" s="42"/>
      <c r="H896" s="42">
        <f>I896*L896*N896</f>
        <v>720</v>
      </c>
      <c r="I896" s="43">
        <v>3000</v>
      </c>
      <c r="J896" s="44"/>
      <c r="K896" s="44"/>
      <c r="L896" s="44">
        <v>0.2</v>
      </c>
      <c r="M896" s="138"/>
      <c r="N896" s="139">
        <f>N894</f>
        <v>1.2</v>
      </c>
      <c r="O896" s="67"/>
      <c r="P896" s="67"/>
      <c r="Q896" s="67"/>
      <c r="R896" s="43">
        <f>Y896/C896</f>
        <v>10.866021949364338</v>
      </c>
      <c r="S896" s="43">
        <f>D896*H896</f>
        <v>15.840000000000002</v>
      </c>
      <c r="T896" s="140"/>
      <c r="U896" s="46"/>
      <c r="V896" s="43">
        <f>X896-Y896</f>
        <v>183102.08000000007</v>
      </c>
      <c r="W896" s="43">
        <f>I896*F896</f>
        <v>2915510.4</v>
      </c>
      <c r="X896" s="43">
        <f>E896*H896</f>
        <v>583102.08000000007</v>
      </c>
      <c r="Y896" s="206">
        <f>Y894</f>
        <v>400000</v>
      </c>
      <c r="Z896" s="49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</row>
    <row r="897" spans="1:49" ht="17.25" hidden="1" customHeight="1" x14ac:dyDescent="0.2">
      <c r="A897" s="141"/>
      <c r="B897" s="141"/>
      <c r="C897" s="135"/>
      <c r="D897" s="136"/>
      <c r="E897" s="137"/>
      <c r="F897" s="137"/>
      <c r="G897" s="42"/>
      <c r="H897" s="42"/>
      <c r="I897" s="43"/>
      <c r="J897" s="43"/>
      <c r="K897" s="43"/>
      <c r="L897" s="43"/>
      <c r="M897" s="138"/>
      <c r="N897" s="143"/>
      <c r="O897" s="67"/>
      <c r="P897" s="67"/>
      <c r="Q897" s="67"/>
      <c r="R897" s="43"/>
      <c r="S897" s="144"/>
      <c r="T897" s="140"/>
      <c r="U897" s="46"/>
      <c r="V897" s="43"/>
      <c r="W897" s="43"/>
      <c r="X897" s="206">
        <f>X896-X894</f>
        <v>132523.20000000001</v>
      </c>
      <c r="Y897" s="49"/>
      <c r="Z897" s="49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</row>
    <row r="898" spans="1:49" ht="17.25" hidden="1" customHeight="1" x14ac:dyDescent="0.2">
      <c r="A898" s="141"/>
      <c r="B898" s="141"/>
      <c r="C898" s="135"/>
      <c r="D898" s="136"/>
      <c r="E898" s="137"/>
      <c r="F898" s="137"/>
      <c r="G898" s="42"/>
      <c r="H898" s="42"/>
      <c r="I898" s="43"/>
      <c r="J898" s="43"/>
      <c r="K898" s="43"/>
      <c r="L898" s="43"/>
      <c r="M898" s="138"/>
      <c r="N898" s="143"/>
      <c r="O898" s="67"/>
      <c r="P898" s="67"/>
      <c r="Q898" s="67"/>
      <c r="R898" s="43"/>
      <c r="S898" s="144"/>
      <c r="T898" s="140"/>
      <c r="U898" s="46"/>
      <c r="V898" s="43"/>
      <c r="W898" s="43"/>
      <c r="X898" s="49"/>
      <c r="Y898" s="49"/>
      <c r="Z898" s="49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</row>
    <row r="899" spans="1:49" ht="17.25" hidden="1" customHeight="1" x14ac:dyDescent="0.2">
      <c r="A899" s="205"/>
      <c r="B899" s="205" t="s">
        <v>87</v>
      </c>
      <c r="C899" s="135">
        <v>36812</v>
      </c>
      <c r="D899" s="136">
        <v>1.7000000000000001E-2</v>
      </c>
      <c r="E899" s="137">
        <f t="shared" ref="E899:E900" si="2">D899*C899</f>
        <v>625.80400000000009</v>
      </c>
      <c r="F899" s="41">
        <v>758</v>
      </c>
      <c r="G899" s="42"/>
      <c r="H899" s="42">
        <f t="shared" ref="H899:H900" si="3">I899*L899*N899</f>
        <v>726.74511508395585</v>
      </c>
      <c r="I899" s="43">
        <v>3000</v>
      </c>
      <c r="J899" s="44"/>
      <c r="K899" s="44"/>
      <c r="L899" s="44">
        <v>0.2</v>
      </c>
      <c r="M899" s="138"/>
      <c r="N899" s="139">
        <f t="shared" ref="N899:N900" si="4">F899/E899</f>
        <v>1.2112418584732598</v>
      </c>
      <c r="O899" s="42">
        <f t="shared" ref="O899:O900" si="5">Y899/E899</f>
        <v>423.52941176470586</v>
      </c>
      <c r="P899" s="67"/>
      <c r="Q899" s="67"/>
      <c r="R899" s="207">
        <v>7.2</v>
      </c>
      <c r="S899" s="43">
        <f t="shared" ref="S899:S900" si="6">D899*H899</f>
        <v>12.35466695642725</v>
      </c>
      <c r="T899" s="140"/>
      <c r="U899" s="46"/>
      <c r="V899" s="43">
        <f t="shared" ref="V899:V900" si="7">X899-Y899</f>
        <v>189753.59999999998</v>
      </c>
      <c r="W899" s="43">
        <f t="shared" ref="W899:W900" si="8">I899*F899</f>
        <v>2274000</v>
      </c>
      <c r="X899" s="43">
        <f t="shared" ref="X899:X900" si="9">E899*H899</f>
        <v>454800</v>
      </c>
      <c r="Y899" s="43">
        <f t="shared" ref="Y899:Y900" si="10">R899*C899</f>
        <v>265046.40000000002</v>
      </c>
      <c r="Z899" s="49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</row>
    <row r="900" spans="1:49" ht="17.25" hidden="1" customHeight="1" x14ac:dyDescent="0.2">
      <c r="A900" s="205"/>
      <c r="B900" s="205" t="s">
        <v>88</v>
      </c>
      <c r="C900" s="135">
        <v>36812</v>
      </c>
      <c r="D900" s="136">
        <v>1.7000000000000001E-2</v>
      </c>
      <c r="E900" s="137">
        <f t="shared" si="2"/>
        <v>625.80400000000009</v>
      </c>
      <c r="F900" s="41">
        <v>758</v>
      </c>
      <c r="G900" s="42"/>
      <c r="H900" s="42">
        <f t="shared" si="3"/>
        <v>1090.1176726259339</v>
      </c>
      <c r="I900" s="43">
        <v>3000</v>
      </c>
      <c r="J900" s="208"/>
      <c r="K900" s="208"/>
      <c r="L900" s="208">
        <v>0.3</v>
      </c>
      <c r="M900" s="138"/>
      <c r="N900" s="139">
        <f t="shared" si="4"/>
        <v>1.2112418584732598</v>
      </c>
      <c r="O900" s="42">
        <f t="shared" si="5"/>
        <v>639.17776172731385</v>
      </c>
      <c r="P900" s="67"/>
      <c r="Q900" s="67"/>
      <c r="R900" s="47">
        <f>R896</f>
        <v>10.866021949364338</v>
      </c>
      <c r="S900" s="43">
        <f t="shared" si="6"/>
        <v>18.532000434640878</v>
      </c>
      <c r="T900" s="140"/>
      <c r="U900" s="46"/>
      <c r="V900" s="43">
        <f t="shared" si="7"/>
        <v>282200</v>
      </c>
      <c r="W900" s="43">
        <f t="shared" si="8"/>
        <v>2274000</v>
      </c>
      <c r="X900" s="43">
        <f t="shared" si="9"/>
        <v>682200</v>
      </c>
      <c r="Y900" s="43">
        <f t="shared" si="10"/>
        <v>400000</v>
      </c>
      <c r="Z900" s="49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</row>
    <row r="901" spans="1:49" ht="17.25" hidden="1" customHeight="1" x14ac:dyDescent="0.2">
      <c r="A901" s="141"/>
      <c r="B901" s="141"/>
      <c r="C901" s="46"/>
      <c r="D901" s="142"/>
      <c r="E901" s="41"/>
      <c r="F901" s="41"/>
      <c r="G901" s="42"/>
      <c r="H901" s="42"/>
      <c r="I901" s="43"/>
      <c r="J901" s="44"/>
      <c r="K901" s="44"/>
      <c r="L901" s="44"/>
      <c r="M901" s="43"/>
      <c r="N901" s="143"/>
      <c r="O901" s="67"/>
      <c r="P901" s="67"/>
      <c r="Q901" s="67"/>
      <c r="R901" s="135"/>
      <c r="S901" s="144"/>
      <c r="T901" s="140"/>
      <c r="U901" s="46"/>
      <c r="V901" s="67"/>
      <c r="W901" s="67"/>
      <c r="X901" s="49"/>
      <c r="Y901" s="49"/>
      <c r="Z901" s="49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</row>
    <row r="902" spans="1:49" ht="17.25" hidden="1" customHeight="1" x14ac:dyDescent="0.2">
      <c r="A902" s="205"/>
      <c r="B902" s="205" t="s">
        <v>89</v>
      </c>
      <c r="C902" s="135">
        <f>C900</f>
        <v>36812</v>
      </c>
      <c r="D902" s="136">
        <v>0.02</v>
      </c>
      <c r="E902" s="137">
        <f>D902*C902</f>
        <v>736.24</v>
      </c>
      <c r="F902" s="41">
        <f>N902*E902</f>
        <v>883.48799999999994</v>
      </c>
      <c r="G902" s="42"/>
      <c r="H902" s="42">
        <f>I902*L902*N902</f>
        <v>1080</v>
      </c>
      <c r="I902" s="43">
        <v>3000</v>
      </c>
      <c r="J902" s="208"/>
      <c r="K902" s="208"/>
      <c r="L902" s="208">
        <v>0.3</v>
      </c>
      <c r="M902" s="138"/>
      <c r="N902" s="139">
        <v>1.2</v>
      </c>
      <c r="O902" s="42">
        <f>Y902/E902</f>
        <v>543.30109746821688</v>
      </c>
      <c r="P902" s="67"/>
      <c r="Q902" s="67"/>
      <c r="R902" s="47">
        <f>Y902/C902</f>
        <v>10.866021949364338</v>
      </c>
      <c r="S902" s="43">
        <f>D902*H902</f>
        <v>21.6</v>
      </c>
      <c r="T902" s="140"/>
      <c r="U902" s="46"/>
      <c r="V902" s="43">
        <f>X902-Y902</f>
        <v>395139.19999999995</v>
      </c>
      <c r="W902" s="43">
        <f>I902*F902</f>
        <v>2650464</v>
      </c>
      <c r="X902" s="43">
        <f>E902*H902</f>
        <v>795139.2</v>
      </c>
      <c r="Y902" s="43">
        <f>Y900</f>
        <v>400000</v>
      </c>
      <c r="Z902" s="49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</row>
    <row r="903" spans="1:49" ht="17.25" hidden="1" customHeight="1" x14ac:dyDescent="0.2">
      <c r="A903" s="209"/>
      <c r="B903" s="209"/>
      <c r="C903" s="46"/>
      <c r="D903" s="142"/>
      <c r="E903" s="137"/>
      <c r="F903" s="137"/>
      <c r="G903" s="42"/>
      <c r="H903" s="42"/>
      <c r="I903" s="43"/>
      <c r="J903" s="138"/>
      <c r="K903" s="138"/>
      <c r="L903" s="138"/>
      <c r="M903" s="138"/>
      <c r="N903" s="143"/>
      <c r="O903" s="67"/>
      <c r="P903" s="67"/>
      <c r="Q903" s="67"/>
      <c r="R903" s="135"/>
      <c r="S903" s="144"/>
      <c r="T903" s="140"/>
      <c r="U903" s="46"/>
      <c r="V903" s="67"/>
      <c r="W903" s="67"/>
      <c r="X903" s="49"/>
      <c r="Y903" s="49"/>
      <c r="Z903" s="49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</row>
    <row r="904" spans="1:49" ht="17.25" hidden="1" customHeight="1" x14ac:dyDescent="0.2">
      <c r="A904" s="210"/>
      <c r="B904" s="210" t="s">
        <v>90</v>
      </c>
      <c r="C904" s="211">
        <v>60000</v>
      </c>
      <c r="D904" s="212">
        <v>0.02</v>
      </c>
      <c r="E904" s="213">
        <f t="shared" ref="E904:E907" si="11">D904*C904</f>
        <v>1200</v>
      </c>
      <c r="F904" s="214">
        <f t="shared" ref="F904:F907" si="12">N904*E904</f>
        <v>1440</v>
      </c>
      <c r="G904" s="215"/>
      <c r="H904" s="215">
        <f t="shared" ref="H904:H907" si="13">I904*L904*N904</f>
        <v>1080</v>
      </c>
      <c r="I904" s="216">
        <v>3000</v>
      </c>
      <c r="J904" s="217"/>
      <c r="K904" s="217"/>
      <c r="L904" s="217">
        <v>0.3</v>
      </c>
      <c r="M904" s="218"/>
      <c r="N904" s="219">
        <v>1.2</v>
      </c>
      <c r="O904" s="215">
        <f t="shared" ref="O904:O907" si="14">Y904/E904</f>
        <v>550</v>
      </c>
      <c r="P904" s="220"/>
      <c r="Q904" s="220"/>
      <c r="R904" s="221">
        <v>11</v>
      </c>
      <c r="S904" s="216">
        <f t="shared" ref="S904:S907" si="15">D904*H904</f>
        <v>21.6</v>
      </c>
      <c r="T904" s="222"/>
      <c r="U904" s="223"/>
      <c r="V904" s="216">
        <f t="shared" ref="V904:V907" si="16">X904-Y904</f>
        <v>636000</v>
      </c>
      <c r="W904" s="216">
        <f t="shared" ref="W904:W907" si="17">I904*F904</f>
        <v>4320000</v>
      </c>
      <c r="X904" s="216">
        <f>E904*H904</f>
        <v>1296000</v>
      </c>
      <c r="Y904" s="216">
        <f>R904*C904</f>
        <v>660000</v>
      </c>
      <c r="Z904" s="224"/>
      <c r="AA904" s="225"/>
      <c r="AB904" s="225"/>
      <c r="AC904" s="225"/>
      <c r="AD904" s="225"/>
      <c r="AE904" s="225"/>
      <c r="AF904" s="225"/>
      <c r="AG904" s="225"/>
      <c r="AH904" s="225"/>
      <c r="AI904" s="225"/>
      <c r="AJ904" s="225"/>
      <c r="AK904" s="225"/>
      <c r="AL904" s="225"/>
      <c r="AM904" s="225"/>
      <c r="AN904" s="225"/>
      <c r="AO904" s="225"/>
      <c r="AP904" s="225"/>
      <c r="AQ904" s="225"/>
      <c r="AR904" s="225"/>
      <c r="AS904" s="225"/>
      <c r="AT904" s="225"/>
      <c r="AU904" s="225"/>
      <c r="AV904" s="225"/>
      <c r="AW904" s="225"/>
    </row>
    <row r="905" spans="1:49" ht="17.25" customHeight="1" x14ac:dyDescent="0.2">
      <c r="A905" s="226"/>
      <c r="B905" s="226" t="s">
        <v>91</v>
      </c>
      <c r="C905" s="39">
        <v>36812</v>
      </c>
      <c r="D905" s="227">
        <f>1.7%+0.5%</f>
        <v>2.2000000000000002E-2</v>
      </c>
      <c r="E905" s="137">
        <f t="shared" si="11"/>
        <v>809.86400000000003</v>
      </c>
      <c r="F905" s="41">
        <f t="shared" si="12"/>
        <v>971.83680000000004</v>
      </c>
      <c r="G905" s="42"/>
      <c r="H905" s="42">
        <f t="shared" si="13"/>
        <v>720</v>
      </c>
      <c r="I905" s="43">
        <v>3000</v>
      </c>
      <c r="J905" s="44"/>
      <c r="K905" s="44"/>
      <c r="L905" s="44">
        <v>0.2</v>
      </c>
      <c r="M905" s="138"/>
      <c r="N905" s="139">
        <f>N894</f>
        <v>1.2</v>
      </c>
      <c r="O905" s="42">
        <f t="shared" si="14"/>
        <v>493.9100886074699</v>
      </c>
      <c r="P905" s="67"/>
      <c r="Q905" s="67"/>
      <c r="R905" s="43">
        <f t="shared" ref="R905:R906" si="18">Y905/C905</f>
        <v>10.866021949364338</v>
      </c>
      <c r="S905" s="43">
        <f t="shared" si="15"/>
        <v>15.840000000000002</v>
      </c>
      <c r="T905" s="140"/>
      <c r="U905" s="46"/>
      <c r="V905" s="43">
        <f t="shared" si="16"/>
        <v>183102.08000000007</v>
      </c>
      <c r="W905" s="43">
        <f t="shared" si="17"/>
        <v>2915510.4</v>
      </c>
      <c r="X905" s="43">
        <f t="shared" ref="X905:X907" si="19">H905*E905</f>
        <v>583102.08000000007</v>
      </c>
      <c r="Y905" s="43">
        <v>400000</v>
      </c>
      <c r="Z905" s="49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</row>
    <row r="906" spans="1:49" ht="17.25" customHeight="1" x14ac:dyDescent="0.2">
      <c r="A906" s="228"/>
      <c r="B906" s="228"/>
      <c r="C906" s="39">
        <v>36812</v>
      </c>
      <c r="D906" s="136">
        <v>1.7000000000000001E-2</v>
      </c>
      <c r="E906" s="137">
        <f t="shared" si="11"/>
        <v>625.80400000000009</v>
      </c>
      <c r="F906" s="41">
        <f t="shared" si="12"/>
        <v>750.96480000000008</v>
      </c>
      <c r="G906" s="42"/>
      <c r="H906" s="42">
        <f t="shared" si="13"/>
        <v>936</v>
      </c>
      <c r="I906" s="229">
        <v>3900</v>
      </c>
      <c r="J906" s="44"/>
      <c r="K906" s="44"/>
      <c r="L906" s="44">
        <v>0.2</v>
      </c>
      <c r="M906" s="138"/>
      <c r="N906" s="139">
        <v>1.2</v>
      </c>
      <c r="O906" s="42">
        <f t="shared" si="14"/>
        <v>639.17776172731385</v>
      </c>
      <c r="P906" s="67"/>
      <c r="Q906" s="67"/>
      <c r="R906" s="43">
        <f t="shared" si="18"/>
        <v>10.866021949364338</v>
      </c>
      <c r="S906" s="43">
        <f t="shared" si="15"/>
        <v>15.912000000000001</v>
      </c>
      <c r="T906" s="140"/>
      <c r="U906" s="46"/>
      <c r="V906" s="43">
        <f t="shared" si="16"/>
        <v>185752.54400000011</v>
      </c>
      <c r="W906" s="43">
        <f t="shared" si="17"/>
        <v>2928762.72</v>
      </c>
      <c r="X906" s="43">
        <f t="shared" si="19"/>
        <v>585752.54400000011</v>
      </c>
      <c r="Y906" s="43">
        <v>400000</v>
      </c>
      <c r="Z906" s="49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</row>
    <row r="907" spans="1:49" ht="17.25" customHeight="1" x14ac:dyDescent="0.2">
      <c r="A907" s="228"/>
      <c r="B907" s="228"/>
      <c r="C907" s="39">
        <v>36812</v>
      </c>
      <c r="D907" s="136">
        <v>1.7000000000000001E-2</v>
      </c>
      <c r="E907" s="137">
        <f t="shared" si="11"/>
        <v>625.80400000000009</v>
      </c>
      <c r="F907" s="41">
        <f t="shared" si="12"/>
        <v>750.96480000000008</v>
      </c>
      <c r="G907" s="42"/>
      <c r="H907" s="42">
        <f t="shared" si="13"/>
        <v>720</v>
      </c>
      <c r="I907" s="43">
        <v>3000</v>
      </c>
      <c r="J907" s="44"/>
      <c r="K907" s="44"/>
      <c r="L907" s="44">
        <v>0.2</v>
      </c>
      <c r="M907" s="138"/>
      <c r="N907" s="139">
        <v>1.2</v>
      </c>
      <c r="O907" s="42">
        <f t="shared" si="14"/>
        <v>411.76470588235287</v>
      </c>
      <c r="P907" s="67"/>
      <c r="Q907" s="67"/>
      <c r="R907" s="229">
        <v>7</v>
      </c>
      <c r="S907" s="43">
        <f t="shared" si="15"/>
        <v>12.24</v>
      </c>
      <c r="T907" s="140"/>
      <c r="U907" s="46"/>
      <c r="V907" s="43">
        <f t="shared" si="16"/>
        <v>192894.88000000006</v>
      </c>
      <c r="W907" s="43">
        <f t="shared" si="17"/>
        <v>2252894.4000000004</v>
      </c>
      <c r="X907" s="43">
        <f t="shared" si="19"/>
        <v>450578.88000000006</v>
      </c>
      <c r="Y907" s="43">
        <f>R907*C907</f>
        <v>257684</v>
      </c>
      <c r="Z907" s="49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</row>
    <row r="908" spans="1:49" ht="17.25" customHeight="1" x14ac:dyDescent="0.2">
      <c r="A908" s="228"/>
      <c r="B908" s="22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49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</row>
    <row r="909" spans="1:49" ht="17.25" customHeight="1" x14ac:dyDescent="0.2">
      <c r="A909" s="228"/>
      <c r="B909" s="228"/>
      <c r="C909" s="104">
        <v>60000</v>
      </c>
      <c r="D909" s="227">
        <v>2.3E-2</v>
      </c>
      <c r="E909" s="137">
        <f>D909*C909</f>
        <v>1380</v>
      </c>
      <c r="F909" s="41">
        <f>N909*E909</f>
        <v>1656</v>
      </c>
      <c r="G909" s="42"/>
      <c r="H909" s="42">
        <f>I909*L909*N909</f>
        <v>1080</v>
      </c>
      <c r="I909" s="43">
        <v>3000</v>
      </c>
      <c r="J909" s="230"/>
      <c r="K909" s="230"/>
      <c r="L909" s="230">
        <v>0.3</v>
      </c>
      <c r="M909" s="138"/>
      <c r="N909" s="139">
        <v>1.2</v>
      </c>
      <c r="O909" s="42">
        <f>Y909/E909</f>
        <v>478.26086956521738</v>
      </c>
      <c r="P909" s="67"/>
      <c r="Q909" s="67"/>
      <c r="R909" s="43">
        <v>11</v>
      </c>
      <c r="S909" s="43">
        <f>D909*H909</f>
        <v>24.84</v>
      </c>
      <c r="T909" s="140"/>
      <c r="U909" s="46"/>
      <c r="V909" s="43">
        <f>X909-Y909</f>
        <v>830400</v>
      </c>
      <c r="W909" s="43">
        <f>I909*F909</f>
        <v>4968000</v>
      </c>
      <c r="X909" s="43">
        <f>H909*E909</f>
        <v>1490400</v>
      </c>
      <c r="Y909" s="43">
        <f>R909*C909</f>
        <v>660000</v>
      </c>
      <c r="Z909" s="49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</row>
    <row r="910" spans="1:49" ht="17.25" customHeight="1" x14ac:dyDescent="0.2">
      <c r="A910" s="228"/>
      <c r="B910" s="228"/>
      <c r="C910" s="231"/>
      <c r="D910" s="232"/>
      <c r="E910" s="231"/>
      <c r="F910" s="121"/>
      <c r="G910" s="233"/>
      <c r="H910" s="233"/>
      <c r="I910" s="233"/>
      <c r="J910" s="107"/>
      <c r="K910" s="107"/>
      <c r="L910" s="107"/>
      <c r="M910" s="67"/>
      <c r="N910" s="159"/>
      <c r="O910" s="234"/>
      <c r="P910" s="67"/>
      <c r="Q910" s="67"/>
      <c r="R910" s="235"/>
      <c r="S910" s="235"/>
      <c r="T910" s="159"/>
      <c r="U910" s="67"/>
      <c r="V910" s="236"/>
      <c r="W910" s="236"/>
      <c r="X910" s="236"/>
      <c r="Y910" s="237"/>
      <c r="Z910" s="49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</row>
    <row r="911" spans="1:49" ht="17.25" customHeight="1" x14ac:dyDescent="0.2">
      <c r="A911" s="228"/>
      <c r="B911" s="228"/>
      <c r="C911" s="231"/>
      <c r="D911" s="232"/>
      <c r="E911" s="231"/>
      <c r="F911" s="121"/>
      <c r="G911" s="233"/>
      <c r="H911" s="233"/>
      <c r="I911" s="233"/>
      <c r="J911" s="107"/>
      <c r="K911" s="107"/>
      <c r="L911" s="107"/>
      <c r="M911" s="67"/>
      <c r="N911" s="159"/>
      <c r="O911" s="234"/>
      <c r="P911" s="67"/>
      <c r="Q911" s="67"/>
      <c r="R911" s="235"/>
      <c r="S911" s="235"/>
      <c r="T911" s="159"/>
      <c r="U911" s="67"/>
      <c r="V911" s="236"/>
      <c r="W911" s="236"/>
      <c r="X911" s="236"/>
      <c r="Y911" s="237"/>
      <c r="Z911" s="49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</row>
    <row r="912" spans="1:49" ht="17.25" customHeight="1" x14ac:dyDescent="0.2">
      <c r="A912" s="228"/>
      <c r="B912" s="228"/>
      <c r="C912" s="231"/>
      <c r="D912" s="232"/>
      <c r="E912" s="231"/>
      <c r="F912" s="121"/>
      <c r="G912" s="233"/>
      <c r="H912" s="233"/>
      <c r="I912" s="233"/>
      <c r="J912" s="107"/>
      <c r="K912" s="107"/>
      <c r="L912" s="107"/>
      <c r="M912" s="67"/>
      <c r="N912" s="159"/>
      <c r="O912" s="234"/>
      <c r="P912" s="67"/>
      <c r="Q912" s="67"/>
      <c r="R912" s="235"/>
      <c r="S912" s="235"/>
      <c r="T912" s="159"/>
      <c r="U912" s="67"/>
      <c r="V912" s="236"/>
      <c r="W912" s="236"/>
      <c r="X912" s="236"/>
      <c r="Y912" s="237"/>
      <c r="Z912" s="49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</row>
    <row r="913" spans="1:49" ht="17.25" customHeight="1" x14ac:dyDescent="0.2">
      <c r="A913" s="228"/>
      <c r="B913" s="228"/>
      <c r="C913" s="231"/>
      <c r="D913" s="232"/>
      <c r="E913" s="231"/>
      <c r="F913" s="121"/>
      <c r="G913" s="233"/>
      <c r="H913" s="233"/>
      <c r="I913" s="233"/>
      <c r="J913" s="107"/>
      <c r="K913" s="107"/>
      <c r="L913" s="107"/>
      <c r="M913" s="67"/>
      <c r="N913" s="159"/>
      <c r="O913" s="234"/>
      <c r="P913" s="67"/>
      <c r="Q913" s="67"/>
      <c r="R913" s="235"/>
      <c r="S913" s="235"/>
      <c r="T913" s="159"/>
      <c r="U913" s="67"/>
      <c r="V913" s="236"/>
      <c r="W913" s="236"/>
      <c r="X913" s="236"/>
      <c r="Y913" s="237"/>
      <c r="Z913" s="49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</row>
    <row r="914" spans="1:49" ht="17.25" customHeight="1" x14ac:dyDescent="0.2">
      <c r="A914" s="228"/>
      <c r="B914" s="228"/>
      <c r="C914" s="231"/>
      <c r="D914" s="232"/>
      <c r="E914" s="231"/>
      <c r="F914" s="121"/>
      <c r="G914" s="233"/>
      <c r="H914" s="233"/>
      <c r="I914" s="233"/>
      <c r="J914" s="107"/>
      <c r="K914" s="107"/>
      <c r="L914" s="107"/>
      <c r="M914" s="67"/>
      <c r="N914" s="159"/>
      <c r="O914" s="234"/>
      <c r="P914" s="67"/>
      <c r="Q914" s="67"/>
      <c r="R914" s="235"/>
      <c r="S914" s="235"/>
      <c r="T914" s="159"/>
      <c r="U914" s="67"/>
      <c r="V914" s="236"/>
      <c r="W914" s="236"/>
      <c r="X914" s="236"/>
      <c r="Y914" s="237"/>
      <c r="Z914" s="49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</row>
    <row r="915" spans="1:49" ht="17.25" customHeight="1" x14ac:dyDescent="0.2">
      <c r="A915" s="228"/>
      <c r="B915" s="228"/>
      <c r="C915" s="231"/>
      <c r="D915" s="232"/>
      <c r="E915" s="231"/>
      <c r="F915" s="121"/>
      <c r="G915" s="233"/>
      <c r="H915" s="233"/>
      <c r="I915" s="233"/>
      <c r="J915" s="107"/>
      <c r="K915" s="107"/>
      <c r="L915" s="107"/>
      <c r="M915" s="67"/>
      <c r="N915" s="159"/>
      <c r="O915" s="234"/>
      <c r="P915" s="67"/>
      <c r="Q915" s="67"/>
      <c r="R915" s="235"/>
      <c r="S915" s="235"/>
      <c r="T915" s="159"/>
      <c r="U915" s="67"/>
      <c r="V915" s="236"/>
      <c r="W915" s="236"/>
      <c r="X915" s="236"/>
      <c r="Y915" s="237"/>
      <c r="Z915" s="49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</row>
    <row r="916" spans="1:49" ht="17.25" customHeight="1" x14ac:dyDescent="0.2">
      <c r="A916" s="228"/>
      <c r="B916" s="228"/>
      <c r="C916" s="231"/>
      <c r="D916" s="232"/>
      <c r="E916" s="231"/>
      <c r="F916" s="121"/>
      <c r="G916" s="233"/>
      <c r="H916" s="233"/>
      <c r="I916" s="233"/>
      <c r="J916" s="107"/>
      <c r="K916" s="107"/>
      <c r="L916" s="107"/>
      <c r="M916" s="67"/>
      <c r="N916" s="159"/>
      <c r="O916" s="234"/>
      <c r="P916" s="67"/>
      <c r="Q916" s="67"/>
      <c r="R916" s="235"/>
      <c r="S916" s="235"/>
      <c r="T916" s="159"/>
      <c r="U916" s="67"/>
      <c r="V916" s="236"/>
      <c r="W916" s="236"/>
      <c r="X916" s="236"/>
      <c r="Y916" s="237"/>
      <c r="Z916" s="49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</row>
    <row r="917" spans="1:49" ht="17.25" customHeight="1" x14ac:dyDescent="0.2">
      <c r="A917" s="228"/>
      <c r="B917" s="228"/>
      <c r="C917" s="231"/>
      <c r="D917" s="232"/>
      <c r="E917" s="231"/>
      <c r="F917" s="121"/>
      <c r="G917" s="233"/>
      <c r="H917" s="233"/>
      <c r="I917" s="233"/>
      <c r="J917" s="107"/>
      <c r="K917" s="107"/>
      <c r="L917" s="107"/>
      <c r="M917" s="67"/>
      <c r="N917" s="159"/>
      <c r="O917" s="234"/>
      <c r="P917" s="67"/>
      <c r="Q917" s="67"/>
      <c r="R917" s="235"/>
      <c r="S917" s="235"/>
      <c r="T917" s="159"/>
      <c r="U917" s="67"/>
      <c r="V917" s="236"/>
      <c r="W917" s="236"/>
      <c r="X917" s="236"/>
      <c r="Y917" s="237"/>
      <c r="Z917" s="49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</row>
    <row r="918" spans="1:49" ht="15" x14ac:dyDescent="0.2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</row>
    <row r="919" spans="1:49" ht="15" x14ac:dyDescent="0.2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</row>
    <row r="920" spans="1:49" ht="15" x14ac:dyDescent="0.2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</row>
    <row r="921" spans="1:49" ht="15" x14ac:dyDescent="0.2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</row>
    <row r="922" spans="1:49" ht="15" x14ac:dyDescent="0.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</row>
    <row r="923" spans="1:49" ht="15" x14ac:dyDescent="0.2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</row>
    <row r="924" spans="1:49" ht="15" x14ac:dyDescent="0.2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</row>
    <row r="925" spans="1:49" ht="15" x14ac:dyDescent="0.2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</row>
    <row r="926" spans="1:49" ht="15" x14ac:dyDescent="0.2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</row>
    <row r="927" spans="1:49" ht="15" x14ac:dyDescent="0.2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</row>
    <row r="928" spans="1:49" ht="15" x14ac:dyDescent="0.2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</row>
    <row r="929" spans="1:49" ht="15" x14ac:dyDescent="0.2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</row>
    <row r="930" spans="1:49" ht="17.25" customHeight="1" x14ac:dyDescent="0.2">
      <c r="A930" s="209"/>
      <c r="B930" s="209"/>
      <c r="C930" s="231"/>
      <c r="D930" s="232"/>
      <c r="E930" s="231"/>
      <c r="F930" s="121"/>
      <c r="G930" s="233"/>
      <c r="H930" s="233"/>
      <c r="I930" s="233"/>
      <c r="J930" s="107"/>
      <c r="K930" s="107"/>
      <c r="L930" s="107"/>
      <c r="M930" s="67"/>
      <c r="N930" s="159"/>
      <c r="O930" s="238"/>
      <c r="P930" s="67"/>
      <c r="Q930" s="67"/>
      <c r="R930" s="235"/>
      <c r="S930" s="235"/>
      <c r="T930" s="159"/>
      <c r="U930" s="67"/>
      <c r="V930" s="236"/>
      <c r="W930" s="236"/>
      <c r="X930" s="236"/>
      <c r="Y930" s="237"/>
      <c r="Z930" s="49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</row>
    <row r="931" spans="1:49" ht="17.25" customHeight="1" x14ac:dyDescent="0.2">
      <c r="A931" s="209"/>
      <c r="B931" s="209"/>
      <c r="C931" s="231"/>
      <c r="D931" s="232"/>
      <c r="E931" s="231"/>
      <c r="F931" s="121"/>
      <c r="G931" s="233"/>
      <c r="H931" s="233"/>
      <c r="I931" s="233"/>
      <c r="J931" s="107"/>
      <c r="K931" s="107"/>
      <c r="L931" s="107"/>
      <c r="M931" s="67"/>
      <c r="N931" s="159"/>
      <c r="O931" s="238"/>
      <c r="P931" s="67"/>
      <c r="Q931" s="67"/>
      <c r="R931" s="235"/>
      <c r="S931" s="235"/>
      <c r="T931" s="159"/>
      <c r="U931" s="67"/>
      <c r="V931" s="236"/>
      <c r="W931" s="236"/>
      <c r="X931" s="236"/>
      <c r="Y931" s="237"/>
      <c r="Z931" s="169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</row>
    <row r="932" spans="1:49" ht="15" x14ac:dyDescent="0.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</row>
    <row r="933" spans="1:49" ht="15" x14ac:dyDescent="0.2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</row>
    <row r="934" spans="1:49" ht="15" x14ac:dyDescent="0.2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</row>
    <row r="935" spans="1:49" ht="15" x14ac:dyDescent="0.2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</row>
    <row r="936" spans="1:49" ht="15" x14ac:dyDescent="0.2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</row>
    <row r="937" spans="1:49" ht="15" x14ac:dyDescent="0.2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</row>
    <row r="938" spans="1:49" ht="15" x14ac:dyDescent="0.2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</row>
    <row r="939" spans="1:49" ht="15" x14ac:dyDescent="0.2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</row>
    <row r="940" spans="1:49" ht="15" x14ac:dyDescent="0.2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</row>
    <row r="941" spans="1:49" ht="15" x14ac:dyDescent="0.2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</row>
    <row r="942" spans="1:49" ht="15" x14ac:dyDescent="0.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</row>
    <row r="943" spans="1:49" ht="15" x14ac:dyDescent="0.2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</row>
    <row r="944" spans="1:49" ht="15" x14ac:dyDescent="0.2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</row>
    <row r="945" spans="1:49" ht="15" x14ac:dyDescent="0.2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</row>
    <row r="946" spans="1:49" ht="15" x14ac:dyDescent="0.2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</row>
    <row r="947" spans="1:49" ht="15" x14ac:dyDescent="0.2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</row>
    <row r="948" spans="1:49" ht="15" x14ac:dyDescent="0.2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</row>
    <row r="949" spans="1:49" ht="15" x14ac:dyDescent="0.2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</row>
    <row r="950" spans="1:49" ht="15" x14ac:dyDescent="0.2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</row>
    <row r="951" spans="1:49" ht="15" x14ac:dyDescent="0.2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</row>
    <row r="952" spans="1:49" ht="15" x14ac:dyDescent="0.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</row>
    <row r="953" spans="1:49" ht="15" x14ac:dyDescent="0.2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</row>
    <row r="954" spans="1:49" ht="15" x14ac:dyDescent="0.2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</row>
    <row r="955" spans="1:49" ht="15" x14ac:dyDescent="0.2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</row>
    <row r="956" spans="1:49" ht="15" x14ac:dyDescent="0.2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</row>
    <row r="957" spans="1:49" ht="15" x14ac:dyDescent="0.2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</row>
  </sheetData>
  <mergeCells count="5">
    <mergeCell ref="C1:F1"/>
    <mergeCell ref="H1:N1"/>
    <mergeCell ref="R1:T1"/>
    <mergeCell ref="V1:AB1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Юнит-экономика Freedom24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Заичкин</dc:creator>
  <cp:lastModifiedBy>Пользователь Windows</cp:lastModifiedBy>
  <dcterms:created xsi:type="dcterms:W3CDTF">2025-10-09T19:04:54Z</dcterms:created>
  <dcterms:modified xsi:type="dcterms:W3CDTF">2025-10-09T19:04:54Z</dcterms:modified>
</cp:coreProperties>
</file>