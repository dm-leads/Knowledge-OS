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двиг 2. рассчет MAU по ретенш" sheetId="1" r:id="rId4"/>
  </sheets>
  <definedNames/>
  <calcPr/>
</workbook>
</file>

<file path=xl/sharedStrings.xml><?xml version="1.0" encoding="utf-8"?>
<sst xmlns="http://schemas.openxmlformats.org/spreadsheetml/2006/main" count="53" uniqueCount="25">
  <si>
    <t>2-й подвиг. рассчитайте MAU по ретеншену</t>
  </si>
  <si>
    <r>
      <rPr>
        <rFont val="Trebuchet MS"/>
        <color rgb="FF5D617A"/>
      </rPr>
      <t xml:space="preserve">2.1. По каждому бизнесу продуктовый аналитик взял три показателя: </t>
    </r>
    <r>
      <rPr>
        <rFont val="Trebuchet MS"/>
        <b/>
        <color rgb="FF5D617A"/>
      </rPr>
      <t>Retenion 1m</t>
    </r>
    <r>
      <rPr>
        <rFont val="Trebuchet MS"/>
        <color rgb="FF5D617A"/>
      </rPr>
      <t xml:space="preserve">, </t>
    </r>
    <r>
      <rPr>
        <rFont val="Trebuchet MS"/>
        <b/>
        <color rgb="FF5D617A"/>
      </rPr>
      <t>Retention 2m</t>
    </r>
    <r>
      <rPr>
        <rFont val="Trebuchet MS"/>
        <color rgb="FF5D617A"/>
      </rPr>
      <t xml:space="preserve">, </t>
    </r>
    <r>
      <rPr>
        <rFont val="Trebuchet MS"/>
        <b/>
        <color rgb="FF5D617A"/>
      </rPr>
      <t>Retention 3m</t>
    </r>
    <r>
      <rPr>
        <rFont val="Trebuchet MS"/>
        <color rgb="FF5D617A"/>
      </rPr>
      <t xml:space="preserve">, их достаточно чтобы спрогнозировать прирост новых пользователей (cм. формулу в ячейке </t>
    </r>
    <r>
      <rPr>
        <rFont val="Trebuchet MS"/>
        <b/>
        <color rgb="FF5D617A"/>
      </rPr>
      <t>E7)</t>
    </r>
  </si>
  <si>
    <r>
      <rPr>
        <rFont val="Trebuchet MS"/>
        <color rgb="FF5D617A"/>
      </rPr>
      <t xml:space="preserve">2.2. Подберите в желтых ячейках, сколько новых пользователей надо привлекать каждый месяц, чтобы в </t>
    </r>
    <r>
      <rPr>
        <rFont val="Trebuchet MS"/>
        <b/>
        <color rgb="FF5D617A"/>
      </rPr>
      <t>декабре</t>
    </r>
    <r>
      <rPr>
        <rFont val="Trebuchet MS"/>
        <color rgb="FF5D617A"/>
      </rPr>
      <t xml:space="preserve"> выйти на </t>
    </r>
    <r>
      <rPr>
        <rFont val="Trebuchet MS"/>
        <b/>
        <color rgb="FF5D617A"/>
      </rPr>
      <t>1 200 000 MAU</t>
    </r>
    <r>
      <rPr>
        <rFont val="Trebuchet MS"/>
        <color rgb="FF5D617A"/>
      </rPr>
      <t xml:space="preserve"> по каждому из 3-х сервисов</t>
    </r>
  </si>
  <si>
    <t>Retention</t>
  </si>
  <si>
    <r>
      <rPr>
        <rFont val="Trebuchet MS"/>
        <b/>
        <color theme="1"/>
      </rPr>
      <t xml:space="preserve">MAU
</t>
    </r>
    <r>
      <rPr>
        <rFont val="Trebuchet MS"/>
        <b val="0"/>
        <i/>
        <color theme="1"/>
        <sz val="8.0"/>
      </rPr>
      <t>прогноз</t>
    </r>
  </si>
  <si>
    <r>
      <rPr>
        <rFont val="Trebuchet MS"/>
        <b/>
        <color theme="1"/>
      </rPr>
      <t xml:space="preserve">Retention
</t>
    </r>
    <r>
      <rPr>
        <rFont val="Trebuchet MS"/>
        <b val="0"/>
        <i/>
        <color theme="1"/>
        <sz val="8.0"/>
      </rPr>
      <t>мультипликатор</t>
    </r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</si>
  <si>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</si>
  <si>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</si>
  <si>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</si>
  <si>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</si>
  <si>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</si>
  <si>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</si>
  <si>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</si>
  <si>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</si>
  <si>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</si>
  <si>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</si>
  <si>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</si>
  <si>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</si>
  <si>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цель</t>
  </si>
  <si>
    <r>
      <rPr>
        <rFont val="Trebuchet MS"/>
        <b/>
        <color theme="1"/>
      </rPr>
      <t xml:space="preserve">MAU
</t>
    </r>
    <r>
      <rPr>
        <rFont val="Trebuchet MS"/>
        <b val="0"/>
        <i/>
        <color theme="1"/>
        <sz val="8.0"/>
      </rPr>
      <t>прогноз</t>
    </r>
  </si>
  <si>
    <r>
      <rPr>
        <rFont val="Trebuchet MS"/>
        <b/>
        <color theme="1"/>
      </rPr>
      <t xml:space="preserve">Retention
</t>
    </r>
    <r>
      <rPr>
        <rFont val="Trebuchet MS"/>
        <b val="0"/>
        <i/>
        <color theme="1"/>
        <sz val="8.0"/>
      </rPr>
      <t>мультипликатор</t>
    </r>
  </si>
  <si>
    <r>
      <rPr>
        <rFont val="Trebuchet MS"/>
        <b/>
        <color theme="1"/>
      </rPr>
      <t xml:space="preserve">MAU
</t>
    </r>
    <r>
      <rPr>
        <rFont val="Trebuchet MS"/>
        <b val="0"/>
        <i/>
        <color theme="1"/>
        <sz val="8.0"/>
      </rPr>
      <t>прогноз</t>
    </r>
  </si>
  <si>
    <r>
      <rPr>
        <rFont val="Trebuchet MS"/>
        <b/>
        <color theme="1"/>
      </rPr>
      <t xml:space="preserve">Retention
</t>
    </r>
    <r>
      <rPr>
        <rFont val="Trebuchet MS"/>
        <b val="0"/>
        <i/>
        <color theme="1"/>
        <sz val="8.0"/>
      </rPr>
      <t>мультипликатор</t>
    </r>
  </si>
  <si>
    <t>Churn</t>
  </si>
  <si>
    <t>Churn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</si>
</sst>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±0.000%"/>
    <numFmt numFmtId="166" formatCode="месяц 0"/>
    <numFmt numFmtId="167" formatCode="месяц 0 "/>
    <numFmt numFmtId="168" formatCode="0.0"/>
  </numFmts>
  <fonts count="18">
    <font>
      <sz val="10.0"/>
      <color rgb="FF000000"/>
      <name val="Arial"/>
      <scheme val="minor"/>
    </font>
    <font>
      <color theme="1"/>
      <name val="Trebuchet MS"/>
    </font>
    <font>
      <b/>
      <color theme="1"/>
      <name val="Trebuchet MS"/>
    </font>
    <font>
      <color rgb="FF5D617A"/>
      <name val="Trebuchet MS"/>
    </font>
    <font>
      <sz val="9.0"/>
      <color theme="1"/>
      <name val="Trebuchet MS"/>
    </font>
    <font>
      <color theme="1"/>
      <name val="&quot;Trebuchet MS&quot;"/>
    </font>
    <font>
      <color theme="1"/>
      <name val="Arial"/>
    </font>
    <font>
      <i/>
      <color rgb="FF000000"/>
      <name val="Trebuchet MS"/>
    </font>
    <font>
      <i/>
      <sz val="9.0"/>
      <color rgb="FF999999"/>
      <name val="Trebuchet MS"/>
    </font>
    <font>
      <color theme="1"/>
      <name val="Arial"/>
      <scheme val="minor"/>
    </font>
    <font>
      <b/>
      <color rgb="FFCC0000"/>
      <name val="Trebuchet MS"/>
    </font>
    <font>
      <sz val="8.0"/>
      <color rgb="FF000000"/>
      <name val="Trebuchet MS"/>
    </font>
    <font>
      <sz val="8.0"/>
      <color theme="1"/>
      <name val="Trebuchet MS"/>
    </font>
    <font>
      <b/>
      <color theme="1"/>
      <name val="Arial"/>
    </font>
    <font>
      <i/>
      <color theme="1"/>
      <name val="Trebuchet MS"/>
    </font>
    <font>
      <i/>
      <color theme="1"/>
      <name val="Arial"/>
    </font>
    <font>
      <i/>
      <color rgb="FFB7B7B7"/>
      <name val="Trebuchet MS"/>
    </font>
    <font>
      <i/>
      <color rgb="FFCCCCCC"/>
      <name val="Trebuchet MS"/>
    </font>
  </fonts>
  <fills count="5">
    <fill>
      <patternFill patternType="none"/>
    </fill>
    <fill>
      <patternFill patternType="lightGray"/>
    </fill>
    <fill>
      <patternFill patternType="solid">
        <fgColor rgb="FFE5F3FF"/>
        <bgColor rgb="FFE5F3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right" readingOrder="0" vertical="center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readingOrder="0" shrinkToFit="0" vertical="center" wrapText="0"/>
    </xf>
    <xf borderId="0" fillId="2" fontId="1" numFmtId="0" xfId="0" applyAlignment="1" applyFont="1">
      <alignment vertical="center"/>
    </xf>
    <xf borderId="0" fillId="2" fontId="1" numFmtId="164" xfId="0" applyAlignment="1" applyFont="1" applyNumberFormat="1">
      <alignment vertical="center"/>
    </xf>
    <xf borderId="0" fillId="2" fontId="1" numFmtId="165" xfId="0" applyAlignment="1" applyFont="1" applyNumberForma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2" numFmtId="9" xfId="0" applyAlignment="1" applyFont="1" applyNumberFormat="1">
      <alignment readingOrder="0" vertical="center"/>
    </xf>
    <xf borderId="0" fillId="0" fontId="4" numFmtId="166" xfId="0" applyAlignment="1" applyFont="1" applyNumberFormat="1">
      <alignment horizontal="right" readingOrder="0" vertical="center"/>
    </xf>
    <xf borderId="0" fillId="0" fontId="4" numFmtId="0" xfId="0" applyAlignment="1" applyFont="1">
      <alignment horizontal="right" readingOrder="0" vertical="center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readingOrder="0" vertical="top"/>
    </xf>
    <xf borderId="0" fillId="3" fontId="2" numFmtId="9" xfId="0" applyAlignment="1" applyFill="1" applyFont="1" applyNumberFormat="1">
      <alignment vertical="center"/>
    </xf>
    <xf borderId="0" fillId="0" fontId="2" numFmtId="9" xfId="0" applyAlignment="1" applyFont="1" applyNumberFormat="1">
      <alignment vertical="center"/>
    </xf>
    <xf borderId="0" fillId="0" fontId="2" numFmtId="0" xfId="0" applyAlignment="1" applyFont="1">
      <alignment horizontal="right" readingOrder="0" vertical="top"/>
    </xf>
    <xf borderId="0" fillId="0" fontId="3" numFmtId="0" xfId="0" applyAlignment="1" applyFont="1">
      <alignment readingOrder="0" shrinkToFit="0" vertical="top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4" fontId="6" numFmtId="3" xfId="0" applyAlignment="1" applyFill="1" applyFont="1" applyNumberFormat="1">
      <alignment readingOrder="0" vertical="center"/>
    </xf>
    <xf borderId="0" fillId="0" fontId="7" numFmtId="3" xfId="0" applyAlignment="1" applyFont="1" applyNumberFormat="1">
      <alignment readingOrder="0" vertical="center"/>
    </xf>
    <xf borderId="0" fillId="0" fontId="3" numFmtId="2" xfId="0" applyAlignment="1" applyFont="1" applyNumberFormat="1">
      <alignment vertical="center"/>
    </xf>
    <xf borderId="0" fillId="0" fontId="8" numFmtId="0" xfId="0" applyAlignment="1" applyFont="1">
      <alignment readingOrder="0" shrinkToFit="0" vertical="center" wrapText="1"/>
    </xf>
    <xf borderId="0" fillId="0" fontId="6" numFmtId="3" xfId="0" applyAlignment="1" applyFont="1" applyNumberFormat="1">
      <alignment readingOrder="0" vertical="center"/>
    </xf>
    <xf borderId="0" fillId="0" fontId="6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3" xfId="0" applyAlignment="1" applyFont="1" applyNumberFormat="1">
      <alignment readingOrder="0" vertical="center"/>
    </xf>
    <xf borderId="0" fillId="0" fontId="10" numFmtId="3" xfId="0" applyAlignment="1" applyFont="1" applyNumberForma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4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  <xf borderId="0" fillId="0" fontId="7" numFmtId="1" xfId="0" applyAlignment="1" applyFont="1" applyNumberFormat="1">
      <alignment vertical="center"/>
    </xf>
    <xf borderId="0" fillId="0" fontId="7" numFmtId="3" xfId="0" applyAlignment="1" applyFont="1" applyNumberFormat="1">
      <alignment vertical="center"/>
    </xf>
    <xf borderId="0" fillId="0" fontId="9" numFmtId="4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11" numFmtId="167" xfId="0" applyAlignment="1" applyFont="1" applyNumberFormat="1">
      <alignment horizontal="right" vertical="center"/>
    </xf>
    <xf borderId="0" fillId="0" fontId="12" numFmtId="0" xfId="0" applyAlignment="1" applyFont="1">
      <alignment horizontal="right" vertical="center"/>
    </xf>
    <xf borderId="0" fillId="0" fontId="2" numFmtId="9" xfId="0" applyAlignment="1" applyFont="1" applyNumberFormat="1">
      <alignment horizontal="right" vertical="center"/>
    </xf>
    <xf borderId="0" fillId="3" fontId="2" numFmtId="9" xfId="0" applyAlignment="1" applyFont="1" applyNumberFormat="1">
      <alignment horizontal="right" vertical="center"/>
    </xf>
    <xf borderId="0" fillId="0" fontId="13" numFmtId="0" xfId="0" applyAlignment="1" applyFont="1">
      <alignment horizontal="right" vertical="center"/>
    </xf>
    <xf borderId="0" fillId="0" fontId="1" numFmtId="0" xfId="0" applyAlignment="1" applyFont="1">
      <alignment horizontal="right" vertical="center"/>
    </xf>
    <xf borderId="0" fillId="0" fontId="6" numFmtId="3" xfId="0" applyAlignment="1" applyFont="1" applyNumberFormat="1">
      <alignment vertical="center"/>
    </xf>
    <xf borderId="0" fillId="0" fontId="1" numFmtId="3" xfId="0" applyAlignment="1" applyFont="1" applyNumberFormat="1">
      <alignment horizontal="right" vertical="center"/>
    </xf>
    <xf borderId="0" fillId="0" fontId="3" numFmtId="168" xfId="0" applyAlignment="1" applyFont="1" applyNumberFormat="1">
      <alignment vertical="center"/>
    </xf>
    <xf borderId="0" fillId="0" fontId="14" numFmtId="3" xfId="0" applyAlignment="1" applyFont="1" applyNumberFormat="1">
      <alignment horizontal="right" vertical="center"/>
    </xf>
    <xf borderId="0" fillId="0" fontId="15" numFmtId="1" xfId="0" applyAlignment="1" applyFont="1" applyNumberFormat="1">
      <alignment vertical="center"/>
    </xf>
    <xf borderId="0" fillId="0" fontId="15" numFmtId="3" xfId="0" applyAlignment="1" applyFont="1" applyNumberFormat="1">
      <alignment vertical="center"/>
    </xf>
    <xf borderId="0" fillId="0" fontId="6" numFmtId="3" xfId="0" applyAlignment="1" applyFont="1" applyNumberFormat="1">
      <alignment horizontal="right" vertical="center"/>
    </xf>
    <xf borderId="0" fillId="0" fontId="10" numFmtId="3" xfId="0" applyAlignment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0" fontId="16" numFmtId="3" xfId="0" applyAlignment="1" applyFont="1" applyNumberFormat="1">
      <alignment readingOrder="0" vertical="center"/>
    </xf>
    <xf borderId="0" fillId="0" fontId="1" numFmtId="0" xfId="0" applyAlignment="1" applyFont="1">
      <alignment horizontal="right" readingOrder="0" vertical="center"/>
    </xf>
    <xf borderId="0" fillId="0" fontId="17" numFmtId="0" xfId="0" applyAlignment="1" applyFont="1">
      <alignment readingOrder="0" vertical="center"/>
    </xf>
    <xf borderId="0" fillId="0" fontId="1" numFmtId="168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900">
                <a:solidFill>
                  <a:srgbClr val="757575"/>
                </a:solidFill>
                <a:latin typeface="+mn-lt"/>
              </a:defRPr>
            </a:pPr>
            <a:r>
              <a:rPr b="0" sz="900">
                <a:solidFill>
                  <a:srgbClr val="757575"/>
                </a:solidFill>
                <a:latin typeface="+mn-lt"/>
              </a:rPr>
              <a:t>Retention — быстро убывает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'подвиг 2. рассчет MAU по ретенш'!$E$7:$N$7</c:f>
              <c:numCache/>
            </c:numRef>
          </c:val>
          <c:smooth val="0"/>
        </c:ser>
        <c:axId val="875784913"/>
        <c:axId val="1944930479"/>
      </c:lineChart>
      <c:catAx>
        <c:axId val="875784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4930479"/>
      </c:catAx>
      <c:valAx>
        <c:axId val="194493047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784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400050</xdr:colOff>
      <xdr:row>6</xdr:row>
      <xdr:rowOff>38100</xdr:rowOff>
    </xdr:from>
    <xdr:ext cx="2895600" cy="1790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2.75"/>
    <col customWidth="1" min="3" max="3" width="10.0"/>
    <col customWidth="1" min="4" max="4" width="9.13"/>
    <col customWidth="1" min="5" max="15" width="7.63"/>
    <col customWidth="1" min="16" max="16" width="9.5"/>
    <col customWidth="1" min="17" max="17" width="15.75"/>
  </cols>
  <sheetData>
    <row r="1">
      <c r="A1" s="1"/>
      <c r="B1" s="1"/>
      <c r="C1" s="1"/>
      <c r="D1" s="2"/>
      <c r="E1" s="1"/>
      <c r="F1" s="3"/>
      <c r="G1" s="3"/>
      <c r="H1" s="3"/>
      <c r="I1" s="3"/>
      <c r="J1" s="3"/>
      <c r="K1" s="3"/>
      <c r="L1" s="3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2.5" customHeight="1">
      <c r="A2" s="4"/>
      <c r="B2" s="4"/>
      <c r="C2" s="5" t="s">
        <v>0</v>
      </c>
      <c r="D2" s="4"/>
      <c r="E2" s="6"/>
      <c r="F2" s="4"/>
      <c r="G2" s="4"/>
      <c r="H2" s="4"/>
      <c r="I2" s="4"/>
      <c r="J2" s="7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ht="22.5" customHeight="1">
      <c r="A3" s="9"/>
      <c r="B3" s="1"/>
      <c r="C3" s="10" t="s">
        <v>1</v>
      </c>
      <c r="D3" s="11"/>
      <c r="E3" s="12"/>
      <c r="F3" s="13"/>
      <c r="G3" s="13"/>
      <c r="H3" s="13"/>
      <c r="I3" s="13"/>
      <c r="J3" s="13"/>
      <c r="K3" s="13"/>
      <c r="L3" s="13"/>
      <c r="M3" s="13"/>
      <c r="N3" s="13"/>
      <c r="O3" s="1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22.5" customHeight="1">
      <c r="A4" s="9"/>
      <c r="B4" s="1"/>
      <c r="C4" s="10" t="s">
        <v>2</v>
      </c>
      <c r="D4" s="11"/>
      <c r="E4" s="12"/>
      <c r="F4" s="13"/>
      <c r="G4" s="13"/>
      <c r="H4" s="13"/>
      <c r="I4" s="13"/>
      <c r="J4" s="13"/>
      <c r="K4" s="13"/>
      <c r="L4" s="13"/>
      <c r="M4" s="13"/>
      <c r="N4" s="13"/>
      <c r="O4" s="14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ht="22.5" customHeight="1">
      <c r="A5" s="9"/>
      <c r="B5" s="9"/>
      <c r="C5" s="1"/>
      <c r="D5" s="11"/>
      <c r="E5" s="12"/>
      <c r="F5" s="13"/>
      <c r="G5" s="13"/>
      <c r="H5" s="13"/>
      <c r="I5" s="13"/>
      <c r="J5" s="13"/>
      <c r="K5" s="13"/>
      <c r="L5" s="13"/>
      <c r="M5" s="13"/>
      <c r="N5" s="13"/>
      <c r="O5" s="14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>
      <c r="A6" s="9"/>
      <c r="B6" s="9"/>
      <c r="C6" s="1"/>
      <c r="D6" s="11"/>
      <c r="E6" s="12">
        <v>1.0</v>
      </c>
      <c r="F6" s="13">
        <v>2.0</v>
      </c>
      <c r="G6" s="13">
        <v>3.0</v>
      </c>
      <c r="H6" s="13">
        <v>4.0</v>
      </c>
      <c r="I6" s="13">
        <v>5.0</v>
      </c>
      <c r="J6" s="13">
        <v>6.0</v>
      </c>
      <c r="K6" s="13">
        <v>7.0</v>
      </c>
      <c r="L6" s="13">
        <v>8.0</v>
      </c>
      <c r="M6" s="13">
        <v>9.0</v>
      </c>
      <c r="N6" s="13">
        <v>10.0</v>
      </c>
      <c r="O6" s="14">
        <v>11.0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>
      <c r="A7" s="15"/>
      <c r="B7" s="15"/>
      <c r="C7" s="9" t="s">
        <v>3</v>
      </c>
      <c r="D7" s="11">
        <v>1.0</v>
      </c>
      <c r="E7" s="16">
        <f t="shared" ref="E7:O7" si="1">17%*E6^-1.5</f>
        <v>0.17</v>
      </c>
      <c r="F7" s="16">
        <f t="shared" si="1"/>
        <v>0.0601040764</v>
      </c>
      <c r="G7" s="16">
        <f t="shared" si="1"/>
        <v>0.03271651525</v>
      </c>
      <c r="H7" s="17">
        <f t="shared" si="1"/>
        <v>0.02125</v>
      </c>
      <c r="I7" s="17">
        <f t="shared" si="1"/>
        <v>0.01520526225</v>
      </c>
      <c r="J7" s="17">
        <f t="shared" si="1"/>
        <v>0.0115670349</v>
      </c>
      <c r="K7" s="17">
        <f t="shared" si="1"/>
        <v>0.009179137202</v>
      </c>
      <c r="L7" s="17">
        <f t="shared" si="1"/>
        <v>0.00751300955</v>
      </c>
      <c r="M7" s="17">
        <f t="shared" si="1"/>
        <v>0.006296296296</v>
      </c>
      <c r="N7" s="17">
        <f t="shared" si="1"/>
        <v>0.005375872022</v>
      </c>
      <c r="O7" s="17">
        <f t="shared" si="1"/>
        <v>0.00465972078</v>
      </c>
      <c r="P7" s="18" t="s">
        <v>4</v>
      </c>
      <c r="Q7" s="18" t="s">
        <v>5</v>
      </c>
      <c r="R7" s="19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</row>
    <row r="8" ht="22.5" customHeight="1">
      <c r="A8" s="21"/>
      <c r="B8" s="21">
        <v>1.0</v>
      </c>
      <c r="C8" s="22" t="s">
        <v>6</v>
      </c>
      <c r="D8" s="23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>
        <f t="shared" ref="P8:P19" si="2">SUM(D8:O8)</f>
        <v>0</v>
      </c>
      <c r="Q8" s="25" t="str">
        <f t="shared" ref="Q8:Q19" si="3">IFERROR(P8/D8)</f>
        <v/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ht="22.5" customHeight="1">
      <c r="A9" s="26"/>
      <c r="B9" s="21">
        <v>2.0</v>
      </c>
      <c r="C9" s="22" t="s">
        <v>7</v>
      </c>
      <c r="D9" s="27" t="str">
        <f t="shared" ref="D9:D19" si="4">D8</f>
        <v/>
      </c>
      <c r="E9" s="24">
        <f t="shared" ref="E9:E19" si="5">$D8*E$7</f>
        <v>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>
        <f t="shared" si="2"/>
        <v>0</v>
      </c>
      <c r="Q9" s="25" t="str">
        <f t="shared" si="3"/>
        <v/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ht="22.5" customHeight="1">
      <c r="B10" s="21">
        <v>3.0</v>
      </c>
      <c r="C10" s="22" t="s">
        <v>8</v>
      </c>
      <c r="D10" s="27" t="str">
        <f t="shared" si="4"/>
        <v/>
      </c>
      <c r="E10" s="24">
        <f t="shared" si="5"/>
        <v>0</v>
      </c>
      <c r="F10" s="24">
        <f t="shared" ref="F10:F19" si="6">$D8*F$7</f>
        <v>0</v>
      </c>
      <c r="G10" s="24"/>
      <c r="H10" s="24"/>
      <c r="I10" s="24"/>
      <c r="J10" s="24"/>
      <c r="K10" s="24"/>
      <c r="L10" s="24"/>
      <c r="M10" s="24"/>
      <c r="N10" s="24"/>
      <c r="O10" s="24"/>
      <c r="P10" s="24">
        <f t="shared" si="2"/>
        <v>0</v>
      </c>
      <c r="Q10" s="25" t="str">
        <f t="shared" si="3"/>
        <v/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ht="22.5" customHeight="1">
      <c r="B11" s="21">
        <v>4.0</v>
      </c>
      <c r="C11" s="22" t="s">
        <v>9</v>
      </c>
      <c r="D11" s="27" t="str">
        <f t="shared" si="4"/>
        <v/>
      </c>
      <c r="E11" s="24">
        <f t="shared" si="5"/>
        <v>0</v>
      </c>
      <c r="F11" s="24">
        <f t="shared" si="6"/>
        <v>0</v>
      </c>
      <c r="G11" s="24">
        <f t="shared" ref="G11:G19" si="7">$D8*G$7</f>
        <v>0</v>
      </c>
      <c r="H11" s="24"/>
      <c r="I11" s="24"/>
      <c r="J11" s="24"/>
      <c r="K11" s="24"/>
      <c r="L11" s="24"/>
      <c r="M11" s="24"/>
      <c r="N11" s="24"/>
      <c r="O11" s="24"/>
      <c r="P11" s="24">
        <f t="shared" si="2"/>
        <v>0</v>
      </c>
      <c r="Q11" s="25" t="str">
        <f t="shared" si="3"/>
        <v/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ht="22.5" customHeight="1">
      <c r="B12" s="21">
        <v>5.0</v>
      </c>
      <c r="C12" s="28" t="s">
        <v>10</v>
      </c>
      <c r="D12" s="27" t="str">
        <f t="shared" si="4"/>
        <v/>
      </c>
      <c r="E12" s="24">
        <f t="shared" si="5"/>
        <v>0</v>
      </c>
      <c r="F12" s="24">
        <f t="shared" si="6"/>
        <v>0</v>
      </c>
      <c r="G12" s="24">
        <f t="shared" si="7"/>
        <v>0</v>
      </c>
      <c r="H12" s="24">
        <f t="shared" ref="H12:H19" si="8">$D8*H$7</f>
        <v>0</v>
      </c>
      <c r="I12" s="24"/>
      <c r="J12" s="24"/>
      <c r="K12" s="24"/>
      <c r="L12" s="24"/>
      <c r="M12" s="24"/>
      <c r="N12" s="24"/>
      <c r="O12" s="24"/>
      <c r="P12" s="24">
        <f t="shared" si="2"/>
        <v>0</v>
      </c>
      <c r="Q12" s="25" t="str">
        <f t="shared" si="3"/>
        <v/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ht="22.5" customHeight="1">
      <c r="B13" s="21">
        <v>6.0</v>
      </c>
      <c r="C13" s="22" t="s">
        <v>11</v>
      </c>
      <c r="D13" s="27" t="str">
        <f t="shared" si="4"/>
        <v/>
      </c>
      <c r="E13" s="24">
        <f t="shared" si="5"/>
        <v>0</v>
      </c>
      <c r="F13" s="24">
        <f t="shared" si="6"/>
        <v>0</v>
      </c>
      <c r="G13" s="24">
        <f t="shared" si="7"/>
        <v>0</v>
      </c>
      <c r="H13" s="24">
        <f t="shared" si="8"/>
        <v>0</v>
      </c>
      <c r="I13" s="24">
        <f t="shared" ref="I13:I19" si="9">$D8*I$7</f>
        <v>0</v>
      </c>
      <c r="J13" s="24"/>
      <c r="K13" s="24"/>
      <c r="L13" s="24"/>
      <c r="M13" s="24"/>
      <c r="N13" s="24"/>
      <c r="O13" s="24"/>
      <c r="P13" s="24">
        <f t="shared" si="2"/>
        <v>0</v>
      </c>
      <c r="Q13" s="25" t="str">
        <f t="shared" si="3"/>
        <v/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ht="22.5" customHeight="1">
      <c r="B14" s="21">
        <v>7.0</v>
      </c>
      <c r="C14" s="22" t="s">
        <v>12</v>
      </c>
      <c r="D14" s="27" t="str">
        <f t="shared" si="4"/>
        <v/>
      </c>
      <c r="E14" s="24">
        <f t="shared" si="5"/>
        <v>0</v>
      </c>
      <c r="F14" s="24">
        <f t="shared" si="6"/>
        <v>0</v>
      </c>
      <c r="G14" s="24">
        <f t="shared" si="7"/>
        <v>0</v>
      </c>
      <c r="H14" s="24">
        <f t="shared" si="8"/>
        <v>0</v>
      </c>
      <c r="I14" s="24">
        <f t="shared" si="9"/>
        <v>0</v>
      </c>
      <c r="J14" s="24">
        <f t="shared" ref="J14:J19" si="10">$D8*J$7</f>
        <v>0</v>
      </c>
      <c r="K14" s="24"/>
      <c r="L14" s="24"/>
      <c r="M14" s="24"/>
      <c r="N14" s="24"/>
      <c r="O14" s="24"/>
      <c r="P14" s="24">
        <f t="shared" si="2"/>
        <v>0</v>
      </c>
      <c r="Q14" s="25" t="str">
        <f t="shared" si="3"/>
        <v/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ht="22.5" customHeight="1">
      <c r="B15" s="21">
        <v>8.0</v>
      </c>
      <c r="C15" s="22" t="s">
        <v>13</v>
      </c>
      <c r="D15" s="27" t="str">
        <f t="shared" si="4"/>
        <v/>
      </c>
      <c r="E15" s="24">
        <f t="shared" si="5"/>
        <v>0</v>
      </c>
      <c r="F15" s="24">
        <f t="shared" si="6"/>
        <v>0</v>
      </c>
      <c r="G15" s="24">
        <f t="shared" si="7"/>
        <v>0</v>
      </c>
      <c r="H15" s="24">
        <f t="shared" si="8"/>
        <v>0</v>
      </c>
      <c r="I15" s="24">
        <f t="shared" si="9"/>
        <v>0</v>
      </c>
      <c r="J15" s="24">
        <f t="shared" si="10"/>
        <v>0</v>
      </c>
      <c r="K15" s="24">
        <f t="shared" ref="K15:K19" si="11">$D8*K$7</f>
        <v>0</v>
      </c>
      <c r="L15" s="24"/>
      <c r="M15" s="24"/>
      <c r="N15" s="24"/>
      <c r="O15" s="24"/>
      <c r="P15" s="24">
        <f t="shared" si="2"/>
        <v>0</v>
      </c>
      <c r="Q15" s="25" t="str">
        <f t="shared" si="3"/>
        <v/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ht="22.5" customHeight="1">
      <c r="A16" s="26"/>
      <c r="B16" s="21">
        <v>9.0</v>
      </c>
      <c r="C16" s="22" t="s">
        <v>14</v>
      </c>
      <c r="D16" s="27" t="str">
        <f t="shared" si="4"/>
        <v/>
      </c>
      <c r="E16" s="24">
        <f t="shared" si="5"/>
        <v>0</v>
      </c>
      <c r="F16" s="24">
        <f t="shared" si="6"/>
        <v>0</v>
      </c>
      <c r="G16" s="24">
        <f t="shared" si="7"/>
        <v>0</v>
      </c>
      <c r="H16" s="24">
        <f t="shared" si="8"/>
        <v>0</v>
      </c>
      <c r="I16" s="24">
        <f t="shared" si="9"/>
        <v>0</v>
      </c>
      <c r="J16" s="24">
        <f t="shared" si="10"/>
        <v>0</v>
      </c>
      <c r="K16" s="24">
        <f t="shared" si="11"/>
        <v>0</v>
      </c>
      <c r="L16" s="24">
        <f t="shared" ref="L16:L19" si="12">$D8*L$7</f>
        <v>0</v>
      </c>
      <c r="M16" s="24"/>
      <c r="N16" s="24"/>
      <c r="O16" s="24"/>
      <c r="P16" s="24">
        <f t="shared" si="2"/>
        <v>0</v>
      </c>
      <c r="Q16" s="25" t="str">
        <f t="shared" si="3"/>
        <v/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ht="22.5" customHeight="1">
      <c r="A17" s="21"/>
      <c r="B17" s="21">
        <v>10.0</v>
      </c>
      <c r="C17" s="22" t="s">
        <v>15</v>
      </c>
      <c r="D17" s="27" t="str">
        <f t="shared" si="4"/>
        <v/>
      </c>
      <c r="E17" s="24">
        <f t="shared" si="5"/>
        <v>0</v>
      </c>
      <c r="F17" s="24">
        <f t="shared" si="6"/>
        <v>0</v>
      </c>
      <c r="G17" s="24">
        <f t="shared" si="7"/>
        <v>0</v>
      </c>
      <c r="H17" s="24">
        <f t="shared" si="8"/>
        <v>0</v>
      </c>
      <c r="I17" s="24">
        <f t="shared" si="9"/>
        <v>0</v>
      </c>
      <c r="J17" s="24">
        <f t="shared" si="10"/>
        <v>0</v>
      </c>
      <c r="K17" s="24">
        <f t="shared" si="11"/>
        <v>0</v>
      </c>
      <c r="L17" s="24">
        <f t="shared" si="12"/>
        <v>0</v>
      </c>
      <c r="M17" s="24">
        <f t="shared" ref="M17:M19" si="13">$D8*M$7</f>
        <v>0</v>
      </c>
      <c r="N17" s="24"/>
      <c r="O17" s="24"/>
      <c r="P17" s="24">
        <f t="shared" si="2"/>
        <v>0</v>
      </c>
      <c r="Q17" s="25" t="str">
        <f t="shared" si="3"/>
        <v/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ht="22.5" customHeight="1">
      <c r="A18" s="29"/>
      <c r="B18" s="29">
        <v>11.0</v>
      </c>
      <c r="C18" s="22" t="s">
        <v>16</v>
      </c>
      <c r="D18" s="27" t="str">
        <f t="shared" si="4"/>
        <v/>
      </c>
      <c r="E18" s="24">
        <f t="shared" si="5"/>
        <v>0</v>
      </c>
      <c r="F18" s="24">
        <f t="shared" si="6"/>
        <v>0</v>
      </c>
      <c r="G18" s="24">
        <f t="shared" si="7"/>
        <v>0</v>
      </c>
      <c r="H18" s="24">
        <f t="shared" si="8"/>
        <v>0</v>
      </c>
      <c r="I18" s="24">
        <f t="shared" si="9"/>
        <v>0</v>
      </c>
      <c r="J18" s="24">
        <f t="shared" si="10"/>
        <v>0</v>
      </c>
      <c r="K18" s="24">
        <f t="shared" si="11"/>
        <v>0</v>
      </c>
      <c r="L18" s="24">
        <f t="shared" si="12"/>
        <v>0</v>
      </c>
      <c r="M18" s="24">
        <f t="shared" si="13"/>
        <v>0</v>
      </c>
      <c r="N18" s="24">
        <f t="shared" ref="N18:N19" si="14">$D8*N$7</f>
        <v>0</v>
      </c>
      <c r="O18" s="24"/>
      <c r="P18" s="24">
        <f t="shared" si="2"/>
        <v>0</v>
      </c>
      <c r="Q18" s="25" t="str">
        <f t="shared" si="3"/>
        <v/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ht="22.5" customHeight="1">
      <c r="A19" s="21"/>
      <c r="B19" s="21">
        <v>12.0</v>
      </c>
      <c r="C19" s="22" t="s">
        <v>17</v>
      </c>
      <c r="D19" s="27" t="str">
        <f t="shared" si="4"/>
        <v/>
      </c>
      <c r="E19" s="24">
        <f t="shared" si="5"/>
        <v>0</v>
      </c>
      <c r="F19" s="24">
        <f t="shared" si="6"/>
        <v>0</v>
      </c>
      <c r="G19" s="24">
        <f t="shared" si="7"/>
        <v>0</v>
      </c>
      <c r="H19" s="24">
        <f t="shared" si="8"/>
        <v>0</v>
      </c>
      <c r="I19" s="24">
        <f t="shared" si="9"/>
        <v>0</v>
      </c>
      <c r="J19" s="24">
        <f t="shared" si="10"/>
        <v>0</v>
      </c>
      <c r="K19" s="24">
        <f t="shared" si="11"/>
        <v>0</v>
      </c>
      <c r="L19" s="24">
        <f t="shared" si="12"/>
        <v>0</v>
      </c>
      <c r="M19" s="24">
        <f t="shared" si="13"/>
        <v>0</v>
      </c>
      <c r="N19" s="24">
        <f t="shared" si="14"/>
        <v>0</v>
      </c>
      <c r="O19" s="24">
        <f>$D8*O$7</f>
        <v>0</v>
      </c>
      <c r="P19" s="24">
        <f t="shared" si="2"/>
        <v>0</v>
      </c>
      <c r="Q19" s="25" t="str">
        <f t="shared" si="3"/>
        <v/>
      </c>
      <c r="R19" s="30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ht="22.5" customHeight="1">
      <c r="A20" s="21"/>
      <c r="B20" s="21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ht="22.5" customHeight="1">
      <c r="A21" s="21"/>
      <c r="B21" s="21"/>
      <c r="C21" s="9" t="s">
        <v>18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33">
        <v>1200000.0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ht="22.5" customHeight="1">
      <c r="A22" s="21"/>
      <c r="B22" s="21"/>
      <c r="C22" s="1"/>
      <c r="D22" s="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ht="22.5" customHeight="1">
      <c r="A23" s="21"/>
      <c r="B23" s="21"/>
      <c r="C23" s="21"/>
      <c r="D23" s="21"/>
      <c r="E23" s="3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ht="15.75" customHeight="1">
      <c r="A24" s="1"/>
      <c r="B24" s="1"/>
      <c r="C24" s="1"/>
      <c r="D24" s="21"/>
      <c r="E24" s="12">
        <v>1.0</v>
      </c>
      <c r="F24" s="13">
        <v>2.0</v>
      </c>
      <c r="G24" s="13">
        <v>3.0</v>
      </c>
      <c r="H24" s="13">
        <v>4.0</v>
      </c>
      <c r="I24" s="13">
        <v>5.0</v>
      </c>
      <c r="J24" s="13">
        <v>6.0</v>
      </c>
      <c r="K24" s="13">
        <v>7.0</v>
      </c>
      <c r="L24" s="13">
        <v>8.0</v>
      </c>
      <c r="M24" s="13">
        <v>9.0</v>
      </c>
      <c r="N24" s="13">
        <v>10.0</v>
      </c>
      <c r="O24" s="14">
        <v>11.0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ht="22.5" customHeight="1">
      <c r="A25" s="1"/>
      <c r="B25" s="1"/>
      <c r="C25" s="9" t="s">
        <v>3</v>
      </c>
      <c r="D25" s="11">
        <v>1.0</v>
      </c>
      <c r="E25" s="16">
        <f t="shared" ref="E25:O25" si="15">0.33*E24^-0.1</f>
        <v>0.33</v>
      </c>
      <c r="F25" s="16">
        <f t="shared" si="15"/>
        <v>0.3079008872</v>
      </c>
      <c r="G25" s="16">
        <f t="shared" si="15"/>
        <v>0.2956662917</v>
      </c>
      <c r="H25" s="17">
        <f t="shared" si="15"/>
        <v>0.2872816859</v>
      </c>
      <c r="I25" s="17">
        <f t="shared" si="15"/>
        <v>0.2809421744</v>
      </c>
      <c r="J25" s="17">
        <f t="shared" si="15"/>
        <v>0.2758664047</v>
      </c>
      <c r="K25" s="17">
        <f t="shared" si="15"/>
        <v>0.2716465138</v>
      </c>
      <c r="L25" s="17">
        <f t="shared" si="15"/>
        <v>0.2680432908</v>
      </c>
      <c r="M25" s="17">
        <f t="shared" si="15"/>
        <v>0.2649047154</v>
      </c>
      <c r="N25" s="17">
        <f t="shared" si="15"/>
        <v>0.2621283175</v>
      </c>
      <c r="O25" s="17">
        <f t="shared" si="15"/>
        <v>0.2596418359</v>
      </c>
      <c r="P25" s="18" t="s">
        <v>19</v>
      </c>
      <c r="Q25" s="3" t="s">
        <v>20</v>
      </c>
      <c r="R25" s="3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ht="22.5" customHeight="1">
      <c r="A26" s="21"/>
      <c r="B26" s="21">
        <v>1.0</v>
      </c>
      <c r="C26" s="21" t="s">
        <v>6</v>
      </c>
      <c r="D26" s="23"/>
      <c r="E26" s="1"/>
      <c r="F26" s="1"/>
      <c r="G26" s="1"/>
      <c r="H26" s="1"/>
      <c r="I26" s="1"/>
      <c r="J26" s="1"/>
      <c r="K26" s="1"/>
      <c r="L26" s="1"/>
      <c r="M26" s="1"/>
      <c r="N26" s="1"/>
      <c r="O26" s="36"/>
      <c r="P26" s="36">
        <f t="shared" ref="P26:P37" si="16">SUM(D26:N26)</f>
        <v>0</v>
      </c>
      <c r="Q26" s="25" t="str">
        <f t="shared" ref="Q26:Q37" si="17">IFERROR(P26/D26)</f>
        <v/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ht="22.5" customHeight="1">
      <c r="A27" s="21"/>
      <c r="B27" s="21">
        <v>2.0</v>
      </c>
      <c r="C27" s="21" t="s">
        <v>7</v>
      </c>
      <c r="D27" s="27" t="str">
        <f t="shared" ref="D27:D37" si="18">D26</f>
        <v/>
      </c>
      <c r="E27" s="24">
        <f t="shared" ref="E27:E37" si="19">$D26*E$25</f>
        <v>0</v>
      </c>
      <c r="F27" s="24"/>
      <c r="G27" s="24"/>
      <c r="H27" s="24"/>
      <c r="I27" s="37"/>
      <c r="J27" s="37"/>
      <c r="K27" s="37"/>
      <c r="L27" s="37"/>
      <c r="M27" s="37"/>
      <c r="N27" s="37"/>
      <c r="O27" s="38"/>
      <c r="P27" s="38">
        <f t="shared" si="16"/>
        <v>0</v>
      </c>
      <c r="Q27" s="25" t="str">
        <f t="shared" si="17"/>
        <v/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ht="22.5" customHeight="1">
      <c r="A28" s="21"/>
      <c r="B28" s="21">
        <v>3.0</v>
      </c>
      <c r="C28" s="21" t="s">
        <v>8</v>
      </c>
      <c r="D28" s="27" t="str">
        <f t="shared" si="18"/>
        <v/>
      </c>
      <c r="E28" s="24">
        <f t="shared" si="19"/>
        <v>0</v>
      </c>
      <c r="F28" s="24">
        <f t="shared" ref="F28:F37" si="20">$D26*F$25</f>
        <v>0</v>
      </c>
      <c r="G28" s="24"/>
      <c r="H28" s="24"/>
      <c r="I28" s="37"/>
      <c r="J28" s="37"/>
      <c r="K28" s="37"/>
      <c r="L28" s="37"/>
      <c r="M28" s="37"/>
      <c r="N28" s="37"/>
      <c r="O28" s="38"/>
      <c r="P28" s="38">
        <f t="shared" si="16"/>
        <v>0</v>
      </c>
      <c r="Q28" s="25" t="str">
        <f t="shared" si="17"/>
        <v/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ht="22.5" customHeight="1">
      <c r="A29" s="21"/>
      <c r="B29" s="21">
        <v>4.0</v>
      </c>
      <c r="C29" s="21" t="s">
        <v>9</v>
      </c>
      <c r="D29" s="27" t="str">
        <f t="shared" si="18"/>
        <v/>
      </c>
      <c r="E29" s="24">
        <f t="shared" si="19"/>
        <v>0</v>
      </c>
      <c r="F29" s="24">
        <f t="shared" si="20"/>
        <v>0</v>
      </c>
      <c r="G29" s="24">
        <f t="shared" ref="G29:G37" si="21">$D26*G$25</f>
        <v>0</v>
      </c>
      <c r="H29" s="24"/>
      <c r="I29" s="37"/>
      <c r="J29" s="37"/>
      <c r="K29" s="37"/>
      <c r="L29" s="37"/>
      <c r="M29" s="37"/>
      <c r="N29" s="37"/>
      <c r="O29" s="38"/>
      <c r="P29" s="38">
        <f t="shared" si="16"/>
        <v>0</v>
      </c>
      <c r="Q29" s="25" t="str">
        <f t="shared" si="17"/>
        <v/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ht="22.5" customHeight="1">
      <c r="A30" s="21"/>
      <c r="B30" s="21">
        <v>5.0</v>
      </c>
      <c r="C30" s="29" t="s">
        <v>10</v>
      </c>
      <c r="D30" s="27" t="str">
        <f t="shared" si="18"/>
        <v/>
      </c>
      <c r="E30" s="24">
        <f t="shared" si="19"/>
        <v>0</v>
      </c>
      <c r="F30" s="24">
        <f t="shared" si="20"/>
        <v>0</v>
      </c>
      <c r="G30" s="24">
        <f t="shared" si="21"/>
        <v>0</v>
      </c>
      <c r="H30" s="24">
        <f t="shared" ref="H30:H37" si="22">$D26*H$25</f>
        <v>0</v>
      </c>
      <c r="I30" s="24"/>
      <c r="J30" s="24"/>
      <c r="K30" s="24"/>
      <c r="L30" s="24"/>
      <c r="M30" s="24"/>
      <c r="N30" s="24"/>
      <c r="O30" s="24"/>
      <c r="P30" s="24">
        <f t="shared" si="16"/>
        <v>0</v>
      </c>
      <c r="Q30" s="25" t="str">
        <f t="shared" si="17"/>
        <v/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ht="22.5" customHeight="1">
      <c r="A31" s="21"/>
      <c r="B31" s="21">
        <v>6.0</v>
      </c>
      <c r="C31" s="21" t="s">
        <v>11</v>
      </c>
      <c r="D31" s="27" t="str">
        <f t="shared" si="18"/>
        <v/>
      </c>
      <c r="E31" s="24">
        <f t="shared" si="19"/>
        <v>0</v>
      </c>
      <c r="F31" s="24">
        <f t="shared" si="20"/>
        <v>0</v>
      </c>
      <c r="G31" s="24">
        <f t="shared" si="21"/>
        <v>0</v>
      </c>
      <c r="H31" s="24">
        <f t="shared" si="22"/>
        <v>0</v>
      </c>
      <c r="I31" s="24">
        <f t="shared" ref="I31:I37" si="23">$D26*I$25</f>
        <v>0</v>
      </c>
      <c r="J31" s="24"/>
      <c r="K31" s="24"/>
      <c r="L31" s="24"/>
      <c r="M31" s="24"/>
      <c r="N31" s="24"/>
      <c r="O31" s="24"/>
      <c r="P31" s="24">
        <f t="shared" si="16"/>
        <v>0</v>
      </c>
      <c r="Q31" s="25" t="str">
        <f t="shared" si="17"/>
        <v/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ht="22.5" customHeight="1">
      <c r="A32" s="21"/>
      <c r="B32" s="21">
        <v>7.0</v>
      </c>
      <c r="C32" s="21" t="s">
        <v>12</v>
      </c>
      <c r="D32" s="27" t="str">
        <f t="shared" si="18"/>
        <v/>
      </c>
      <c r="E32" s="24">
        <f t="shared" si="19"/>
        <v>0</v>
      </c>
      <c r="F32" s="24">
        <f t="shared" si="20"/>
        <v>0</v>
      </c>
      <c r="G32" s="24">
        <f t="shared" si="21"/>
        <v>0</v>
      </c>
      <c r="H32" s="24">
        <f t="shared" si="22"/>
        <v>0</v>
      </c>
      <c r="I32" s="24">
        <f t="shared" si="23"/>
        <v>0</v>
      </c>
      <c r="J32" s="24">
        <f t="shared" ref="J32:J37" si="24">$D26*J$25</f>
        <v>0</v>
      </c>
      <c r="K32" s="24"/>
      <c r="L32" s="24"/>
      <c r="M32" s="24"/>
      <c r="N32" s="24"/>
      <c r="O32" s="24"/>
      <c r="P32" s="24">
        <f t="shared" si="16"/>
        <v>0</v>
      </c>
      <c r="Q32" s="25" t="str">
        <f t="shared" si="17"/>
        <v/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ht="22.5" customHeight="1">
      <c r="A33" s="21"/>
      <c r="B33" s="21">
        <v>8.0</v>
      </c>
      <c r="C33" s="21" t="s">
        <v>13</v>
      </c>
      <c r="D33" s="27" t="str">
        <f t="shared" si="18"/>
        <v/>
      </c>
      <c r="E33" s="24">
        <f t="shared" si="19"/>
        <v>0</v>
      </c>
      <c r="F33" s="24">
        <f t="shared" si="20"/>
        <v>0</v>
      </c>
      <c r="G33" s="24">
        <f t="shared" si="21"/>
        <v>0</v>
      </c>
      <c r="H33" s="24">
        <f t="shared" si="22"/>
        <v>0</v>
      </c>
      <c r="I33" s="24">
        <f t="shared" si="23"/>
        <v>0</v>
      </c>
      <c r="J33" s="24">
        <f t="shared" si="24"/>
        <v>0</v>
      </c>
      <c r="K33" s="24">
        <f t="shared" ref="K33:K37" si="25">$D26*K$25</f>
        <v>0</v>
      </c>
      <c r="L33" s="24"/>
      <c r="M33" s="24"/>
      <c r="N33" s="24"/>
      <c r="O33" s="24"/>
      <c r="P33" s="24">
        <f t="shared" si="16"/>
        <v>0</v>
      </c>
      <c r="Q33" s="25" t="str">
        <f t="shared" si="17"/>
        <v/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ht="22.5" customHeight="1">
      <c r="A34" s="21"/>
      <c r="B34" s="21">
        <v>9.0</v>
      </c>
      <c r="C34" s="21" t="s">
        <v>14</v>
      </c>
      <c r="D34" s="27" t="str">
        <f t="shared" si="18"/>
        <v/>
      </c>
      <c r="E34" s="24">
        <f t="shared" si="19"/>
        <v>0</v>
      </c>
      <c r="F34" s="24">
        <f t="shared" si="20"/>
        <v>0</v>
      </c>
      <c r="G34" s="24">
        <f t="shared" si="21"/>
        <v>0</v>
      </c>
      <c r="H34" s="24">
        <f t="shared" si="22"/>
        <v>0</v>
      </c>
      <c r="I34" s="24">
        <f t="shared" si="23"/>
        <v>0</v>
      </c>
      <c r="J34" s="24">
        <f t="shared" si="24"/>
        <v>0</v>
      </c>
      <c r="K34" s="24">
        <f t="shared" si="25"/>
        <v>0</v>
      </c>
      <c r="L34" s="24">
        <f t="shared" ref="L34:L37" si="26">$D26*L$25</f>
        <v>0</v>
      </c>
      <c r="M34" s="24"/>
      <c r="N34" s="24"/>
      <c r="O34" s="24"/>
      <c r="P34" s="24">
        <f t="shared" si="16"/>
        <v>0</v>
      </c>
      <c r="Q34" s="25" t="str">
        <f t="shared" si="17"/>
        <v/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ht="22.5" customHeight="1">
      <c r="A35" s="21"/>
      <c r="B35" s="21">
        <v>10.0</v>
      </c>
      <c r="C35" s="21" t="s">
        <v>15</v>
      </c>
      <c r="D35" s="27" t="str">
        <f t="shared" si="18"/>
        <v/>
      </c>
      <c r="E35" s="24">
        <f t="shared" si="19"/>
        <v>0</v>
      </c>
      <c r="F35" s="24">
        <f t="shared" si="20"/>
        <v>0</v>
      </c>
      <c r="G35" s="24">
        <f t="shared" si="21"/>
        <v>0</v>
      </c>
      <c r="H35" s="24">
        <f t="shared" si="22"/>
        <v>0</v>
      </c>
      <c r="I35" s="24">
        <f t="shared" si="23"/>
        <v>0</v>
      </c>
      <c r="J35" s="24">
        <f t="shared" si="24"/>
        <v>0</v>
      </c>
      <c r="K35" s="24">
        <f t="shared" si="25"/>
        <v>0</v>
      </c>
      <c r="L35" s="24">
        <f t="shared" si="26"/>
        <v>0</v>
      </c>
      <c r="M35" s="24">
        <f t="shared" ref="M35:M37" si="27">$D26*M$25</f>
        <v>0</v>
      </c>
      <c r="N35" s="24"/>
      <c r="O35" s="24"/>
      <c r="P35" s="24">
        <f t="shared" si="16"/>
        <v>0</v>
      </c>
      <c r="Q35" s="25" t="str">
        <f t="shared" si="17"/>
        <v/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ht="22.5" customHeight="1">
      <c r="A36" s="29"/>
      <c r="B36" s="29">
        <v>11.0</v>
      </c>
      <c r="C36" s="21" t="s">
        <v>16</v>
      </c>
      <c r="D36" s="27" t="str">
        <f t="shared" si="18"/>
        <v/>
      </c>
      <c r="E36" s="24">
        <f t="shared" si="19"/>
        <v>0</v>
      </c>
      <c r="F36" s="24">
        <f t="shared" si="20"/>
        <v>0</v>
      </c>
      <c r="G36" s="24">
        <f t="shared" si="21"/>
        <v>0</v>
      </c>
      <c r="H36" s="24">
        <f t="shared" si="22"/>
        <v>0</v>
      </c>
      <c r="I36" s="24">
        <f t="shared" si="23"/>
        <v>0</v>
      </c>
      <c r="J36" s="24">
        <f t="shared" si="24"/>
        <v>0</v>
      </c>
      <c r="K36" s="24">
        <f t="shared" si="25"/>
        <v>0</v>
      </c>
      <c r="L36" s="24">
        <f t="shared" si="26"/>
        <v>0</v>
      </c>
      <c r="M36" s="24">
        <f t="shared" si="27"/>
        <v>0</v>
      </c>
      <c r="N36" s="24">
        <f t="shared" ref="N36:N37" si="28">$D26*N$25</f>
        <v>0</v>
      </c>
      <c r="O36" s="24"/>
      <c r="P36" s="24">
        <f t="shared" si="16"/>
        <v>0</v>
      </c>
      <c r="Q36" s="25" t="str">
        <f t="shared" si="17"/>
        <v/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ht="22.5" customHeight="1">
      <c r="A37" s="21"/>
      <c r="B37" s="21">
        <v>12.0</v>
      </c>
      <c r="C37" s="21" t="s">
        <v>17</v>
      </c>
      <c r="D37" s="27" t="str">
        <f t="shared" si="18"/>
        <v/>
      </c>
      <c r="E37" s="24">
        <f t="shared" si="19"/>
        <v>0</v>
      </c>
      <c r="F37" s="24">
        <f t="shared" si="20"/>
        <v>0</v>
      </c>
      <c r="G37" s="24">
        <f t="shared" si="21"/>
        <v>0</v>
      </c>
      <c r="H37" s="24">
        <f t="shared" si="22"/>
        <v>0</v>
      </c>
      <c r="I37" s="24">
        <f t="shared" si="23"/>
        <v>0</v>
      </c>
      <c r="J37" s="24">
        <f t="shared" si="24"/>
        <v>0</v>
      </c>
      <c r="K37" s="24">
        <f t="shared" si="25"/>
        <v>0</v>
      </c>
      <c r="L37" s="24">
        <f t="shared" si="26"/>
        <v>0</v>
      </c>
      <c r="M37" s="24">
        <f t="shared" si="27"/>
        <v>0</v>
      </c>
      <c r="N37" s="24">
        <f t="shared" si="28"/>
        <v>0</v>
      </c>
      <c r="O37" s="24">
        <f>$D27*O$25</f>
        <v>0</v>
      </c>
      <c r="P37" s="24">
        <f t="shared" si="16"/>
        <v>0</v>
      </c>
      <c r="Q37" s="25" t="str">
        <f t="shared" si="17"/>
        <v/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30"/>
      <c r="Q38" s="3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ht="22.5" customHeight="1">
      <c r="A39" s="21"/>
      <c r="B39" s="21"/>
      <c r="C39" s="9" t="s">
        <v>18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2"/>
      <c r="P39" s="33">
        <v>1200000.0</v>
      </c>
      <c r="Q39" s="3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ht="22.5" customHeight="1">
      <c r="A40" s="21"/>
      <c r="B40" s="21"/>
      <c r="C40" s="21"/>
      <c r="D40" s="21"/>
      <c r="E40" s="3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ht="22.5" customHeight="1">
      <c r="A41" s="21"/>
      <c r="B41" s="21"/>
      <c r="C41" s="30"/>
      <c r="D41" s="21"/>
      <c r="E41" s="3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ht="15.75" customHeight="1">
      <c r="A42" s="40"/>
      <c r="B42" s="40"/>
      <c r="C42" s="41"/>
      <c r="D42" s="40"/>
      <c r="E42" s="42">
        <v>1.0</v>
      </c>
      <c r="F42" s="43">
        <v>2.0</v>
      </c>
      <c r="G42" s="43">
        <v>3.0</v>
      </c>
      <c r="H42" s="43">
        <v>4.0</v>
      </c>
      <c r="I42" s="43">
        <v>5.0</v>
      </c>
      <c r="J42" s="43">
        <v>6.0</v>
      </c>
      <c r="K42" s="43">
        <v>7.0</v>
      </c>
      <c r="L42" s="43">
        <v>8.0</v>
      </c>
      <c r="M42" s="43">
        <v>9.0</v>
      </c>
      <c r="N42" s="43">
        <v>10.0</v>
      </c>
      <c r="O42" s="43">
        <v>11.0</v>
      </c>
      <c r="P42" s="41"/>
      <c r="Q42" s="41"/>
      <c r="R42" s="41"/>
      <c r="S42" s="4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ht="22.5" customHeight="1">
      <c r="A43" s="40"/>
      <c r="B43" s="40"/>
      <c r="C43" s="31" t="s">
        <v>3</v>
      </c>
      <c r="D43" s="44">
        <v>1.0</v>
      </c>
      <c r="E43" s="45">
        <f t="shared" ref="E43:O43" si="29">0.66*E42^-0.2</f>
        <v>0.66</v>
      </c>
      <c r="F43" s="45">
        <f t="shared" si="29"/>
        <v>0.5745633718</v>
      </c>
      <c r="G43" s="45">
        <f t="shared" si="29"/>
        <v>0.5298094308</v>
      </c>
      <c r="H43" s="44">
        <f t="shared" si="29"/>
        <v>0.5001864669</v>
      </c>
      <c r="I43" s="44">
        <f t="shared" si="29"/>
        <v>0.478354578</v>
      </c>
      <c r="J43" s="44">
        <f t="shared" si="29"/>
        <v>0.4612258984</v>
      </c>
      <c r="K43" s="44">
        <f t="shared" si="29"/>
        <v>0.4472232028</v>
      </c>
      <c r="L43" s="44">
        <f t="shared" si="29"/>
        <v>0.4354376106</v>
      </c>
      <c r="M43" s="44">
        <f t="shared" si="29"/>
        <v>0.4253000499</v>
      </c>
      <c r="N43" s="44">
        <f t="shared" si="29"/>
        <v>0.4164318474</v>
      </c>
      <c r="O43" s="44">
        <f t="shared" si="29"/>
        <v>0.4085689877</v>
      </c>
      <c r="P43" s="18" t="s">
        <v>21</v>
      </c>
      <c r="Q43" s="3" t="s">
        <v>22</v>
      </c>
      <c r="R43" s="46" t="s">
        <v>23</v>
      </c>
      <c r="S43" s="46" t="s">
        <v>24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ht="22.5" customHeight="1">
      <c r="A44" s="47"/>
      <c r="B44" s="47">
        <v>1.0</v>
      </c>
      <c r="C44" s="41" t="s">
        <v>6</v>
      </c>
      <c r="D44" s="23"/>
      <c r="E44" s="40"/>
      <c r="F44" s="41"/>
      <c r="G44" s="41"/>
      <c r="H44" s="41"/>
      <c r="I44" s="41"/>
      <c r="J44" s="41"/>
      <c r="K44" s="41"/>
      <c r="L44" s="41"/>
      <c r="M44" s="41"/>
      <c r="N44" s="41"/>
      <c r="O44" s="48"/>
      <c r="P44" s="49">
        <f t="shared" ref="P44:P55" si="30">SUM(D44:O44)</f>
        <v>0</v>
      </c>
      <c r="Q44" s="50" t="str">
        <f t="shared" ref="Q44:Q55" si="31">IFERROR(P44/D44)</f>
        <v/>
      </c>
      <c r="R44" s="41"/>
      <c r="S44" s="4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ht="22.5" customHeight="1">
      <c r="A45" s="47"/>
      <c r="B45" s="47">
        <v>2.0</v>
      </c>
      <c r="C45" s="41" t="s">
        <v>7</v>
      </c>
      <c r="D45" s="27" t="str">
        <f t="shared" ref="D45:D55" si="32">D44</f>
        <v/>
      </c>
      <c r="E45" s="51">
        <f t="shared" ref="E45:E55" si="33">$D44*E$43</f>
        <v>0</v>
      </c>
      <c r="F45" s="51"/>
      <c r="G45" s="51"/>
      <c r="H45" s="52"/>
      <c r="I45" s="52"/>
      <c r="J45" s="52"/>
      <c r="K45" s="52"/>
      <c r="L45" s="52"/>
      <c r="M45" s="52"/>
      <c r="N45" s="52"/>
      <c r="O45" s="53"/>
      <c r="P45" s="51">
        <f t="shared" si="30"/>
        <v>0</v>
      </c>
      <c r="Q45" s="50" t="str">
        <f t="shared" si="31"/>
        <v/>
      </c>
      <c r="R45" s="54">
        <f>D44-E45</f>
        <v>0</v>
      </c>
      <c r="S45" s="54">
        <f>D44-E45</f>
        <v>0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ht="22.5" customHeight="1">
      <c r="A46" s="47"/>
      <c r="B46" s="47">
        <v>3.0</v>
      </c>
      <c r="C46" s="41" t="s">
        <v>8</v>
      </c>
      <c r="D46" s="27" t="str">
        <f t="shared" si="32"/>
        <v/>
      </c>
      <c r="E46" s="51">
        <f t="shared" si="33"/>
        <v>0</v>
      </c>
      <c r="F46" s="51">
        <f t="shared" ref="F46:F55" si="34">$D44*F$43</f>
        <v>0</v>
      </c>
      <c r="G46" s="51"/>
      <c r="H46" s="52"/>
      <c r="I46" s="52"/>
      <c r="J46" s="52"/>
      <c r="K46" s="52"/>
      <c r="L46" s="52"/>
      <c r="M46" s="52"/>
      <c r="N46" s="52"/>
      <c r="O46" s="53"/>
      <c r="P46" s="51">
        <f t="shared" si="30"/>
        <v>0</v>
      </c>
      <c r="Q46" s="50" t="str">
        <f t="shared" si="31"/>
        <v/>
      </c>
      <c r="R46" s="54">
        <f t="shared" ref="R46:R55" si="35">SUM(D45:O45)-SUM(E46:O46)</f>
        <v>0</v>
      </c>
      <c r="S46" s="54">
        <f t="shared" ref="S46:S55" si="36">SUM(D$44:D45)-SUM(E46:O46)</f>
        <v>0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ht="22.5" customHeight="1">
      <c r="A47" s="47"/>
      <c r="B47" s="47">
        <v>4.0</v>
      </c>
      <c r="C47" s="41" t="s">
        <v>9</v>
      </c>
      <c r="D47" s="27" t="str">
        <f t="shared" si="32"/>
        <v/>
      </c>
      <c r="E47" s="51">
        <f t="shared" si="33"/>
        <v>0</v>
      </c>
      <c r="F47" s="51">
        <f t="shared" si="34"/>
        <v>0</v>
      </c>
      <c r="G47" s="51">
        <f t="shared" ref="G47:G55" si="37">$D44*G$43</f>
        <v>0</v>
      </c>
      <c r="H47" s="52"/>
      <c r="I47" s="52"/>
      <c r="J47" s="52"/>
      <c r="K47" s="52"/>
      <c r="L47" s="52"/>
      <c r="M47" s="52"/>
      <c r="N47" s="52"/>
      <c r="O47" s="53"/>
      <c r="P47" s="51">
        <f t="shared" si="30"/>
        <v>0</v>
      </c>
      <c r="Q47" s="50" t="str">
        <f t="shared" si="31"/>
        <v/>
      </c>
      <c r="R47" s="54">
        <f t="shared" si="35"/>
        <v>0</v>
      </c>
      <c r="S47" s="54">
        <f t="shared" si="36"/>
        <v>0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ht="22.5" customHeight="1">
      <c r="A48" s="47"/>
      <c r="B48" s="47">
        <v>5.0</v>
      </c>
      <c r="C48" s="41" t="s">
        <v>10</v>
      </c>
      <c r="D48" s="27" t="str">
        <f t="shared" si="32"/>
        <v/>
      </c>
      <c r="E48" s="51">
        <f t="shared" si="33"/>
        <v>0</v>
      </c>
      <c r="F48" s="51">
        <f t="shared" si="34"/>
        <v>0</v>
      </c>
      <c r="G48" s="51">
        <f t="shared" si="37"/>
        <v>0</v>
      </c>
      <c r="H48" s="51">
        <f t="shared" ref="H48:H55" si="38">$D44*H$43</f>
        <v>0</v>
      </c>
      <c r="I48" s="53"/>
      <c r="J48" s="53"/>
      <c r="K48" s="53"/>
      <c r="L48" s="53"/>
      <c r="M48" s="53"/>
      <c r="N48" s="53"/>
      <c r="O48" s="53"/>
      <c r="P48" s="51">
        <f t="shared" si="30"/>
        <v>0</v>
      </c>
      <c r="Q48" s="50" t="str">
        <f t="shared" si="31"/>
        <v/>
      </c>
      <c r="R48" s="54">
        <f t="shared" si="35"/>
        <v>0</v>
      </c>
      <c r="S48" s="54">
        <f t="shared" si="36"/>
        <v>0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ht="22.5" customHeight="1">
      <c r="A49" s="47"/>
      <c r="B49" s="47">
        <v>6.0</v>
      </c>
      <c r="C49" s="41" t="s">
        <v>11</v>
      </c>
      <c r="D49" s="27" t="str">
        <f t="shared" si="32"/>
        <v/>
      </c>
      <c r="E49" s="51">
        <f t="shared" si="33"/>
        <v>0</v>
      </c>
      <c r="F49" s="51">
        <f t="shared" si="34"/>
        <v>0</v>
      </c>
      <c r="G49" s="51">
        <f t="shared" si="37"/>
        <v>0</v>
      </c>
      <c r="H49" s="51">
        <f t="shared" si="38"/>
        <v>0</v>
      </c>
      <c r="I49" s="51">
        <f t="shared" ref="I49:I55" si="39">$D44*I$43</f>
        <v>0</v>
      </c>
      <c r="J49" s="53"/>
      <c r="K49" s="53"/>
      <c r="L49" s="53"/>
      <c r="M49" s="53"/>
      <c r="N49" s="53"/>
      <c r="O49" s="53"/>
      <c r="P49" s="51">
        <f t="shared" si="30"/>
        <v>0</v>
      </c>
      <c r="Q49" s="50" t="str">
        <f t="shared" si="31"/>
        <v/>
      </c>
      <c r="R49" s="54">
        <f t="shared" si="35"/>
        <v>0</v>
      </c>
      <c r="S49" s="54">
        <f t="shared" si="36"/>
        <v>0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ht="22.5" customHeight="1">
      <c r="A50" s="47"/>
      <c r="B50" s="47">
        <v>7.0</v>
      </c>
      <c r="C50" s="41" t="s">
        <v>12</v>
      </c>
      <c r="D50" s="27" t="str">
        <f t="shared" si="32"/>
        <v/>
      </c>
      <c r="E50" s="51">
        <f t="shared" si="33"/>
        <v>0</v>
      </c>
      <c r="F50" s="51">
        <f t="shared" si="34"/>
        <v>0</v>
      </c>
      <c r="G50" s="51">
        <f t="shared" si="37"/>
        <v>0</v>
      </c>
      <c r="H50" s="51">
        <f t="shared" si="38"/>
        <v>0</v>
      </c>
      <c r="I50" s="51">
        <f t="shared" si="39"/>
        <v>0</v>
      </c>
      <c r="J50" s="51">
        <f t="shared" ref="J50:J55" si="40">$D44*J$43</f>
        <v>0</v>
      </c>
      <c r="K50" s="53"/>
      <c r="L50" s="53"/>
      <c r="M50" s="53"/>
      <c r="N50" s="53"/>
      <c r="O50" s="53"/>
      <c r="P50" s="51">
        <f t="shared" si="30"/>
        <v>0</v>
      </c>
      <c r="Q50" s="50" t="str">
        <f t="shared" si="31"/>
        <v/>
      </c>
      <c r="R50" s="54">
        <f t="shared" si="35"/>
        <v>0</v>
      </c>
      <c r="S50" s="54">
        <f t="shared" si="36"/>
        <v>0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ht="22.5" customHeight="1">
      <c r="A51" s="47"/>
      <c r="B51" s="47">
        <v>8.0</v>
      </c>
      <c r="C51" s="41" t="s">
        <v>13</v>
      </c>
      <c r="D51" s="27" t="str">
        <f t="shared" si="32"/>
        <v/>
      </c>
      <c r="E51" s="51">
        <f t="shared" si="33"/>
        <v>0</v>
      </c>
      <c r="F51" s="51">
        <f t="shared" si="34"/>
        <v>0</v>
      </c>
      <c r="G51" s="51">
        <f t="shared" si="37"/>
        <v>0</v>
      </c>
      <c r="H51" s="51">
        <f t="shared" si="38"/>
        <v>0</v>
      </c>
      <c r="I51" s="51">
        <f t="shared" si="39"/>
        <v>0</v>
      </c>
      <c r="J51" s="51">
        <f t="shared" si="40"/>
        <v>0</v>
      </c>
      <c r="K51" s="51">
        <f t="shared" ref="K51:K55" si="41">$D44*K$43</f>
        <v>0</v>
      </c>
      <c r="L51" s="53"/>
      <c r="M51" s="53"/>
      <c r="N51" s="53"/>
      <c r="O51" s="53"/>
      <c r="P51" s="51">
        <f t="shared" si="30"/>
        <v>0</v>
      </c>
      <c r="Q51" s="50" t="str">
        <f t="shared" si="31"/>
        <v/>
      </c>
      <c r="R51" s="54">
        <f t="shared" si="35"/>
        <v>0</v>
      </c>
      <c r="S51" s="54">
        <f t="shared" si="36"/>
        <v>0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ht="22.5" customHeight="1">
      <c r="A52" s="47"/>
      <c r="B52" s="47">
        <v>9.0</v>
      </c>
      <c r="C52" s="41" t="s">
        <v>14</v>
      </c>
      <c r="D52" s="27" t="str">
        <f t="shared" si="32"/>
        <v/>
      </c>
      <c r="E52" s="51">
        <f t="shared" si="33"/>
        <v>0</v>
      </c>
      <c r="F52" s="51">
        <f t="shared" si="34"/>
        <v>0</v>
      </c>
      <c r="G52" s="51">
        <f t="shared" si="37"/>
        <v>0</v>
      </c>
      <c r="H52" s="51">
        <f t="shared" si="38"/>
        <v>0</v>
      </c>
      <c r="I52" s="51">
        <f t="shared" si="39"/>
        <v>0</v>
      </c>
      <c r="J52" s="51">
        <f t="shared" si="40"/>
        <v>0</v>
      </c>
      <c r="K52" s="51">
        <f t="shared" si="41"/>
        <v>0</v>
      </c>
      <c r="L52" s="51">
        <f t="shared" ref="L52:L55" si="42">$D44*L$43</f>
        <v>0</v>
      </c>
      <c r="M52" s="53"/>
      <c r="N52" s="53"/>
      <c r="O52" s="53"/>
      <c r="P52" s="51">
        <f t="shared" si="30"/>
        <v>0</v>
      </c>
      <c r="Q52" s="50" t="str">
        <f t="shared" si="31"/>
        <v/>
      </c>
      <c r="R52" s="54">
        <f t="shared" si="35"/>
        <v>0</v>
      </c>
      <c r="S52" s="54">
        <f t="shared" si="36"/>
        <v>0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ht="22.5" customHeight="1">
      <c r="A53" s="47"/>
      <c r="B53" s="47">
        <v>10.0</v>
      </c>
      <c r="C53" s="41" t="s">
        <v>15</v>
      </c>
      <c r="D53" s="27" t="str">
        <f t="shared" si="32"/>
        <v/>
      </c>
      <c r="E53" s="51">
        <f t="shared" si="33"/>
        <v>0</v>
      </c>
      <c r="F53" s="51">
        <f t="shared" si="34"/>
        <v>0</v>
      </c>
      <c r="G53" s="51">
        <f t="shared" si="37"/>
        <v>0</v>
      </c>
      <c r="H53" s="51">
        <f t="shared" si="38"/>
        <v>0</v>
      </c>
      <c r="I53" s="51">
        <f t="shared" si="39"/>
        <v>0</v>
      </c>
      <c r="J53" s="51">
        <f t="shared" si="40"/>
        <v>0</v>
      </c>
      <c r="K53" s="51">
        <f t="shared" si="41"/>
        <v>0</v>
      </c>
      <c r="L53" s="51">
        <f t="shared" si="42"/>
        <v>0</v>
      </c>
      <c r="M53" s="51">
        <f t="shared" ref="M53:M55" si="43">$D44*M$43</f>
        <v>0</v>
      </c>
      <c r="N53" s="53"/>
      <c r="O53" s="53"/>
      <c r="P53" s="51">
        <f t="shared" si="30"/>
        <v>0</v>
      </c>
      <c r="Q53" s="50" t="str">
        <f t="shared" si="31"/>
        <v/>
      </c>
      <c r="R53" s="54">
        <f t="shared" si="35"/>
        <v>0</v>
      </c>
      <c r="S53" s="54">
        <f t="shared" si="36"/>
        <v>0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ht="22.5" customHeight="1">
      <c r="A54" s="47"/>
      <c r="B54" s="47">
        <v>11.0</v>
      </c>
      <c r="C54" s="41" t="s">
        <v>16</v>
      </c>
      <c r="D54" s="27" t="str">
        <f t="shared" si="32"/>
        <v/>
      </c>
      <c r="E54" s="51">
        <f t="shared" si="33"/>
        <v>0</v>
      </c>
      <c r="F54" s="51">
        <f t="shared" si="34"/>
        <v>0</v>
      </c>
      <c r="G54" s="51">
        <f t="shared" si="37"/>
        <v>0</v>
      </c>
      <c r="H54" s="51">
        <f t="shared" si="38"/>
        <v>0</v>
      </c>
      <c r="I54" s="51">
        <f t="shared" si="39"/>
        <v>0</v>
      </c>
      <c r="J54" s="51">
        <f t="shared" si="40"/>
        <v>0</v>
      </c>
      <c r="K54" s="51">
        <f t="shared" si="41"/>
        <v>0</v>
      </c>
      <c r="L54" s="51">
        <f t="shared" si="42"/>
        <v>0</v>
      </c>
      <c r="M54" s="51">
        <f t="shared" si="43"/>
        <v>0</v>
      </c>
      <c r="N54" s="51">
        <f t="shared" ref="N54:N55" si="44">$D44*N$43</f>
        <v>0</v>
      </c>
      <c r="O54" s="53"/>
      <c r="P54" s="51">
        <f t="shared" si="30"/>
        <v>0</v>
      </c>
      <c r="Q54" s="50" t="str">
        <f t="shared" si="31"/>
        <v/>
      </c>
      <c r="R54" s="54">
        <f t="shared" si="35"/>
        <v>0</v>
      </c>
      <c r="S54" s="54">
        <f t="shared" si="36"/>
        <v>0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ht="22.5" customHeight="1">
      <c r="A55" s="47"/>
      <c r="B55" s="47">
        <v>12.0</v>
      </c>
      <c r="C55" s="41" t="s">
        <v>17</v>
      </c>
      <c r="D55" s="27" t="str">
        <f t="shared" si="32"/>
        <v/>
      </c>
      <c r="E55" s="51">
        <f t="shared" si="33"/>
        <v>0</v>
      </c>
      <c r="F55" s="51">
        <f t="shared" si="34"/>
        <v>0</v>
      </c>
      <c r="G55" s="51">
        <f t="shared" si="37"/>
        <v>0</v>
      </c>
      <c r="H55" s="51">
        <f t="shared" si="38"/>
        <v>0</v>
      </c>
      <c r="I55" s="51">
        <f t="shared" si="39"/>
        <v>0</v>
      </c>
      <c r="J55" s="51">
        <f t="shared" si="40"/>
        <v>0</v>
      </c>
      <c r="K55" s="51">
        <f t="shared" si="41"/>
        <v>0</v>
      </c>
      <c r="L55" s="51">
        <f t="shared" si="42"/>
        <v>0</v>
      </c>
      <c r="M55" s="51">
        <f t="shared" si="43"/>
        <v>0</v>
      </c>
      <c r="N55" s="51">
        <f t="shared" si="44"/>
        <v>0</v>
      </c>
      <c r="O55" s="51">
        <f>$D45*O$43</f>
        <v>0</v>
      </c>
      <c r="P55" s="51">
        <f t="shared" si="30"/>
        <v>0</v>
      </c>
      <c r="Q55" s="50" t="str">
        <f t="shared" si="31"/>
        <v/>
      </c>
      <c r="R55" s="54">
        <f t="shared" si="35"/>
        <v>0</v>
      </c>
      <c r="S55" s="54">
        <f t="shared" si="36"/>
        <v>0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ht="22.5" customHeight="1">
      <c r="A56" s="40"/>
      <c r="B56" s="40"/>
      <c r="C56" s="41"/>
      <c r="D56" s="40"/>
      <c r="E56" s="40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30"/>
      <c r="Q56" s="41"/>
      <c r="R56" s="41"/>
      <c r="S56" s="4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ht="22.5" customHeight="1">
      <c r="A57" s="40"/>
      <c r="B57" s="40"/>
      <c r="C57" s="31" t="s">
        <v>18</v>
      </c>
      <c r="D57" s="40"/>
      <c r="E57" s="40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55">
        <v>1200000.0</v>
      </c>
      <c r="Q57" s="41"/>
      <c r="R57" s="41"/>
      <c r="S57" s="4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>
      <c r="A58" s="1"/>
      <c r="B58" s="1"/>
      <c r="C58" s="1"/>
      <c r="D58" s="21"/>
      <c r="E58" s="3"/>
      <c r="F58" s="3"/>
      <c r="G58" s="3"/>
      <c r="H58" s="3"/>
      <c r="I58" s="3"/>
      <c r="J58" s="3"/>
      <c r="K58" s="3"/>
      <c r="L58" s="3"/>
      <c r="M58" s="3"/>
      <c r="N58" s="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>
      <c r="A59" s="1"/>
      <c r="B59" s="1"/>
      <c r="C59" s="1"/>
      <c r="D59" s="21"/>
      <c r="E59" s="3"/>
      <c r="F59" s="3"/>
      <c r="G59" s="3"/>
      <c r="H59" s="3"/>
      <c r="I59" s="3"/>
      <c r="J59" s="3"/>
      <c r="K59" s="3"/>
      <c r="L59" s="3"/>
      <c r="M59" s="3"/>
      <c r="N59" s="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>
      <c r="A60" s="1"/>
      <c r="B60" s="1"/>
      <c r="C60" s="1"/>
      <c r="D60" s="21"/>
      <c r="E60" s="3"/>
      <c r="F60" s="3"/>
      <c r="G60" s="3"/>
      <c r="H60" s="3"/>
      <c r="I60" s="3"/>
      <c r="J60" s="3"/>
      <c r="K60" s="3"/>
      <c r="L60" s="3"/>
      <c r="M60" s="3"/>
      <c r="N60" s="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>
      <c r="A61" s="1"/>
      <c r="B61" s="1"/>
      <c r="C61" s="9"/>
      <c r="D61" s="11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>
      <c r="A62" s="1"/>
      <c r="B62" s="1"/>
      <c r="C62" s="21"/>
      <c r="D62" s="21"/>
      <c r="E62" s="1"/>
      <c r="F62" s="1"/>
      <c r="G62" s="1"/>
      <c r="H62" s="1"/>
      <c r="I62" s="1"/>
      <c r="J62" s="1"/>
      <c r="K62" s="1"/>
      <c r="L62" s="1"/>
      <c r="M62" s="1"/>
      <c r="N62" s="1"/>
      <c r="O62" s="36"/>
      <c r="P62" s="36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>
      <c r="A63" s="21"/>
      <c r="B63" s="21"/>
      <c r="C63" s="21"/>
      <c r="D63" s="21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36"/>
      <c r="P63" s="36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>
      <c r="A64" s="21"/>
      <c r="B64" s="21"/>
      <c r="C64" s="21"/>
      <c r="D64" s="21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36"/>
      <c r="P64" s="36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>
      <c r="A65" s="21"/>
      <c r="B65" s="21"/>
      <c r="C65" s="21"/>
      <c r="D65" s="21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36"/>
      <c r="P65" s="36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>
      <c r="A66" s="21"/>
      <c r="B66" s="21"/>
      <c r="C66" s="21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>
      <c r="A67" s="21"/>
      <c r="B67" s="21"/>
      <c r="C67" s="21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>
      <c r="A68" s="21"/>
      <c r="B68" s="21"/>
      <c r="C68" s="21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>
      <c r="A69" s="21"/>
      <c r="B69" s="21"/>
      <c r="C69" s="21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>
      <c r="A70" s="21"/>
      <c r="B70" s="21"/>
      <c r="C70" s="21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>
      <c r="A71" s="21"/>
      <c r="B71" s="21"/>
      <c r="C71" s="21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>
      <c r="A72" s="21"/>
      <c r="B72" s="21"/>
      <c r="C72" s="21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>
      <c r="A75" s="1"/>
      <c r="B75" s="1"/>
      <c r="C75" s="1"/>
      <c r="D75" s="1"/>
      <c r="E75" s="3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>
      <c r="A76" s="1"/>
      <c r="B76" s="1"/>
      <c r="C76" s="1"/>
      <c r="D76" s="1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>
      <c r="A77" s="9"/>
      <c r="B77" s="9"/>
      <c r="C77" s="9"/>
      <c r="D77" s="11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>
      <c r="A78" s="21"/>
      <c r="B78" s="21"/>
      <c r="C78" s="21"/>
      <c r="D78" s="21"/>
      <c r="E78" s="1"/>
      <c r="F78" s="1"/>
      <c r="G78" s="1"/>
      <c r="H78" s="1"/>
      <c r="I78" s="1"/>
      <c r="J78" s="1"/>
      <c r="K78" s="1"/>
      <c r="L78" s="1"/>
      <c r="M78" s="1"/>
      <c r="N78" s="1"/>
      <c r="O78" s="36"/>
      <c r="P78" s="36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>
      <c r="A79" s="21"/>
      <c r="B79" s="21"/>
      <c r="C79" s="21"/>
      <c r="D79" s="21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36"/>
      <c r="P79" s="36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>
      <c r="A80" s="21"/>
      <c r="B80" s="21"/>
      <c r="C80" s="21"/>
      <c r="D80" s="21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36"/>
      <c r="P80" s="36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>
      <c r="A81" s="21"/>
      <c r="B81" s="21"/>
      <c r="C81" s="21"/>
      <c r="D81" s="21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36"/>
      <c r="P81" s="36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>
      <c r="A82" s="21"/>
      <c r="B82" s="21"/>
      <c r="C82" s="21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>
      <c r="A83" s="21"/>
      <c r="B83" s="21"/>
      <c r="C83" s="21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>
      <c r="A84" s="21"/>
      <c r="B84" s="21"/>
      <c r="C84" s="21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>
      <c r="A85" s="21"/>
      <c r="B85" s="21"/>
      <c r="C85" s="21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>
      <c r="A86" s="21"/>
      <c r="B86" s="21"/>
      <c r="C86" s="21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>
      <c r="A87" s="21"/>
      <c r="B87" s="21"/>
      <c r="C87" s="21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>
      <c r="A88" s="21"/>
      <c r="B88" s="21"/>
      <c r="C88" s="21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>
      <c r="A94" s="21"/>
      <c r="B94" s="21"/>
      <c r="C94" s="21"/>
      <c r="D94" s="21"/>
      <c r="E94" s="3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>
      <c r="A95" s="1"/>
      <c r="B95" s="1"/>
      <c r="C95" s="1"/>
      <c r="D95" s="21"/>
      <c r="E95" s="3"/>
      <c r="F95" s="3"/>
      <c r="G95" s="3"/>
      <c r="H95" s="3"/>
      <c r="I95" s="3"/>
      <c r="J95" s="3"/>
      <c r="K95" s="3"/>
      <c r="L95" s="3"/>
      <c r="M95" s="3"/>
      <c r="N95" s="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>
      <c r="A96" s="1"/>
      <c r="B96" s="1"/>
      <c r="C96" s="9"/>
      <c r="D96" s="11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>
      <c r="A97" s="1"/>
      <c r="B97" s="1"/>
      <c r="C97" s="21"/>
      <c r="D97" s="21"/>
      <c r="E97" s="1"/>
      <c r="F97" s="1"/>
      <c r="G97" s="1"/>
      <c r="H97" s="1"/>
      <c r="I97" s="1"/>
      <c r="J97" s="1"/>
      <c r="K97" s="1"/>
      <c r="L97" s="1"/>
      <c r="M97" s="1"/>
      <c r="N97" s="1"/>
      <c r="O97" s="36"/>
      <c r="P97" s="36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>
      <c r="A98" s="21"/>
      <c r="B98" s="21"/>
      <c r="C98" s="21"/>
      <c r="D98" s="21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36"/>
      <c r="P98" s="36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>
      <c r="A99" s="21"/>
      <c r="B99" s="21"/>
      <c r="C99" s="21"/>
      <c r="D99" s="21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36"/>
      <c r="P99" s="36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>
      <c r="A100" s="21"/>
      <c r="B100" s="21"/>
      <c r="C100" s="21"/>
      <c r="D100" s="21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36"/>
      <c r="P100" s="36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>
      <c r="A101" s="21"/>
      <c r="B101" s="21"/>
      <c r="C101" s="21"/>
      <c r="D101" s="59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>
      <c r="A102" s="21"/>
      <c r="B102" s="21"/>
      <c r="C102" s="21"/>
      <c r="D102" s="59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>
      <c r="A103" s="21"/>
      <c r="B103" s="21"/>
      <c r="C103" s="21"/>
      <c r="D103" s="59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>
      <c r="A104" s="21"/>
      <c r="B104" s="21"/>
      <c r="C104" s="21"/>
      <c r="D104" s="59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>
      <c r="A105" s="21"/>
      <c r="B105" s="21"/>
      <c r="C105" s="21"/>
      <c r="D105" s="59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>
      <c r="A106" s="21"/>
      <c r="B106" s="21"/>
      <c r="C106" s="21"/>
      <c r="D106" s="59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>
      <c r="A107" s="21"/>
      <c r="B107" s="21"/>
      <c r="C107" s="21"/>
      <c r="D107" s="59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60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</row>
  </sheetData>
  <mergeCells count="1">
    <mergeCell ref="A9:A15"/>
  </mergeCells>
  <drawing r:id="rId1"/>
</worksheet>
</file>