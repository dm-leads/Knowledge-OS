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Курсы на изучение\Илья Красинский\Принимаем продуктовые и бизнес решения на основе цифр (Илья Красинский)\Испытание 0\"/>
    </mc:Choice>
  </mc:AlternateContent>
  <bookViews>
    <workbookView xWindow="0" yWindow="0" windowWidth="16320" windowHeight="7845" activeTab="2"/>
  </bookViews>
  <sheets>
    <sheet name="подвиг 1. музыкальный сервис" sheetId="1" r:id="rId1"/>
    <sheet name="подвиг 2. интернет-магазин" sheetId="2" r:id="rId2"/>
    <sheet name="подвиг 3. hot wi-fi" sheetId="3" r:id="rId3"/>
  </sheets>
  <calcPr calcId="162913"/>
</workbook>
</file>

<file path=xl/calcChain.xml><?xml version="1.0" encoding="utf-8"?>
<calcChain xmlns="http://schemas.openxmlformats.org/spreadsheetml/2006/main">
  <c r="J17" i="3" l="1"/>
  <c r="AA17" i="3" s="1"/>
  <c r="Y17" i="3" s="1"/>
  <c r="U11" i="3"/>
  <c r="J11" i="3"/>
  <c r="AB27" i="2"/>
  <c r="U27" i="2"/>
  <c r="Y27" i="2"/>
  <c r="AA27" i="2"/>
  <c r="Z27" i="2"/>
  <c r="AC27" i="2"/>
  <c r="J27" i="2"/>
  <c r="T13" i="2"/>
  <c r="T14" i="2"/>
  <c r="T12" i="2"/>
  <c r="U14" i="2"/>
  <c r="U13" i="2"/>
  <c r="U12" i="2"/>
  <c r="Y20" i="2" s="1"/>
  <c r="M12" i="2"/>
  <c r="J13" i="2"/>
  <c r="AA13" i="2" s="1"/>
  <c r="AA16" i="2" s="1"/>
  <c r="J14" i="2"/>
  <c r="AA14" i="2" s="1"/>
  <c r="J12" i="2"/>
  <c r="J24" i="1"/>
  <c r="U24" i="1" s="1"/>
  <c r="U14" i="1"/>
  <c r="U13" i="1"/>
  <c r="Y17" i="1" s="1"/>
  <c r="G14" i="1"/>
  <c r="G13" i="1"/>
  <c r="J14" i="1"/>
  <c r="J13" i="1"/>
  <c r="H13" i="1"/>
  <c r="AC21" i="3"/>
  <c r="AB21" i="3"/>
  <c r="AA21" i="3"/>
  <c r="Y21" i="3"/>
  <c r="AC17" i="3"/>
  <c r="AB17" i="3"/>
  <c r="H17" i="3"/>
  <c r="Z17" i="3" s="1"/>
  <c r="F17" i="3"/>
  <c r="AC11" i="3"/>
  <c r="AB11" i="3"/>
  <c r="AB22" i="3" s="1"/>
  <c r="AB20" i="3" s="1"/>
  <c r="AA11" i="3"/>
  <c r="H11" i="3"/>
  <c r="Z21" i="3" s="1"/>
  <c r="F11" i="3"/>
  <c r="K27" i="2"/>
  <c r="AC21" i="2"/>
  <c r="AB20" i="2"/>
  <c r="AA20" i="2"/>
  <c r="Z20" i="2"/>
  <c r="AB16" i="2"/>
  <c r="H16" i="2"/>
  <c r="G16" i="2"/>
  <c r="P14" i="2"/>
  <c r="P27" i="2" s="1"/>
  <c r="F14" i="2"/>
  <c r="F27" i="2" s="1"/>
  <c r="G27" i="2" s="1"/>
  <c r="H27" i="2" s="1"/>
  <c r="P13" i="2"/>
  <c r="F13" i="2"/>
  <c r="AC12" i="2"/>
  <c r="AA21" i="2" s="1"/>
  <c r="AA19" i="2" s="1"/>
  <c r="AB12" i="2"/>
  <c r="AB21" i="2" s="1"/>
  <c r="P12" i="2"/>
  <c r="AC20" i="2"/>
  <c r="AC19" i="2" s="1"/>
  <c r="K12" i="2"/>
  <c r="F12" i="2"/>
  <c r="T24" i="1"/>
  <c r="AB24" i="1" s="1"/>
  <c r="L24" i="1"/>
  <c r="K24" i="1"/>
  <c r="G24" i="1"/>
  <c r="AB17" i="1"/>
  <c r="AA17" i="1"/>
  <c r="C14" i="1"/>
  <c r="AB14" i="1" s="1"/>
  <c r="AB13" i="1"/>
  <c r="AB18" i="1" s="1"/>
  <c r="U17" i="3" l="1"/>
  <c r="Z22" i="3"/>
  <c r="Z20" i="3" s="1"/>
  <c r="Y13" i="2"/>
  <c r="Y14" i="2"/>
  <c r="AB19" i="2"/>
  <c r="Y12" i="2"/>
  <c r="AA24" i="1"/>
  <c r="AB16" i="1"/>
  <c r="H14" i="1"/>
  <c r="Z14" i="1" s="1"/>
  <c r="AC14" i="1" s="1"/>
  <c r="Y14" i="1" s="1"/>
  <c r="Z19" i="2"/>
  <c r="Z17" i="1"/>
  <c r="AC13" i="1"/>
  <c r="AC17" i="1"/>
  <c r="Z13" i="1"/>
  <c r="H24" i="1"/>
  <c r="Z24" i="1" s="1"/>
  <c r="Z21" i="2"/>
  <c r="Y11" i="3"/>
  <c r="Y21" i="2"/>
  <c r="Y19" i="2" s="1"/>
  <c r="AA13" i="1"/>
  <c r="M13" i="2"/>
  <c r="Z11" i="3"/>
  <c r="Y16" i="2" l="1"/>
  <c r="AA14" i="1"/>
  <c r="Z18" i="1"/>
  <c r="Z16" i="1" s="1"/>
  <c r="AC24" i="1"/>
  <c r="Y24" i="1" s="1"/>
  <c r="AC13" i="2"/>
  <c r="M14" i="2"/>
  <c r="AC18" i="1"/>
  <c r="AC16" i="1" s="1"/>
  <c r="Y18" i="1"/>
  <c r="Y16" i="1" s="1"/>
  <c r="AA18" i="1"/>
  <c r="AA16" i="1" s="1"/>
  <c r="Y13" i="1"/>
  <c r="AC22" i="3"/>
  <c r="AC20" i="3" s="1"/>
  <c r="Y22" i="3"/>
  <c r="Y20" i="3" s="1"/>
  <c r="AA22" i="3"/>
  <c r="AA20" i="3" s="1"/>
  <c r="Z13" i="2" l="1"/>
  <c r="AC14" i="2"/>
  <c r="Z14" i="2" s="1"/>
  <c r="M27" i="2"/>
  <c r="AC16" i="2" l="1"/>
  <c r="Z16" i="2"/>
</calcChain>
</file>

<file path=xl/sharedStrings.xml><?xml version="1.0" encoding="utf-8"?>
<sst xmlns="http://schemas.openxmlformats.org/spreadsheetml/2006/main" count="207" uniqueCount="130">
  <si>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</si>
  <si>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</si>
  <si>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</si>
  <si>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</si>
  <si>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</si>
  <si>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</si>
  <si>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регистраций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</si>
  <si>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</si>
  <si>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</si>
  <si>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</si>
  <si>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</si>
  <si>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</si>
  <si>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</si>
  <si>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</si>
  <si>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</si>
  <si>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</si>
  <si>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платящего</t>
  </si>
  <si>
    <t>стоимость платящего</t>
  </si>
  <si>
    <t>стоимость заказа
или оплаты</t>
  </si>
  <si>
    <t>cтоимость привлечения
пользователя</t>
  </si>
  <si>
    <t>маржа на 1-го привлеченного</t>
  </si>
  <si>
    <t>прибыль
на пользователя</t>
  </si>
  <si>
    <t>чистая прибыль 
с потока пользователей</t>
  </si>
  <si>
    <t>прибыль 
с потока пользователей</t>
  </si>
  <si>
    <t>выручка</t>
  </si>
  <si>
    <t>доход 
с потока пользователей</t>
  </si>
  <si>
    <t>расходы 
на привлечение
 пользователей</t>
  </si>
  <si>
    <t xml:space="preserve"> издержки
на потоке пользователей</t>
  </si>
  <si>
    <t>расходы в месяц 
ограниченные сверху</t>
  </si>
  <si>
    <r>
      <rPr>
        <b/>
        <sz val="9"/>
        <color theme="1"/>
        <rFont val="Trebuchet MS"/>
      </rPr>
      <t xml:space="preserve">Users 
</t>
    </r>
    <r>
      <rPr>
        <i/>
        <sz val="8"/>
        <color theme="1"/>
        <rFont val="Trebuchet MS"/>
      </rPr>
      <t>or Lead Acqusition</t>
    </r>
  </si>
  <si>
    <r>
      <rPr>
        <b/>
        <sz val="9"/>
        <color theme="1"/>
        <rFont val="Trebuchet MS"/>
      </rPr>
      <t xml:space="preserve">Conv.
</t>
    </r>
    <r>
      <rPr>
        <i/>
        <sz val="8"/>
        <color theme="1"/>
        <rFont val="Trebuchet MS"/>
      </rPr>
      <t>to regs
or lead</t>
    </r>
  </si>
  <si>
    <r>
      <rPr>
        <b/>
        <sz val="9"/>
        <color theme="1"/>
        <rFont val="&quot;Trebuchet MS&quot;"/>
      </rPr>
      <t xml:space="preserve">Regs
</t>
    </r>
    <r>
      <rPr>
        <i/>
        <sz val="8"/>
        <color theme="1"/>
        <rFont val="&quot;Trebuchet MS&quot;"/>
      </rPr>
      <t>or leads</t>
    </r>
  </si>
  <si>
    <r>
      <rPr>
        <b/>
        <sz val="9"/>
        <color theme="1"/>
        <rFont val="Trebuchet MS"/>
      </rPr>
      <t xml:space="preserve">С1
</t>
    </r>
    <r>
      <rPr>
        <i/>
        <sz val="8"/>
        <color theme="1"/>
        <rFont val="Trebuchet MS"/>
      </rPr>
      <t>conv
to buyer</t>
    </r>
  </si>
  <si>
    <t>Buyers</t>
  </si>
  <si>
    <t xml:space="preserve">Payments
</t>
  </si>
  <si>
    <r>
      <rPr>
        <b/>
        <sz val="9"/>
        <color theme="1"/>
        <rFont val="Trebuchet MS"/>
      </rPr>
      <t>AMPPU</t>
    </r>
    <r>
      <rPr>
        <i/>
        <sz val="9"/>
        <color theme="1"/>
        <rFont val="Trebuchet MS"/>
      </rPr>
      <t xml:space="preserve">
</t>
    </r>
    <r>
      <rPr>
        <i/>
        <sz val="8"/>
        <color theme="1"/>
        <rFont val="Trebuchet MS"/>
      </rPr>
      <t>or CLTV</t>
    </r>
  </si>
  <si>
    <t>Av. Price</t>
  </si>
  <si>
    <r>
      <rPr>
        <b/>
        <sz val="9"/>
        <color theme="1"/>
        <rFont val="Trebuchet MS"/>
      </rPr>
      <t xml:space="preserve">Margin
</t>
    </r>
    <r>
      <rPr>
        <i/>
        <sz val="8"/>
        <color theme="1"/>
        <rFont val="Trebuchet MS"/>
      </rPr>
      <t>or Commision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</si>
  <si>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>Cost of Goods Sold</t>
    </r>
  </si>
  <si>
    <r>
      <rPr>
        <b/>
        <sz val="9"/>
        <color theme="1"/>
        <rFont val="&quot;Trebuchet MS&quot;"/>
      </rPr>
      <t>Discounts</t>
    </r>
    <r>
      <rPr>
        <b/>
        <sz val="8"/>
        <color theme="1"/>
        <rFont val="&quot;Trebuchet MS&quot;"/>
      </rPr>
      <t xml:space="preserve">
</t>
    </r>
    <r>
      <rPr>
        <i/>
        <sz val="8"/>
        <color theme="1"/>
        <rFont val="&quot;Trebuchet MS&quot;"/>
      </rPr>
      <t>скидка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</si>
  <si>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 xml:space="preserve">1st sale </t>
    </r>
  </si>
  <si>
    <r>
      <rPr>
        <b/>
        <sz val="9"/>
        <color theme="1"/>
        <rFont val="Trebuchet MS"/>
      </rPr>
      <t xml:space="preserve">Av. Payment Count
</t>
    </r>
    <r>
      <rPr>
        <i/>
        <sz val="8"/>
        <color theme="1"/>
        <rFont val="Trebuchet MS"/>
      </rPr>
      <t>or LifeTime</t>
    </r>
  </si>
  <si>
    <r>
      <rPr>
        <b/>
        <sz val="9"/>
        <color theme="1"/>
        <rFont val="Trebuchet MS"/>
      </rPr>
      <t xml:space="preserve">CAC
</t>
    </r>
    <r>
      <rPr>
        <i/>
        <sz val="8"/>
        <color theme="1"/>
        <rFont val="Trebuchet MS"/>
      </rPr>
      <t>Customer Acquisition Costs</t>
    </r>
  </si>
  <si>
    <r>
      <rPr>
        <b/>
        <sz val="9"/>
        <color theme="1"/>
        <rFont val="Trebuchet MS"/>
      </rPr>
      <t xml:space="preserve">CPO </t>
    </r>
    <r>
      <rPr>
        <i/>
        <sz val="9"/>
        <color theme="1"/>
        <rFont val="Trebuchet MS"/>
      </rPr>
      <t>or</t>
    </r>
    <r>
      <rPr>
        <b/>
        <sz val="9"/>
        <color theme="1"/>
        <rFont val="Trebuchet MS"/>
      </rPr>
      <t xml:space="preserve"> SPS
</t>
    </r>
    <r>
      <rPr>
        <i/>
        <sz val="8"/>
        <color theme="1"/>
        <rFont val="Trebuchet MS"/>
      </rPr>
      <t>Cost per Order, Cost per Sale</t>
    </r>
  </si>
  <si>
    <r>
      <rPr>
        <b/>
        <sz val="9"/>
        <color theme="1"/>
        <rFont val="Trebuchet MS"/>
      </rPr>
      <t xml:space="preserve">CPUser
</t>
    </r>
    <r>
      <rPr>
        <i/>
        <sz val="8"/>
        <color theme="1"/>
        <rFont val="Trebuchet MS"/>
      </rPr>
      <t>or CPLead</t>
    </r>
  </si>
  <si>
    <r>
      <rPr>
        <b/>
        <sz val="9"/>
        <color theme="1"/>
        <rFont val="Trebuchet MS"/>
      </rPr>
      <t xml:space="preserve">AMPU 
</t>
    </r>
    <r>
      <rPr>
        <i/>
        <sz val="8"/>
        <color theme="1"/>
        <rFont val="Trebuchet MS"/>
      </rPr>
      <t>or LTV</t>
    </r>
  </si>
  <si>
    <t>AMPU−
CPUser</t>
  </si>
  <si>
    <t>Profit net</t>
  </si>
  <si>
    <t>Profit</t>
  </si>
  <si>
    <t>Revenue</t>
  </si>
  <si>
    <t>Gross Profit</t>
  </si>
  <si>
    <r>
      <rPr>
        <b/>
        <sz val="9"/>
        <color theme="1"/>
        <rFont val="Trebuchet MS"/>
      </rPr>
      <t xml:space="preserve">Acq. Costs
</t>
    </r>
    <r>
      <rPr>
        <i/>
        <sz val="8"/>
        <color theme="1"/>
        <rFont val="Trebuchet MS"/>
      </rPr>
      <t>до продажи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</si>
  <si>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>total</t>
    </r>
    <r>
      <rPr>
        <b/>
        <sz val="9"/>
        <color theme="1"/>
        <rFont val="Trebuchet MS"/>
      </rPr>
      <t xml:space="preserve">
</t>
    </r>
    <r>
      <rPr>
        <i/>
        <sz val="8"/>
        <color theme="1"/>
        <rFont val="Trebuchet MS"/>
      </rPr>
      <t>после продажи</t>
    </r>
  </si>
  <si>
    <r>
      <rPr>
        <b/>
        <sz val="9"/>
        <color theme="1"/>
        <rFont val="Trebuchet MS"/>
      </rPr>
      <t xml:space="preserve">Fix Costs 
</t>
    </r>
    <r>
      <rPr>
        <i/>
        <sz val="8"/>
        <color theme="1"/>
        <rFont val="Trebuchet MS"/>
      </rPr>
      <t>в месяц</t>
    </r>
  </si>
  <si>
    <t xml:space="preserve">1-й подвиг. музыкальный сервис </t>
  </si>
  <si>
    <r>
      <rPr>
        <sz val="10"/>
        <color theme="1"/>
        <rFont val="Trebuchet MS"/>
      </rPr>
      <t xml:space="preserve">1. Посчитайте юнит-экономику за </t>
    </r>
    <r>
      <rPr>
        <b/>
        <sz val="10"/>
        <color theme="1"/>
        <rFont val="Trebuchet MS"/>
      </rPr>
      <t>1 месяц</t>
    </r>
    <r>
      <rPr>
        <sz val="10"/>
        <color theme="1"/>
        <rFont val="Trebuchet MS"/>
      </rPr>
      <t xml:space="preserve"> и за </t>
    </r>
    <r>
      <rPr>
        <b/>
        <sz val="10"/>
        <color theme="1"/>
        <rFont val="Trebuchet MS"/>
      </rPr>
      <t>12 месяцев жизни когорты</t>
    </r>
  </si>
  <si>
    <r>
      <rPr>
        <sz val="10"/>
        <color rgb="FF5D617A"/>
        <rFont val="Trebuchet MS"/>
      </rPr>
      <t xml:space="preserve">1.1. Подставьте метрики в соответствующие </t>
    </r>
    <r>
      <rPr>
        <b/>
        <sz val="10"/>
        <color rgb="FF5D617A"/>
        <rFont val="Trebuchet MS"/>
      </rPr>
      <t>ячейки 13-й</t>
    </r>
    <r>
      <rPr>
        <sz val="10"/>
        <color rgb="FF5D617A"/>
        <rFont val="Trebuchet MS"/>
      </rPr>
      <t xml:space="preserve"> и </t>
    </r>
    <r>
      <rPr>
        <b/>
        <sz val="10"/>
        <color rgb="FF5D617A"/>
        <rFont val="Trebuchet MS"/>
      </rPr>
      <t>14-й строк</t>
    </r>
  </si>
  <si>
    <t>–</t>
  </si>
  <si>
    <r>
      <rPr>
        <sz val="10"/>
        <color rgb="FF5D617A"/>
        <rFont val="Trebuchet MS"/>
      </rPr>
      <t xml:space="preserve">1.2. В ячейку </t>
    </r>
    <r>
      <rPr>
        <b/>
        <sz val="10"/>
        <color rgb="FF5D617A"/>
        <rFont val="Trebuchet MS"/>
      </rPr>
      <t>J13</t>
    </r>
    <r>
      <rPr>
        <sz val="10"/>
        <color rgb="FF5D617A"/>
        <rFont val="Trebuchet MS"/>
      </rPr>
      <t xml:space="preserve"> и </t>
    </r>
    <r>
      <rPr>
        <b/>
        <sz val="10"/>
        <color rgb="FF5D617A"/>
        <rFont val="Trebuchet MS"/>
      </rPr>
      <t>J14</t>
    </r>
    <r>
      <rPr>
        <sz val="10"/>
        <color rgb="FF5D617A"/>
        <rFont val="Trebuchet MS"/>
      </rPr>
      <t xml:space="preserve"> введите формулу </t>
    </r>
    <r>
      <rPr>
        <b/>
        <sz val="10"/>
        <color rgb="FF5D617A"/>
        <rFont val="Trebuchet MS"/>
      </rPr>
      <t>AMPPU</t>
    </r>
    <r>
      <rPr>
        <sz val="10"/>
        <color rgb="FF5D617A"/>
        <rFont val="Trebuchet MS"/>
      </rPr>
      <t>, которую вы подобрали для бизнес-модели музыкального сервиса</t>
    </r>
  </si>
  <si>
    <r>
      <rPr>
        <sz val="10"/>
        <color rgb="FF5D617A"/>
        <rFont val="Trebuchet MS"/>
      </rPr>
      <t xml:space="preserve">1.3. В ячейке </t>
    </r>
    <r>
      <rPr>
        <b/>
        <sz val="10"/>
        <color rgb="FF5D617A"/>
        <rFont val="Trebuchet MS"/>
      </rPr>
      <t>U13</t>
    </r>
    <r>
      <rPr>
        <sz val="10"/>
        <color rgb="FF5D617A"/>
        <rFont val="Trebuchet MS"/>
      </rPr>
      <t xml:space="preserve"> и </t>
    </r>
    <r>
      <rPr>
        <b/>
        <sz val="10"/>
        <color rgb="FF5D617A"/>
        <rFont val="Trebuchet MS"/>
      </rPr>
      <t>U14</t>
    </r>
    <r>
      <rPr>
        <sz val="10"/>
        <color rgb="FF5D617A"/>
        <rFont val="Trebuchet MS"/>
      </rPr>
      <t xml:space="preserve"> посчитайте </t>
    </r>
    <r>
      <rPr>
        <b/>
        <sz val="10"/>
        <color rgb="FF5D617A"/>
        <rFont val="Trebuchet MS"/>
      </rPr>
      <t>AMPU</t>
    </r>
    <r>
      <rPr>
        <sz val="10"/>
        <color rgb="FF5D617A"/>
        <rFont val="Trebuchet MS"/>
      </rPr>
      <t xml:space="preserve">, перемножив конверсию </t>
    </r>
    <r>
      <rPr>
        <b/>
        <sz val="10"/>
        <color rgb="FF5D617A"/>
        <rFont val="Trebuchet MS"/>
      </rPr>
      <t>C1</t>
    </r>
    <r>
      <rPr>
        <sz val="10"/>
        <color rgb="FF5D617A"/>
        <rFont val="Trebuchet MS"/>
      </rPr>
      <t xml:space="preserve"> и </t>
    </r>
    <r>
      <rPr>
        <b/>
        <sz val="10"/>
        <color rgb="FF5D617A"/>
        <rFont val="Trebuchet MS"/>
      </rPr>
      <t>AMPPU</t>
    </r>
  </si>
  <si>
    <t>1.4. Остальные формулы уже вбиты в ячейки, и метрики рассчитаются автоматически</t>
  </si>
  <si>
    <r>
      <rPr>
        <b/>
        <sz val="9"/>
        <color theme="1"/>
        <rFont val="Trebuchet MS"/>
      </rPr>
      <t xml:space="preserve">юнит-экономика 
</t>
    </r>
    <r>
      <rPr>
        <sz val="9"/>
        <color theme="1"/>
        <rFont val="Trebuchet MS"/>
      </rPr>
      <t xml:space="preserve">за </t>
    </r>
    <r>
      <rPr>
        <b/>
        <sz val="9"/>
        <color theme="1"/>
        <rFont val="Trebuchet MS"/>
      </rPr>
      <t xml:space="preserve">1 месяц </t>
    </r>
    <r>
      <rPr>
        <sz val="9"/>
        <color theme="1"/>
        <rFont val="Trebuchet MS"/>
      </rPr>
      <t>жизни когорты</t>
    </r>
  </si>
  <si>
    <r>
      <rPr>
        <b/>
        <sz val="9"/>
        <color theme="1"/>
        <rFont val="Trebuchet MS"/>
      </rPr>
      <t xml:space="preserve">юнит-экономика 
</t>
    </r>
    <r>
      <rPr>
        <sz val="9"/>
        <color theme="1"/>
        <rFont val="Trebuchet MS"/>
      </rPr>
      <t xml:space="preserve">за </t>
    </r>
    <r>
      <rPr>
        <b/>
        <sz val="9"/>
        <color theme="1"/>
        <rFont val="Trebuchet MS"/>
      </rPr>
      <t xml:space="preserve">12 месяцев </t>
    </r>
    <r>
      <rPr>
        <sz val="9"/>
        <color theme="1"/>
        <rFont val="Trebuchet MS"/>
      </rPr>
      <t>жизни когорты</t>
    </r>
  </si>
  <si>
    <t>кросс-чеки = 0</t>
  </si>
  <si>
    <t>1й способ расчета</t>
  </si>
  <si>
    <t>2й способ расчета</t>
  </si>
  <si>
    <r>
      <rPr>
        <sz val="10"/>
        <color theme="1"/>
        <rFont val="Trebuchet MS"/>
      </rPr>
      <t xml:space="preserve">2. Подбери при каких значениях </t>
    </r>
    <r>
      <rPr>
        <b/>
        <sz val="10"/>
        <color rgb="FF6D9EEB"/>
        <rFont val="Trebuchet MS"/>
      </rPr>
      <t>конверсии в покупателя С1</t>
    </r>
    <r>
      <rPr>
        <sz val="10"/>
        <color theme="1"/>
        <rFont val="Trebuchet MS"/>
      </rPr>
      <t xml:space="preserve"> и </t>
    </r>
    <r>
      <rPr>
        <b/>
        <sz val="10"/>
        <color rgb="FF6D9EEB"/>
        <rFont val="Trebuchet MS"/>
      </rPr>
      <t>повторных покупок Av. Payment Count</t>
    </r>
    <r>
      <rPr>
        <b/>
        <sz val="10"/>
        <color theme="1"/>
        <rFont val="Trebuchet MS"/>
      </rPr>
      <t xml:space="preserve"> </t>
    </r>
    <r>
      <rPr>
        <sz val="10"/>
        <color theme="1"/>
        <rFont val="Trebuchet MS"/>
      </rPr>
      <t xml:space="preserve">экономика сойдётся? т.е. </t>
    </r>
    <r>
      <rPr>
        <b/>
        <sz val="10"/>
        <color theme="1"/>
        <rFont val="Trebuchet MS"/>
      </rPr>
      <t>AMPU</t>
    </r>
    <r>
      <rPr>
        <sz val="10"/>
        <color theme="1"/>
        <rFont val="Trebuchet MS"/>
      </rPr>
      <t xml:space="preserve"> будет больше </t>
    </r>
    <r>
      <rPr>
        <b/>
        <sz val="10"/>
        <color theme="1"/>
        <rFont val="Trebuchet MS"/>
      </rPr>
      <t>CPUser</t>
    </r>
    <r>
      <rPr>
        <sz val="10"/>
        <color theme="1"/>
        <rFont val="Trebuchet MS"/>
      </rPr>
      <t xml:space="preserve">, а </t>
    </r>
    <r>
      <rPr>
        <b/>
        <sz val="10"/>
        <color theme="1"/>
        <rFont val="Trebuchet MS"/>
      </rPr>
      <t>Profit &gt; 0</t>
    </r>
  </si>
  <si>
    <r>
      <rPr>
        <sz val="10"/>
        <color rgb="FF5D617A"/>
        <rFont val="Trebuchet MS"/>
      </rPr>
      <t>2.1. Часть метрик в</t>
    </r>
    <r>
      <rPr>
        <b/>
        <sz val="10"/>
        <color rgb="FF5D617A"/>
        <rFont val="Trebuchet MS"/>
      </rPr>
      <t xml:space="preserve"> 24-ю строку</t>
    </r>
    <r>
      <rPr>
        <sz val="10"/>
        <color rgb="FF5D617A"/>
        <rFont val="Trebuchet MS"/>
      </rPr>
      <t xml:space="preserve"> подтянется автоматически из начальной юнит-экономики. Для недостающих метрик, отмеченных желтым, подставьте формулы самостоятельно</t>
    </r>
  </si>
  <si>
    <r>
      <rPr>
        <sz val="10"/>
        <color rgb="FF5D617A"/>
        <rFont val="Trebuchet MS"/>
      </rPr>
      <t xml:space="preserve">2.1. Подберите любую комбинацию значений </t>
    </r>
    <r>
      <rPr>
        <b/>
        <sz val="10"/>
        <color rgb="FF5D617A"/>
        <rFont val="Trebuchet MS"/>
      </rPr>
      <t>C1</t>
    </r>
    <r>
      <rPr>
        <sz val="10"/>
        <color rgb="FF5D617A"/>
        <rFont val="Trebuchet MS"/>
      </rPr>
      <t xml:space="preserve"> и </t>
    </r>
    <r>
      <rPr>
        <b/>
        <sz val="10"/>
        <color rgb="FF5D617A"/>
        <rFont val="Trebuchet MS"/>
      </rPr>
      <t xml:space="preserve">Av. Payment Count </t>
    </r>
    <r>
      <rPr>
        <sz val="10"/>
        <color rgb="FF5D617A"/>
        <rFont val="Trebuchet MS"/>
      </rPr>
      <t xml:space="preserve">в 24-й строке, чтобы </t>
    </r>
    <r>
      <rPr>
        <b/>
        <sz val="10"/>
        <color rgb="FF5D617A"/>
        <rFont val="Trebuchet MS"/>
      </rPr>
      <t>Profit</t>
    </r>
    <r>
      <rPr>
        <sz val="10"/>
        <color rgb="FF5D617A"/>
        <rFont val="Trebuchet MS"/>
      </rPr>
      <t xml:space="preserve"> стал </t>
    </r>
    <r>
      <rPr>
        <b/>
        <sz val="10"/>
        <color rgb="FF5D617A"/>
        <rFont val="Trebuchet MS"/>
      </rPr>
      <t>больше 0</t>
    </r>
  </si>
  <si>
    <t>юнит-экономика
за время жизни когорты</t>
  </si>
  <si>
    <t>число регистраций</t>
  </si>
  <si>
    <t>доход
с потока 
пользователей</t>
  </si>
  <si>
    <t>расходы
 на привлечение
 пользователей</t>
  </si>
  <si>
    <r>
      <rPr>
        <b/>
        <sz val="9"/>
        <color theme="1"/>
        <rFont val="Trebuchet MS"/>
      </rPr>
      <t xml:space="preserve">Users 
</t>
    </r>
    <r>
      <rPr>
        <i/>
        <sz val="8"/>
        <color theme="1"/>
        <rFont val="Trebuchet MS"/>
      </rPr>
      <t>or Lead Acqusition</t>
    </r>
  </si>
  <si>
    <r>
      <rPr>
        <b/>
        <sz val="9"/>
        <color theme="1"/>
        <rFont val="Trebuchet MS"/>
      </rPr>
      <t xml:space="preserve">Conv.
</t>
    </r>
    <r>
      <rPr>
        <i/>
        <sz val="8"/>
        <color theme="1"/>
        <rFont val="Trebuchet MS"/>
      </rPr>
      <t>to regs
or lead</t>
    </r>
  </si>
  <si>
    <r>
      <rPr>
        <b/>
        <sz val="9"/>
        <color theme="1"/>
        <rFont val="&quot;Trebuchet MS&quot;"/>
      </rPr>
      <t xml:space="preserve">Regs
</t>
    </r>
    <r>
      <rPr>
        <i/>
        <sz val="8"/>
        <color theme="1"/>
        <rFont val="&quot;Trebuchet MS&quot;"/>
      </rPr>
      <t>or lead</t>
    </r>
  </si>
  <si>
    <r>
      <rPr>
        <b/>
        <sz val="9"/>
        <color theme="1"/>
        <rFont val="Trebuchet MS"/>
      </rPr>
      <t xml:space="preserve">С1
</t>
    </r>
    <r>
      <rPr>
        <i/>
        <sz val="8"/>
        <color theme="1"/>
        <rFont val="Trebuchet MS"/>
      </rPr>
      <t>conv</t>
    </r>
    <r>
      <rPr>
        <i/>
        <sz val="9"/>
        <color theme="1"/>
        <rFont val="Trebuchet MS"/>
      </rPr>
      <t xml:space="preserve">
</t>
    </r>
    <r>
      <rPr>
        <i/>
        <sz val="8"/>
        <color theme="1"/>
        <rFont val="Trebuchet MS"/>
      </rPr>
      <t>to buyer</t>
    </r>
  </si>
  <si>
    <r>
      <rPr>
        <b/>
        <sz val="9"/>
        <color theme="1"/>
        <rFont val="Trebuchet MS"/>
      </rPr>
      <t>AMPPU</t>
    </r>
    <r>
      <rPr>
        <i/>
        <sz val="9"/>
        <color theme="1"/>
        <rFont val="Trebuchet MS"/>
      </rPr>
      <t xml:space="preserve">
</t>
    </r>
    <r>
      <rPr>
        <i/>
        <sz val="8"/>
        <color theme="1"/>
        <rFont val="Trebuchet MS"/>
      </rPr>
      <t>or CLTV</t>
    </r>
  </si>
  <si>
    <r>
      <rPr>
        <b/>
        <sz val="9"/>
        <color theme="1"/>
        <rFont val="Trebuchet MS"/>
      </rPr>
      <t xml:space="preserve">Margin
</t>
    </r>
    <r>
      <rPr>
        <i/>
        <sz val="8"/>
        <color theme="1"/>
        <rFont val="Trebuchet MS"/>
      </rPr>
      <t>or Commision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</si>
  <si>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>Cost of Goods Sold</t>
    </r>
  </si>
  <si>
    <r>
      <rPr>
        <b/>
        <sz val="9"/>
        <color theme="1"/>
        <rFont val="Trebuchet MS"/>
      </rPr>
      <t xml:space="preserve">Discounts
</t>
    </r>
    <r>
      <rPr>
        <i/>
        <sz val="8"/>
        <color theme="1"/>
        <rFont val="Trebuchet MS"/>
      </rPr>
      <t>скидка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</si>
  <si>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 xml:space="preserve">1st sale </t>
    </r>
  </si>
  <si>
    <r>
      <rPr>
        <b/>
        <sz val="9"/>
        <color theme="1"/>
        <rFont val="Trebuchet MS"/>
      </rPr>
      <t xml:space="preserve">Av. Payment Count
</t>
    </r>
    <r>
      <rPr>
        <i/>
        <sz val="8"/>
        <color theme="1"/>
        <rFont val="Trebuchet MS"/>
      </rPr>
      <t>or LifeTime</t>
    </r>
  </si>
  <si>
    <r>
      <rPr>
        <b/>
        <sz val="9"/>
        <color theme="1"/>
        <rFont val="Trebuchet MS"/>
      </rPr>
      <t xml:space="preserve">CAC
</t>
    </r>
    <r>
      <rPr>
        <i/>
        <sz val="8"/>
        <color theme="1"/>
        <rFont val="Trebuchet MS"/>
      </rPr>
      <t>Customer Acquisition Costs</t>
    </r>
  </si>
  <si>
    <r>
      <rPr>
        <b/>
        <sz val="9"/>
        <color theme="1"/>
        <rFont val="Trebuchet MS"/>
      </rPr>
      <t xml:space="preserve">CPO </t>
    </r>
    <r>
      <rPr>
        <i/>
        <sz val="9"/>
        <color theme="1"/>
        <rFont val="Trebuchet MS"/>
      </rPr>
      <t>or</t>
    </r>
    <r>
      <rPr>
        <b/>
        <sz val="9"/>
        <color theme="1"/>
        <rFont val="Trebuchet MS"/>
      </rPr>
      <t xml:space="preserve"> SPS
</t>
    </r>
    <r>
      <rPr>
        <i/>
        <sz val="8"/>
        <color theme="1"/>
        <rFont val="Trebuchet MS"/>
      </rPr>
      <t>Cost per Order, Cost per Sale</t>
    </r>
  </si>
  <si>
    <r>
      <rPr>
        <b/>
        <sz val="9"/>
        <color theme="1"/>
        <rFont val="&quot;Trebuchet MS&quot;"/>
      </rPr>
      <t xml:space="preserve">CPUser
</t>
    </r>
    <r>
      <rPr>
        <i/>
        <sz val="8"/>
        <color theme="1"/>
        <rFont val="&quot;Trebuchet MS&quot;"/>
      </rPr>
      <t>or CPLead</t>
    </r>
  </si>
  <si>
    <r>
      <rPr>
        <b/>
        <sz val="9"/>
        <color theme="1"/>
        <rFont val="&quot;Trebuchet MS&quot;"/>
      </rPr>
      <t xml:space="preserve">AMPU 
</t>
    </r>
    <r>
      <rPr>
        <i/>
        <sz val="8"/>
        <color theme="1"/>
        <rFont val="&quot;Trebuchet MS&quot;"/>
      </rPr>
      <t>or LTV</t>
    </r>
  </si>
  <si>
    <r>
      <rPr>
        <b/>
        <sz val="9"/>
        <color theme="1"/>
        <rFont val="Trebuchet MS"/>
      </rPr>
      <t xml:space="preserve">Acq. Costs
</t>
    </r>
    <r>
      <rPr>
        <i/>
        <sz val="8"/>
        <color theme="1"/>
        <rFont val="Trebuchet MS"/>
      </rPr>
      <t>до продажи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</si>
  <si>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>total</t>
    </r>
    <r>
      <rPr>
        <b/>
        <sz val="9"/>
        <color theme="1"/>
        <rFont val="Trebuchet MS"/>
      </rPr>
      <t xml:space="preserve">
</t>
    </r>
    <r>
      <rPr>
        <i/>
        <sz val="8"/>
        <color theme="1"/>
        <rFont val="Trebuchet MS"/>
      </rPr>
      <t>после продажи</t>
    </r>
  </si>
  <si>
    <r>
      <rPr>
        <b/>
        <sz val="9"/>
        <color theme="1"/>
        <rFont val="Trebuchet MS"/>
      </rPr>
      <t xml:space="preserve">Fix Costs 
</t>
    </r>
    <r>
      <rPr>
        <i/>
        <sz val="8"/>
        <color theme="1"/>
        <rFont val="Trebuchet MS"/>
      </rPr>
      <t>в месяц</t>
    </r>
  </si>
  <si>
    <t>2-ой подвиг. интернет-магазин</t>
  </si>
  <si>
    <t>1. Посчитайте юнит-экономику по всем каналам, а потом отдельно по organic и paid. Сравни CPUser и AMPU</t>
  </si>
  <si>
    <t>1.1. В 12-й, 13-й и 14-й строках посчитайте CPUser</t>
  </si>
  <si>
    <t>1.2. Затем посчитайте AMPPU и AMPU для тех же строк (12-й, 13-й, 14-й)</t>
  </si>
  <si>
    <r>
      <rPr>
        <sz val="10"/>
        <color rgb="FF5D617A"/>
        <rFont val="Trebuchet MS"/>
      </rPr>
      <t xml:space="preserve">1.3. Сравните усредненные </t>
    </r>
    <r>
      <rPr>
        <sz val="10"/>
        <color rgb="FF5D617A"/>
        <rFont val="Trebuchet MS"/>
      </rPr>
      <t>CPUser</t>
    </r>
    <r>
      <rPr>
        <sz val="10"/>
        <color rgb="FF5D617A"/>
        <rFont val="Trebuchet MS"/>
      </rPr>
      <t xml:space="preserve"> и </t>
    </r>
    <r>
      <rPr>
        <sz val="10"/>
        <color rgb="FF5D617A"/>
        <rFont val="Trebuchet MS"/>
      </rPr>
      <t xml:space="preserve">AMPU </t>
    </r>
    <r>
      <rPr>
        <sz val="10"/>
        <color rgb="FF5D617A"/>
        <rFont val="Trebuchet MS"/>
      </rPr>
      <t>с этими же метриками по органическим и платным каналам</t>
    </r>
  </si>
  <si>
    <t>юнит-экономика</t>
  </si>
  <si>
    <t>organic</t>
  </si>
  <si>
    <t>paid</t>
  </si>
  <si>
    <r>
      <rPr>
        <b/>
        <sz val="9"/>
        <color rgb="FF5D617A"/>
        <rFont val="Trebuchet MS"/>
      </rPr>
      <t xml:space="preserve">кросс-чек </t>
    </r>
    <r>
      <rPr>
        <i/>
        <sz val="9"/>
        <color rgb="FF5D617A"/>
        <rFont val="Trebuchet MS"/>
      </rPr>
      <t>по каналам</t>
    </r>
  </si>
  <si>
    <r>
      <rPr>
        <i/>
        <sz val="9"/>
        <color rgb="FF5D617A"/>
        <rFont val="Trebuchet MS"/>
      </rPr>
      <t xml:space="preserve">проверяем, чтобы organic + paid в сумме довали значение по всем каналам
но проверить таким спомобом </t>
    </r>
    <r>
      <rPr>
        <b/>
        <i/>
        <sz val="9"/>
        <color rgb="FF5D617A"/>
        <rFont val="Trebuchet MS"/>
      </rPr>
      <t>Users</t>
    </r>
    <r>
      <rPr>
        <i/>
        <sz val="9"/>
        <color rgb="FF5D617A"/>
        <rFont val="Trebuchet MS"/>
      </rPr>
      <t xml:space="preserve"> не получится — 
одни и те же пользователи могли приходить и через organic и через paid
В общем случае Buyers нельзя складывать по каналам, 
так как 1 Buyer так же может сделать 1 заказ из organic и другой из paid канала.
Но в этом кейсе этим можно пренебречь. </t>
    </r>
  </si>
  <si>
    <r>
      <rPr>
        <sz val="10"/>
        <color theme="1"/>
        <rFont val="Trebuchet MS"/>
      </rPr>
      <t xml:space="preserve">2. Если мы привлечем еще </t>
    </r>
    <r>
      <rPr>
        <b/>
        <sz val="10"/>
        <color theme="1"/>
        <rFont val="Trebuchet MS"/>
      </rPr>
      <t>50 000 пользователей</t>
    </r>
    <r>
      <rPr>
        <sz val="10"/>
        <color theme="1"/>
        <rFont val="Trebuchet MS"/>
      </rPr>
      <t xml:space="preserve"> по платным каналам: на сколько возрастет </t>
    </r>
    <r>
      <rPr>
        <b/>
        <sz val="10"/>
        <color theme="1"/>
        <rFont val="Trebuchet MS"/>
      </rPr>
      <t>Acq Costs</t>
    </r>
    <r>
      <rPr>
        <sz val="10"/>
        <color theme="1"/>
        <rFont val="Trebuchet MS"/>
      </rPr>
      <t xml:space="preserve">, и как поменяются </t>
    </r>
    <r>
      <rPr>
        <b/>
        <sz val="10"/>
        <color theme="1"/>
        <rFont val="Trebuchet MS"/>
      </rPr>
      <t>Gross Profit и Profit</t>
    </r>
  </si>
  <si>
    <t>2.1. В 27-й строке подставьте нужные формулы для расчета метрик, выделенных желтым</t>
  </si>
  <si>
    <r>
      <rPr>
        <sz val="10"/>
        <color rgb="FF5D617A"/>
        <rFont val="Trebuchet MS"/>
      </rPr>
      <t xml:space="preserve">2.2. Финансовые метрики удобно считать справа налево: </t>
    </r>
    <r>
      <rPr>
        <b/>
        <sz val="10"/>
        <color rgb="FF5D617A"/>
        <rFont val="Trebuchet MS"/>
      </rPr>
      <t>COGS total, Acq Costs, Gross Profit, Revenue, Profit</t>
    </r>
  </si>
  <si>
    <t>доход 
с потока 
пользователей</t>
  </si>
  <si>
    <r>
      <rPr>
        <b/>
        <sz val="9"/>
        <color theme="1"/>
        <rFont val="Trebuchet MS"/>
      </rPr>
      <t xml:space="preserve">Users 
</t>
    </r>
    <r>
      <rPr>
        <i/>
        <sz val="8"/>
        <color theme="1"/>
        <rFont val="Trebuchet MS"/>
      </rPr>
      <t>or Lead Acqusition</t>
    </r>
  </si>
  <si>
    <r>
      <rPr>
        <b/>
        <sz val="9"/>
        <color theme="1"/>
        <rFont val="Trebuchet MS"/>
      </rPr>
      <t xml:space="preserve">Conv.
</t>
    </r>
    <r>
      <rPr>
        <i/>
        <sz val="8"/>
        <color theme="1"/>
        <rFont val="Trebuchet MS"/>
      </rPr>
      <t>to regs
or lead</t>
    </r>
  </si>
  <si>
    <r>
      <rPr>
        <b/>
        <sz val="9"/>
        <color theme="1"/>
        <rFont val="&quot;Trebuchet MS&quot;"/>
      </rPr>
      <t xml:space="preserve">Regs
</t>
    </r>
    <r>
      <rPr>
        <i/>
        <sz val="8"/>
        <color theme="1"/>
        <rFont val="&quot;Trebuchet MS&quot;"/>
      </rPr>
      <t>or lead</t>
    </r>
  </si>
  <si>
    <r>
      <rPr>
        <b/>
        <sz val="9"/>
        <color theme="1"/>
        <rFont val="Trebuchet MS"/>
      </rPr>
      <t xml:space="preserve">С1
</t>
    </r>
    <r>
      <rPr>
        <i/>
        <sz val="8"/>
        <color theme="1"/>
        <rFont val="Trebuchet MS"/>
      </rPr>
      <t>conv
to buyer</t>
    </r>
  </si>
  <si>
    <r>
      <rPr>
        <b/>
        <sz val="9"/>
        <color theme="1"/>
        <rFont val="Trebuchet MS"/>
      </rPr>
      <t>AMPPU</t>
    </r>
    <r>
      <rPr>
        <i/>
        <sz val="9"/>
        <color theme="1"/>
        <rFont val="Trebuchet MS"/>
      </rPr>
      <t xml:space="preserve">
</t>
    </r>
    <r>
      <rPr>
        <i/>
        <sz val="8"/>
        <color theme="1"/>
        <rFont val="Trebuchet MS"/>
      </rPr>
      <t>or CLTV</t>
    </r>
  </si>
  <si>
    <r>
      <rPr>
        <b/>
        <sz val="9"/>
        <color theme="1"/>
        <rFont val="Trebuchet MS"/>
      </rPr>
      <t xml:space="preserve">Margin
</t>
    </r>
    <r>
      <rPr>
        <i/>
        <sz val="8"/>
        <color theme="1"/>
        <rFont val="Trebuchet MS"/>
      </rPr>
      <t>or Commision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</si>
  <si>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>Cost of Goods Sold</t>
    </r>
  </si>
  <si>
    <r>
      <rPr>
        <b/>
        <sz val="9"/>
        <color theme="1"/>
        <rFont val="&quot;Trebuchet MS&quot;"/>
      </rPr>
      <t>Discounts</t>
    </r>
    <r>
      <rPr>
        <b/>
        <sz val="8"/>
        <color theme="1"/>
        <rFont val="&quot;Trebuchet MS&quot;"/>
      </rPr>
      <t xml:space="preserve">
</t>
    </r>
    <r>
      <rPr>
        <i/>
        <sz val="8"/>
        <color theme="1"/>
        <rFont val="&quot;Trebuchet MS&quot;"/>
      </rPr>
      <t>скидка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</si>
  <si>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 xml:space="preserve">1st sale </t>
    </r>
  </si>
  <si>
    <r>
      <rPr>
        <b/>
        <sz val="9"/>
        <color theme="1"/>
        <rFont val="Trebuchet MS"/>
      </rPr>
      <t xml:space="preserve">Av. Payment Count
</t>
    </r>
    <r>
      <rPr>
        <i/>
        <sz val="8"/>
        <color theme="1"/>
        <rFont val="Trebuchet MS"/>
      </rPr>
      <t>or LifeTime</t>
    </r>
  </si>
  <si>
    <r>
      <rPr>
        <b/>
        <sz val="9"/>
        <color theme="1"/>
        <rFont val="Trebuchet MS"/>
      </rPr>
      <t xml:space="preserve">CAC
</t>
    </r>
    <r>
      <rPr>
        <i/>
        <sz val="8"/>
        <color theme="1"/>
        <rFont val="Trebuchet MS"/>
      </rPr>
      <t>Customer Acquisition Costs</t>
    </r>
  </si>
  <si>
    <r>
      <rPr>
        <b/>
        <sz val="9"/>
        <color theme="1"/>
        <rFont val="Trebuchet MS"/>
      </rPr>
      <t xml:space="preserve">CPO </t>
    </r>
    <r>
      <rPr>
        <i/>
        <sz val="9"/>
        <color theme="1"/>
        <rFont val="Trebuchet MS"/>
      </rPr>
      <t>or</t>
    </r>
    <r>
      <rPr>
        <b/>
        <sz val="9"/>
        <color theme="1"/>
        <rFont val="Trebuchet MS"/>
      </rPr>
      <t xml:space="preserve"> SPS
</t>
    </r>
    <r>
      <rPr>
        <i/>
        <sz val="8"/>
        <color theme="1"/>
        <rFont val="Trebuchet MS"/>
      </rPr>
      <t>Cost per Order, Cost per Sale</t>
    </r>
  </si>
  <si>
    <r>
      <rPr>
        <b/>
        <sz val="9"/>
        <color theme="1"/>
        <rFont val="Trebuchet MS"/>
      </rPr>
      <t xml:space="preserve">CPUser
</t>
    </r>
    <r>
      <rPr>
        <i/>
        <sz val="8"/>
        <color theme="1"/>
        <rFont val="Trebuchet MS"/>
      </rPr>
      <t>or CPLead</t>
    </r>
  </si>
  <si>
    <r>
      <rPr>
        <b/>
        <sz val="9"/>
        <color theme="1"/>
        <rFont val="Trebuchet MS"/>
      </rPr>
      <t xml:space="preserve">AMPU 
</t>
    </r>
    <r>
      <rPr>
        <i/>
        <sz val="8"/>
        <color theme="1"/>
        <rFont val="Trebuchet MS"/>
      </rPr>
      <t>or LTV</t>
    </r>
  </si>
  <si>
    <r>
      <rPr>
        <b/>
        <sz val="9"/>
        <color theme="1"/>
        <rFont val="Trebuchet MS"/>
      </rPr>
      <t xml:space="preserve">Acq. Costs
</t>
    </r>
    <r>
      <rPr>
        <i/>
        <sz val="8"/>
        <color theme="1"/>
        <rFont val="Trebuchet MS"/>
      </rPr>
      <t>до продажи</t>
    </r>
  </si>
  <si>
    <r>
      <rPr>
        <b/>
        <sz val="9"/>
        <color theme="1"/>
        <rFont val="Trebuchet MS"/>
      </rPr>
      <t xml:space="preserve">COGS
</t>
    </r>
    <r>
      <rPr>
        <i/>
        <sz val="8"/>
        <color theme="1"/>
        <rFont val="Trebuchet MS"/>
      </rPr>
      <t>total</t>
    </r>
    <r>
      <rPr>
        <b/>
        <sz val="8"/>
        <color theme="1"/>
        <rFont val="Trebuchet MS"/>
      </rPr>
      <t xml:space="preserve">
</t>
    </r>
    <r>
      <rPr>
        <i/>
        <sz val="8"/>
        <color theme="1"/>
        <rFont val="Trebuchet MS"/>
      </rPr>
      <t>после продажи</t>
    </r>
  </si>
  <si>
    <r>
      <rPr>
        <b/>
        <sz val="9"/>
        <color theme="1"/>
        <rFont val="Trebuchet MS"/>
      </rPr>
      <t xml:space="preserve">Fix Costs 
</t>
    </r>
    <r>
      <rPr>
        <i/>
        <sz val="8"/>
        <color theme="1"/>
        <rFont val="Trebuchet MS"/>
      </rPr>
      <t>в месяц</t>
    </r>
  </si>
  <si>
    <t>3-ий подвиг. hot wi-fi</t>
  </si>
  <si>
    <t>1. Посчитайте юнит-экономику по новым лидам с издержкой на первой продаже за 1-й месяц жизни привлеченного пользователя</t>
  </si>
  <si>
    <t>1.1. В 11-й стоке заполните желтые ячейки метриками</t>
  </si>
  <si>
    <t>1.2. Где надо — используйте формулы</t>
  </si>
  <si>
    <t>новые лиды</t>
  </si>
  <si>
    <r>
      <rPr>
        <sz val="10"/>
        <color theme="1"/>
        <rFont val="Trebuchet MS"/>
      </rPr>
      <t xml:space="preserve">2. Посчитайте, на каком месяце юнит-экономика на платящем выходит в плюс? Подберите значение </t>
    </r>
    <r>
      <rPr>
        <b/>
        <sz val="10"/>
        <color theme="1"/>
        <rFont val="Trebuchet MS"/>
      </rPr>
      <t>Av. Payment Count</t>
    </r>
    <r>
      <rPr>
        <sz val="10"/>
        <color theme="1"/>
        <rFont val="Trebuchet MS"/>
      </rPr>
      <t xml:space="preserve">, при котором </t>
    </r>
    <r>
      <rPr>
        <b/>
        <sz val="10"/>
        <color theme="1"/>
        <rFont val="Trebuchet MS"/>
      </rPr>
      <t>Profit &gt; 0</t>
    </r>
  </si>
  <si>
    <r>
      <rPr>
        <sz val="10"/>
        <color rgb="FF5D617A"/>
        <rFont val="Trebuchet MS"/>
      </rPr>
      <t xml:space="preserve">2.1. В 17-й строке подберите значение </t>
    </r>
    <r>
      <rPr>
        <b/>
        <sz val="10"/>
        <color rgb="FF5D617A"/>
        <rFont val="Trebuchet MS"/>
      </rPr>
      <t>Av. Payment Count</t>
    </r>
    <r>
      <rPr>
        <sz val="10"/>
        <color rgb="FF5D617A"/>
        <rFont val="Trebuchet MS"/>
      </rPr>
      <t>, при котором новый пользователь начнет себя окупать</t>
    </r>
  </si>
  <si>
    <t>2.2. Сформулируйте гипотезу, как с первого месяца выходить в 0 по прибыли с новых клиентов</t>
  </si>
  <si>
    <t>Profit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</si>
</sst>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0.0"/>
    <numFmt numFmtId="165" formatCode="0.0%"/>
    <numFmt numFmtId="166" formatCode="#\ ###\ ##0\ [$р.]"/>
    <numFmt numFmtId="167" formatCode="[$р.-419]#,##0"/>
    <numFmt numFmtId="168" formatCode="#\ ###\ ##0.0\ [$р.]"/>
    <numFmt numFmtId="169" formatCode="#,##0.0"/>
    <numFmt numFmtId="170" formatCode="\+0.0%"/>
    <numFmt numFmtId="171" formatCode="\+0"/>
    <numFmt numFmtId="172" formatCode="\+##0\ [$р.]"/>
    <numFmt numFmtId="173" formatCode="\+#\ ###\ ##0\ [$р.]"/>
    <numFmt numFmtId="174" formatCode="\±0%"/>
    <numFmt numFmtId="175" formatCode="#\ ###\ ##0.00\ [$р.]"/>
    <numFmt numFmtId="176" formatCode="#\ ###\ ##0\ [$р.-419]"/>
    <numFmt numFmtId="177" formatCode="#,##0\ [$р.]"/>
    <numFmt numFmtId="178" formatCode="#\ ###\ ##0.0\ [$р.-419]"/>
    <numFmt numFmtId="179" formatCode="&quot;$&quot;#,##0"/>
    <numFmt numFmtId="180" formatCode="&quot;$&quot;#,##0.0"/>
    <numFmt numFmtId="181" formatCode="\+\ #,##0"/>
    <numFmt numFmtId="182" formatCode="#\ ###\ ##0.000000000000000000000000000000\ [$р.]"/>
  </numFmts>
  <fonts count="40">
    <font>
      <sz val="10"/>
      <color rgb="FF000000"/>
      <name val="Arial"/>
      <scheme val="minor"/>
    </font>
    <font>
      <sz val="7"/>
      <color theme="1"/>
      <name val="Trebuchet MS"/>
    </font>
    <font>
      <sz val="8"/>
      <color theme="1"/>
      <name val="Trebuchet MS"/>
    </font>
    <font>
      <sz val="6"/>
      <color theme="1"/>
      <name val="Trebuchet MS"/>
    </font>
    <font>
      <b/>
      <sz val="9"/>
      <color theme="1"/>
      <name val="Trebuchet MS"/>
    </font>
    <font>
      <b/>
      <sz val="9"/>
      <color theme="1"/>
      <name val="&quot;Trebuchet MS&quot;"/>
    </font>
    <font>
      <sz val="9"/>
      <color theme="1"/>
      <name val="Trebuchet MS"/>
    </font>
    <font>
      <sz val="10"/>
      <color theme="1"/>
      <name val="Trebuchet MS"/>
    </font>
    <font>
      <b/>
      <sz val="10"/>
      <color theme="1"/>
      <name val="Trebuchet MS"/>
    </font>
    <font>
      <sz val="10"/>
      <color theme="1"/>
      <name val="Trebuchet MS"/>
    </font>
    <font>
      <sz val="10"/>
      <color rgb="FF9AA6BD"/>
      <name val="Trebuchet MS"/>
    </font>
    <font>
      <sz val="10"/>
      <color rgb="FF5D617A"/>
      <name val="Trebuchet MS"/>
    </font>
    <font>
      <b/>
      <sz val="9"/>
      <color rgb="FF5D617A"/>
      <name val="Trebuchet MS"/>
    </font>
    <font>
      <sz val="9"/>
      <color rgb="FF5D617A"/>
      <name val="Trebuchet MS"/>
    </font>
    <font>
      <sz val="9"/>
      <color rgb="FF5D617A"/>
      <name val="&quot;Trebuchet MS&quot;"/>
    </font>
    <font>
      <b/>
      <sz val="10"/>
      <color theme="1"/>
      <name val="Trebuchet MS"/>
    </font>
    <font>
      <b/>
      <sz val="8"/>
      <color theme="1"/>
      <name val="Trebuchet MS"/>
    </font>
    <font>
      <b/>
      <sz val="7"/>
      <color theme="1"/>
      <name val="Trebuchet MS"/>
    </font>
    <font>
      <sz val="9"/>
      <color rgb="FF999999"/>
      <name val="Trebuchet MS"/>
    </font>
    <font>
      <i/>
      <sz val="7"/>
      <color theme="1"/>
      <name val="Trebuchet MS"/>
    </font>
    <font>
      <sz val="10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9"/>
      <color theme="1"/>
      <name val="Arial"/>
      <scheme val="minor"/>
    </font>
    <font>
      <sz val="9"/>
      <color rgb="FF6AA84F"/>
      <name val="Trebuchet MS"/>
    </font>
    <font>
      <sz val="9"/>
      <color rgb="FFCC0000"/>
      <name val="Trebuchet MS"/>
    </font>
    <font>
      <sz val="9"/>
      <color rgb="FF5D617A"/>
      <name val="Arial"/>
    </font>
    <font>
      <i/>
      <sz val="9"/>
      <color rgb="FF5D617A"/>
      <name val="Trebuchet MS"/>
    </font>
    <font>
      <sz val="9"/>
      <color theme="1"/>
      <name val="&quot;Trebuchet MS&quot;"/>
    </font>
    <font>
      <sz val="8"/>
      <color rgb="FFA64D79"/>
      <name val="Trebuchet MS"/>
    </font>
    <font>
      <sz val="10"/>
      <color rgb="FFCC0000"/>
      <name val="Trebuchet MS"/>
    </font>
    <font>
      <sz val="10"/>
      <color theme="1"/>
      <name val="Arial"/>
      <scheme val="minor"/>
    </font>
    <font>
      <i/>
      <sz val="8"/>
      <color theme="1"/>
      <name val="Trebuchet MS"/>
    </font>
    <font>
      <i/>
      <sz val="8"/>
      <color theme="1"/>
      <name val="&quot;Trebuchet MS&quot;"/>
    </font>
    <font>
      <i/>
      <sz val="9"/>
      <color theme="1"/>
      <name val="Trebuchet MS"/>
    </font>
    <font>
      <b/>
      <sz val="8"/>
      <color theme="1"/>
      <name val="&quot;Trebuchet MS&quot;"/>
    </font>
    <font>
      <b/>
      <sz val="10"/>
      <color rgb="FF5D617A"/>
      <name val="Trebuchet MS"/>
    </font>
    <font>
      <b/>
      <sz val="10"/>
      <color rgb="FF6D9EEB"/>
      <name val="Trebuchet MS"/>
    </font>
    <font>
      <b/>
      <i/>
      <sz val="9"/>
      <color rgb="FF5D617A"/>
      <name val="Trebuchet MS"/>
    </font>
    <font>
      <sz val="9"/>
      <color theme="1" tint="0.499984740745262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5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3" fillId="3" borderId="0" xfId="0" applyFont="1" applyFill="1" applyAlignment="1">
      <alignment horizontal="right" vertical="top" wrapText="1"/>
    </xf>
    <xf numFmtId="164" fontId="3" fillId="3" borderId="0" xfId="0" applyNumberFormat="1" applyFont="1" applyFill="1" applyAlignment="1">
      <alignment horizontal="right" vertical="top" wrapText="1"/>
    </xf>
    <xf numFmtId="0" fontId="3" fillId="4" borderId="0" xfId="0" applyFont="1" applyFill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3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3" borderId="0" xfId="0" applyFont="1" applyFill="1" applyAlignment="1">
      <alignment horizontal="right" vertical="top" wrapText="1"/>
    </xf>
    <xf numFmtId="0" fontId="5" fillId="3" borderId="0" xfId="0" applyFont="1" applyFill="1" applyAlignment="1">
      <alignment horizontal="right" vertical="top" wrapText="1"/>
    </xf>
    <xf numFmtId="164" fontId="4" fillId="3" borderId="0" xfId="0" applyNumberFormat="1" applyFont="1" applyFill="1" applyAlignment="1">
      <alignment horizontal="right" vertical="top" wrapText="1"/>
    </xf>
    <xf numFmtId="0" fontId="4" fillId="4" borderId="0" xfId="0" applyFont="1" applyFill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right" vertical="top" wrapText="1"/>
    </xf>
    <xf numFmtId="0" fontId="4" fillId="5" borderId="0" xfId="0" applyFont="1" applyFill="1" applyAlignment="1">
      <alignment horizontal="right" vertical="top" wrapText="1"/>
    </xf>
    <xf numFmtId="0" fontId="6" fillId="0" borderId="0" xfId="0" applyFont="1" applyAlignment="1">
      <alignment vertical="top"/>
    </xf>
    <xf numFmtId="3" fontId="4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3" fontId="8" fillId="2" borderId="0" xfId="0" applyNumberFormat="1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165" fontId="9" fillId="2" borderId="0" xfId="0" applyNumberFormat="1" applyFont="1" applyFill="1" applyAlignment="1">
      <alignment vertical="center"/>
    </xf>
    <xf numFmtId="9" fontId="9" fillId="2" borderId="0" xfId="0" applyNumberFormat="1" applyFont="1" applyFill="1" applyAlignment="1">
      <alignment vertical="center"/>
    </xf>
    <xf numFmtId="1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vertical="center"/>
    </xf>
    <xf numFmtId="9" fontId="9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horizontal="center" vertical="center"/>
    </xf>
    <xf numFmtId="167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3" fontId="9" fillId="2" borderId="0" xfId="0" applyNumberFormat="1" applyFont="1" applyFill="1" applyAlignment="1">
      <alignment vertical="center"/>
    </xf>
    <xf numFmtId="165" fontId="9" fillId="2" borderId="0" xfId="0" applyNumberFormat="1" applyFont="1" applyFill="1" applyAlignment="1">
      <alignment vertical="center"/>
    </xf>
    <xf numFmtId="9" fontId="9" fillId="2" borderId="0" xfId="0" applyNumberFormat="1" applyFont="1" applyFill="1" applyAlignment="1">
      <alignment vertical="center"/>
    </xf>
    <xf numFmtId="1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vertical="center"/>
    </xf>
    <xf numFmtId="9" fontId="9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horizontal="center" vertical="center"/>
    </xf>
    <xf numFmtId="167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horizontal="center" vertical="center"/>
    </xf>
    <xf numFmtId="168" fontId="9" fillId="2" borderId="0" xfId="0" applyNumberFormat="1" applyFont="1" applyFill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3" fontId="10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3" fontId="4" fillId="0" borderId="0" xfId="0" applyNumberFormat="1" applyFont="1" applyAlignment="1">
      <alignment vertical="center" wrapText="1"/>
    </xf>
    <xf numFmtId="3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9" fontId="6" fillId="3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9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3" fontId="6" fillId="3" borderId="0" xfId="0" applyNumberFormat="1" applyFont="1" applyFill="1" applyAlignment="1">
      <alignment vertical="center"/>
    </xf>
    <xf numFmtId="166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166" fontId="6" fillId="3" borderId="0" xfId="0" applyNumberFormat="1" applyFont="1" applyFill="1" applyAlignment="1">
      <alignment horizontal="center" vertical="center"/>
    </xf>
    <xf numFmtId="168" fontId="6" fillId="3" borderId="0" xfId="0" applyNumberFormat="1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vertical="center" wrapText="1"/>
    </xf>
    <xf numFmtId="3" fontId="13" fillId="0" borderId="0" xfId="0" applyNumberFormat="1" applyFont="1" applyAlignment="1">
      <alignment vertical="center"/>
    </xf>
    <xf numFmtId="10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166" fontId="13" fillId="0" borderId="0" xfId="0" applyNumberFormat="1" applyFont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vertical="center"/>
    </xf>
    <xf numFmtId="167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vertical="center"/>
    </xf>
    <xf numFmtId="166" fontId="13" fillId="0" borderId="0" xfId="0" applyNumberFormat="1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166" fontId="13" fillId="0" borderId="0" xfId="0" applyNumberFormat="1" applyFont="1" applyAlignment="1">
      <alignment horizontal="right" vertical="center"/>
    </xf>
    <xf numFmtId="166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168" fontId="9" fillId="2" borderId="0" xfId="0" applyNumberFormat="1" applyFont="1" applyFill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9" fontId="6" fillId="2" borderId="0" xfId="0" applyNumberFormat="1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10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9" fontId="6" fillId="0" borderId="0" xfId="0" applyNumberFormat="1" applyFont="1" applyAlignment="1">
      <alignment horizontal="right" vertical="center"/>
    </xf>
    <xf numFmtId="167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9" fontId="6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6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 wrapText="1"/>
    </xf>
    <xf numFmtId="10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right" vertical="center"/>
    </xf>
    <xf numFmtId="171" fontId="4" fillId="0" borderId="0" xfId="0" applyNumberFormat="1" applyFont="1" applyAlignment="1">
      <alignment horizontal="right" vertical="center"/>
    </xf>
    <xf numFmtId="172" fontId="4" fillId="0" borderId="0" xfId="0" applyNumberFormat="1" applyFont="1" applyAlignment="1">
      <alignment horizontal="center" vertical="center"/>
    </xf>
    <xf numFmtId="173" fontId="4" fillId="0" borderId="0" xfId="0" applyNumberFormat="1" applyFont="1" applyAlignment="1">
      <alignment horizontal="right" vertical="center"/>
    </xf>
    <xf numFmtId="0" fontId="7" fillId="3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174" fontId="18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5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10" fontId="6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9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175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0" fontId="9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176" fontId="17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10" fontId="9" fillId="0" borderId="0" xfId="0" applyNumberFormat="1" applyFont="1" applyAlignment="1">
      <alignment horizontal="right" vertical="center" wrapText="1"/>
    </xf>
    <xf numFmtId="1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78" fontId="7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0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4" fontId="9" fillId="0" borderId="0" xfId="0" applyNumberFormat="1" applyFont="1" applyAlignment="1">
      <alignment vertical="center"/>
    </xf>
    <xf numFmtId="176" fontId="15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164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vertical="center"/>
    </xf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9" fontId="9" fillId="0" borderId="0" xfId="0" applyNumberFormat="1" applyFont="1" applyAlignment="1">
      <alignment vertical="center"/>
    </xf>
    <xf numFmtId="180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79" fontId="9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right" vertical="center" wrapText="1"/>
    </xf>
    <xf numFmtId="9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1" fontId="7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9" fontId="7" fillId="0" borderId="0" xfId="0" applyNumberFormat="1" applyFont="1" applyAlignment="1">
      <alignment vertical="center" wrapText="1"/>
    </xf>
    <xf numFmtId="1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4" fontId="7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" fontId="7" fillId="0" borderId="0" xfId="0" applyNumberFormat="1" applyFont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right" vertical="top"/>
    </xf>
    <xf numFmtId="0" fontId="3" fillId="0" borderId="0" xfId="0" applyFont="1" applyAlignment="1">
      <alignment horizontal="center" vertical="top" wrapText="1"/>
    </xf>
    <xf numFmtId="0" fontId="6" fillId="2" borderId="0" xfId="0" applyFont="1" applyFill="1" applyAlignment="1">
      <alignment vertical="top"/>
    </xf>
    <xf numFmtId="0" fontId="5" fillId="2" borderId="0" xfId="0" applyFont="1" applyFill="1" applyAlignment="1">
      <alignment horizontal="right" vertical="top"/>
    </xf>
    <xf numFmtId="0" fontId="4" fillId="3" borderId="0" xfId="0" applyFont="1" applyFill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5" fillId="3" borderId="0" xfId="0" applyFont="1" applyFill="1" applyAlignment="1">
      <alignment horizontal="center" vertical="top"/>
    </xf>
    <xf numFmtId="3" fontId="20" fillId="0" borderId="0" xfId="0" applyNumberFormat="1" applyFont="1"/>
    <xf numFmtId="167" fontId="9" fillId="2" borderId="0" xfId="0" applyNumberFormat="1" applyFont="1" applyFill="1" applyAlignment="1">
      <alignment horizontal="center" vertical="center"/>
    </xf>
    <xf numFmtId="3" fontId="21" fillId="0" borderId="0" xfId="0" applyNumberFormat="1" applyFont="1"/>
    <xf numFmtId="3" fontId="9" fillId="2" borderId="0" xfId="0" applyNumberFormat="1" applyFont="1" applyFill="1"/>
    <xf numFmtId="3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horizontal="center" vertical="center"/>
    </xf>
    <xf numFmtId="3" fontId="11" fillId="0" borderId="2" xfId="0" applyNumberFormat="1" applyFont="1" applyBorder="1" applyAlignment="1">
      <alignment vertical="center"/>
    </xf>
    <xf numFmtId="3" fontId="9" fillId="0" borderId="2" xfId="0" applyNumberFormat="1" applyFont="1" applyBorder="1" applyAlignment="1">
      <alignment vertical="center"/>
    </xf>
    <xf numFmtId="10" fontId="9" fillId="0" borderId="2" xfId="0" applyNumberFormat="1" applyFont="1" applyBorder="1" applyAlignment="1">
      <alignment vertical="center"/>
    </xf>
    <xf numFmtId="168" fontId="9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3" fontId="22" fillId="0" borderId="0" xfId="0" applyNumberFormat="1" applyFont="1"/>
    <xf numFmtId="0" fontId="23" fillId="0" borderId="0" xfId="0" applyFont="1"/>
    <xf numFmtId="166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0" fontId="24" fillId="0" borderId="0" xfId="0" applyNumberFormat="1" applyFont="1" applyAlignment="1">
      <alignment vertical="center"/>
    </xf>
    <xf numFmtId="10" fontId="2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3" fontId="26" fillId="0" borderId="0" xfId="0" applyNumberFormat="1" applyFont="1"/>
    <xf numFmtId="165" fontId="13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9" fontId="13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6" fontId="13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vertical="top"/>
    </xf>
    <xf numFmtId="0" fontId="28" fillId="0" borderId="1" xfId="0" applyFont="1" applyBorder="1" applyAlignment="1">
      <alignment vertical="center"/>
    </xf>
    <xf numFmtId="166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vertical="center"/>
    </xf>
    <xf numFmtId="181" fontId="6" fillId="2" borderId="0" xfId="0" applyNumberFormat="1" applyFont="1" applyFill="1" applyAlignment="1">
      <alignment vertical="center"/>
    </xf>
    <xf numFmtId="166" fontId="6" fillId="3" borderId="0" xfId="0" applyNumberFormat="1" applyFont="1" applyFill="1" applyAlignment="1">
      <alignment vertical="center"/>
    </xf>
    <xf numFmtId="0" fontId="20" fillId="0" borderId="0" xfId="0" applyFont="1"/>
    <xf numFmtId="182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9" fontId="2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 vertical="center"/>
    </xf>
    <xf numFmtId="166" fontId="20" fillId="0" borderId="0" xfId="0" applyNumberFormat="1" applyFont="1"/>
    <xf numFmtId="1" fontId="6" fillId="0" borderId="0" xfId="0" applyNumberFormat="1" applyFont="1" applyAlignment="1">
      <alignment horizontal="right" vertical="center"/>
    </xf>
    <xf numFmtId="176" fontId="20" fillId="0" borderId="0" xfId="0" applyNumberFormat="1" applyFont="1"/>
    <xf numFmtId="0" fontId="2" fillId="0" borderId="0" xfId="0" applyFont="1" applyAlignment="1">
      <alignment horizontal="center" vertical="center"/>
    </xf>
    <xf numFmtId="0" fontId="20" fillId="0" borderId="0" xfId="0" applyFont="1"/>
    <xf numFmtId="0" fontId="7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0" fontId="20" fillId="0" borderId="0" xfId="0" applyFont="1" applyAlignment="1">
      <alignment vertical="top"/>
    </xf>
    <xf numFmtId="166" fontId="20" fillId="0" borderId="0" xfId="0" applyNumberFormat="1" applyFont="1"/>
    <xf numFmtId="166" fontId="21" fillId="2" borderId="0" xfId="0" applyNumberFormat="1" applyFont="1" applyFill="1"/>
    <xf numFmtId="3" fontId="8" fillId="6" borderId="0" xfId="0" applyNumberFormat="1" applyFont="1" applyFill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166" fontId="21" fillId="0" borderId="0" xfId="0" applyNumberFormat="1" applyFont="1"/>
    <xf numFmtId="3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vertical="center"/>
    </xf>
    <xf numFmtId="1" fontId="9" fillId="2" borderId="0" xfId="0" applyNumberFormat="1" applyFont="1" applyFill="1" applyAlignment="1">
      <alignment vertical="center"/>
    </xf>
    <xf numFmtId="166" fontId="9" fillId="2" borderId="2" xfId="0" applyNumberFormat="1" applyFont="1" applyFill="1" applyBorder="1"/>
    <xf numFmtId="3" fontId="9" fillId="6" borderId="0" xfId="0" applyNumberFormat="1" applyFont="1" applyFill="1" applyAlignment="1">
      <alignment vertical="center"/>
    </xf>
    <xf numFmtId="166" fontId="9" fillId="0" borderId="0" xfId="0" applyNumberFormat="1" applyFont="1" applyAlignment="1">
      <alignment vertical="center"/>
    </xf>
    <xf numFmtId="3" fontId="4" fillId="6" borderId="0" xfId="0" applyNumberFormat="1" applyFont="1" applyFill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" fontId="7" fillId="3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166" fontId="7" fillId="3" borderId="0" xfId="0" applyNumberFormat="1" applyFont="1" applyFill="1" applyAlignment="1">
      <alignment vertical="center"/>
    </xf>
    <xf numFmtId="168" fontId="7" fillId="3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66" fontId="21" fillId="2" borderId="2" xfId="0" applyNumberFormat="1" applyFont="1" applyFill="1" applyBorder="1"/>
    <xf numFmtId="0" fontId="30" fillId="6" borderId="0" xfId="0" applyFont="1" applyFill="1" applyAlignment="1">
      <alignment vertical="center"/>
    </xf>
    <xf numFmtId="1" fontId="7" fillId="2" borderId="0" xfId="0" applyNumberFormat="1" applyFont="1" applyFill="1" applyAlignment="1">
      <alignment vertical="center"/>
    </xf>
    <xf numFmtId="3" fontId="4" fillId="6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3" fontId="4" fillId="2" borderId="0" xfId="0" applyNumberFormat="1" applyFont="1" applyFill="1" applyAlignment="1">
      <alignment vertical="center" wrapText="1"/>
    </xf>
    <xf numFmtId="10" fontId="9" fillId="2" borderId="0" xfId="0" applyNumberFormat="1" applyFont="1" applyFill="1" applyAlignment="1">
      <alignment vertical="center"/>
    </xf>
    <xf numFmtId="166" fontId="9" fillId="2" borderId="0" xfId="0" applyNumberFormat="1" applyFont="1" applyFill="1" applyAlignment="1">
      <alignment horizontal="right" vertical="center"/>
    </xf>
    <xf numFmtId="9" fontId="9" fillId="2" borderId="0" xfId="0" applyNumberFormat="1" applyFont="1" applyFill="1" applyAlignment="1">
      <alignment horizontal="right" vertical="center"/>
    </xf>
    <xf numFmtId="166" fontId="20" fillId="2" borderId="0" xfId="0" applyNumberFormat="1" applyFont="1" applyFill="1"/>
    <xf numFmtId="166" fontId="6" fillId="2" borderId="0" xfId="0" applyNumberFormat="1" applyFont="1" applyFill="1" applyAlignment="1">
      <alignment vertical="center"/>
    </xf>
    <xf numFmtId="3" fontId="4" fillId="6" borderId="0" xfId="0" applyNumberFormat="1" applyFont="1" applyFill="1" applyAlignment="1">
      <alignment vertical="center" wrapText="1"/>
    </xf>
    <xf numFmtId="0" fontId="31" fillId="0" borderId="0" xfId="0" applyFont="1"/>
    <xf numFmtId="0" fontId="7" fillId="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69" fontId="6" fillId="0" borderId="0" xfId="0" applyNumberFormat="1" applyFont="1" applyAlignment="1">
      <alignment horizontal="right" vertical="center"/>
    </xf>
    <xf numFmtId="167" fontId="20" fillId="0" borderId="0" xfId="0" applyNumberFormat="1" applyFont="1"/>
    <xf numFmtId="10" fontId="20" fillId="0" borderId="0" xfId="0" applyNumberFormat="1" applyFont="1"/>
    <xf numFmtId="1" fontId="20" fillId="0" borderId="0" xfId="0" applyNumberFormat="1" applyFont="1"/>
    <xf numFmtId="178" fontId="20" fillId="0" borderId="0" xfId="0" applyNumberFormat="1" applyFont="1"/>
    <xf numFmtId="180" fontId="20" fillId="0" borderId="0" xfId="0" applyNumberFormat="1" applyFont="1"/>
    <xf numFmtId="179" fontId="20" fillId="0" borderId="0" xfId="0" applyNumberFormat="1" applyFont="1"/>
    <xf numFmtId="4" fontId="20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66" fontId="39" fillId="0" borderId="0" xfId="0" applyNumberFormat="1" applyFont="1" applyAlignment="1">
      <alignment vertical="center"/>
    </xf>
  </cellXfs>
  <cellStyles count="1">
    <cellStyle name="Обычный" xfId="0" builtinId="0"/>
  </cellStyles>
  <dxfs count="6"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S1223"/>
  <sheetViews>
    <sheetView showGridLines="0" workbookViewId="0">
      <pane ySplit="3" topLeftCell="A10" activePane="bottomLeft" state="frozen"/>
      <selection pane="bottomLeft" activeCell="P25" sqref="P25"/>
    </sheetView>
  </sheetViews>
  <sheetFormatPr defaultColWidth="12.5703125" defaultRowHeight="15.75" customHeight="1" outlineLevelRow="1"/>
  <cols>
    <col min="1" max="1" width="2.5703125" customWidth="1"/>
    <col min="2" max="2" width="23.42578125" customWidth="1"/>
    <col min="3" max="8" width="8.85546875" customWidth="1"/>
    <col min="9" max="9" width="2.85546875" customWidth="1"/>
    <col min="10" max="18" width="8.85546875" customWidth="1"/>
    <col min="19" max="19" width="2.5703125" customWidth="1"/>
    <col min="20" max="21" width="8.85546875" customWidth="1"/>
    <col min="22" max="22" width="8.85546875" hidden="1" customWidth="1"/>
    <col min="23" max="23" width="2.5703125" customWidth="1"/>
    <col min="24" max="24" width="10.140625" customWidth="1"/>
    <col min="25" max="25" width="13.28515625" bestFit="1" customWidth="1"/>
    <col min="26" max="30" width="10.140625" customWidth="1"/>
  </cols>
  <sheetData>
    <row r="1" spans="1:45" ht="16.5" customHeight="1">
      <c r="A1" s="1"/>
      <c r="B1" s="1"/>
      <c r="C1" s="479" t="s">
        <v>0</v>
      </c>
      <c r="D1" s="480"/>
      <c r="E1" s="480"/>
      <c r="F1" s="480"/>
      <c r="G1" s="480"/>
      <c r="H1" s="480"/>
      <c r="I1" s="2"/>
      <c r="J1" s="481" t="s">
        <v>1</v>
      </c>
      <c r="K1" s="480"/>
      <c r="L1" s="480"/>
      <c r="M1" s="480"/>
      <c r="N1" s="480"/>
      <c r="O1" s="480"/>
      <c r="P1" s="480"/>
      <c r="Q1" s="3"/>
      <c r="R1" s="3"/>
      <c r="S1" s="4"/>
      <c r="T1" s="481" t="s">
        <v>2</v>
      </c>
      <c r="U1" s="480"/>
      <c r="V1" s="480"/>
      <c r="W1" s="4"/>
      <c r="X1" s="482" t="s">
        <v>3</v>
      </c>
      <c r="Y1" s="480"/>
      <c r="Z1" s="480"/>
      <c r="AA1" s="480"/>
      <c r="AB1" s="480"/>
      <c r="AC1" s="480"/>
      <c r="AD1" s="480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31.5" customHeight="1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7"/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9" t="s">
        <v>16</v>
      </c>
      <c r="Q2" s="10" t="s">
        <v>17</v>
      </c>
      <c r="R2" s="10" t="s">
        <v>18</v>
      </c>
      <c r="S2" s="11"/>
      <c r="T2" s="12" t="s">
        <v>19</v>
      </c>
      <c r="U2" s="12" t="s">
        <v>20</v>
      </c>
      <c r="V2" s="12" t="s">
        <v>21</v>
      </c>
      <c r="W2" s="7"/>
      <c r="X2" s="13" t="s">
        <v>22</v>
      </c>
      <c r="Y2" s="13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4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84">
      <c r="A3" s="16"/>
      <c r="B3" s="16"/>
      <c r="C3" s="17" t="s">
        <v>29</v>
      </c>
      <c r="D3" s="17" t="s">
        <v>30</v>
      </c>
      <c r="E3" s="18" t="s">
        <v>31</v>
      </c>
      <c r="F3" s="17" t="s">
        <v>32</v>
      </c>
      <c r="G3" s="19" t="s">
        <v>33</v>
      </c>
      <c r="H3" s="17" t="s">
        <v>34</v>
      </c>
      <c r="I3" s="20"/>
      <c r="J3" s="21" t="s">
        <v>35</v>
      </c>
      <c r="K3" s="21" t="s">
        <v>36</v>
      </c>
      <c r="L3" s="21" t="s">
        <v>37</v>
      </c>
      <c r="M3" s="21" t="s">
        <v>38</v>
      </c>
      <c r="N3" s="22" t="s">
        <v>39</v>
      </c>
      <c r="O3" s="21" t="s">
        <v>40</v>
      </c>
      <c r="P3" s="23" t="s">
        <v>41</v>
      </c>
      <c r="Q3" s="24" t="s">
        <v>42</v>
      </c>
      <c r="R3" s="24" t="s">
        <v>43</v>
      </c>
      <c r="S3" s="25"/>
      <c r="T3" s="26" t="s">
        <v>44</v>
      </c>
      <c r="U3" s="26" t="s">
        <v>45</v>
      </c>
      <c r="V3" s="26" t="s">
        <v>46</v>
      </c>
      <c r="W3" s="20"/>
      <c r="X3" s="27" t="s">
        <v>47</v>
      </c>
      <c r="Y3" s="28" t="s">
        <v>48</v>
      </c>
      <c r="Z3" s="27" t="s">
        <v>49</v>
      </c>
      <c r="AA3" s="27" t="s">
        <v>50</v>
      </c>
      <c r="AB3" s="27" t="s">
        <v>51</v>
      </c>
      <c r="AC3" s="27" t="s">
        <v>52</v>
      </c>
      <c r="AD3" s="27" t="s">
        <v>53</v>
      </c>
      <c r="AE3" s="20"/>
      <c r="AF3" s="29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</row>
    <row r="4" spans="1:45" ht="15.75" customHeight="1">
      <c r="A4" s="30"/>
      <c r="B4" s="30"/>
      <c r="C4" s="31"/>
      <c r="D4" s="32"/>
      <c r="E4" s="33"/>
      <c r="F4" s="33"/>
      <c r="G4" s="34"/>
      <c r="H4" s="34"/>
      <c r="I4" s="35"/>
      <c r="J4" s="35"/>
      <c r="K4" s="36"/>
      <c r="L4" s="33"/>
      <c r="M4" s="33"/>
      <c r="N4" s="37"/>
      <c r="O4" s="37"/>
      <c r="P4" s="38"/>
      <c r="Q4" s="39"/>
      <c r="R4" s="39"/>
      <c r="S4" s="40"/>
      <c r="T4" s="41"/>
      <c r="U4" s="42"/>
      <c r="V4" s="43"/>
      <c r="W4" s="40"/>
      <c r="X4" s="44"/>
      <c r="Y4" s="44"/>
      <c r="Z4" s="44"/>
      <c r="AA4" s="44"/>
      <c r="AB4" s="44"/>
      <c r="AC4" s="44"/>
      <c r="AD4" s="44"/>
      <c r="AE4" s="3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</row>
    <row r="5" spans="1:45" ht="22.5" customHeight="1">
      <c r="A5" s="46"/>
      <c r="B5" s="46" t="s">
        <v>54</v>
      </c>
      <c r="C5" s="47"/>
      <c r="D5" s="48"/>
      <c r="E5" s="49"/>
      <c r="F5" s="49"/>
      <c r="G5" s="50"/>
      <c r="H5" s="50"/>
      <c r="I5" s="51"/>
      <c r="J5" s="51"/>
      <c r="K5" s="52"/>
      <c r="L5" s="49"/>
      <c r="M5" s="49"/>
      <c r="N5" s="53"/>
      <c r="O5" s="53"/>
      <c r="P5" s="54"/>
      <c r="Q5" s="55"/>
      <c r="R5" s="55"/>
      <c r="S5" s="56"/>
      <c r="T5" s="57"/>
      <c r="U5" s="57"/>
      <c r="V5" s="58"/>
      <c r="W5" s="56"/>
      <c r="X5" s="51"/>
      <c r="Y5" s="51"/>
      <c r="Z5" s="51"/>
      <c r="AA5" s="51"/>
      <c r="AB5" s="51"/>
      <c r="AC5" s="51"/>
      <c r="AD5" s="51"/>
      <c r="AE5" s="51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</row>
    <row r="6" spans="1:45" ht="22.5" customHeight="1">
      <c r="A6" s="60"/>
      <c r="B6" s="60"/>
      <c r="C6" s="61"/>
      <c r="D6" s="62"/>
      <c r="E6" s="63"/>
      <c r="F6" s="63"/>
      <c r="G6" s="64"/>
      <c r="H6" s="64"/>
      <c r="I6" s="65"/>
      <c r="J6" s="65"/>
      <c r="K6" s="66"/>
      <c r="L6" s="63"/>
      <c r="M6" s="63"/>
      <c r="N6" s="67"/>
      <c r="O6" s="67"/>
      <c r="P6" s="68"/>
      <c r="Q6" s="69"/>
      <c r="R6" s="69"/>
      <c r="S6" s="70"/>
      <c r="T6" s="71"/>
      <c r="U6" s="72"/>
      <c r="V6" s="73"/>
      <c r="W6" s="70"/>
      <c r="X6" s="65"/>
      <c r="Y6" s="65"/>
      <c r="Z6" s="65"/>
      <c r="AA6" s="65"/>
      <c r="AB6" s="65"/>
      <c r="AC6" s="65"/>
      <c r="AD6" s="65"/>
      <c r="AE6" s="65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</row>
    <row r="7" spans="1:45" ht="22.5" customHeight="1">
      <c r="A7" s="75"/>
      <c r="B7" s="75" t="s">
        <v>55</v>
      </c>
      <c r="C7" s="75"/>
      <c r="D7" s="76"/>
      <c r="E7" s="77"/>
      <c r="F7" s="77"/>
      <c r="G7" s="78"/>
      <c r="H7" s="78"/>
      <c r="I7" s="79"/>
      <c r="J7" s="80"/>
      <c r="K7" s="81"/>
      <c r="L7" s="77"/>
      <c r="M7" s="77"/>
      <c r="N7" s="82"/>
      <c r="O7" s="82"/>
      <c r="P7" s="83"/>
      <c r="Q7" s="84"/>
      <c r="R7" s="84"/>
      <c r="S7" s="85"/>
      <c r="T7" s="86"/>
      <c r="U7" s="87"/>
      <c r="V7" s="88"/>
      <c r="W7" s="85"/>
      <c r="X7" s="79"/>
      <c r="Y7" s="79"/>
      <c r="Z7" s="79"/>
      <c r="AA7" s="79"/>
      <c r="AB7" s="79"/>
      <c r="AC7" s="79"/>
      <c r="AD7" s="79"/>
      <c r="AE7" s="7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</row>
    <row r="8" spans="1:45" ht="22.5" customHeight="1">
      <c r="A8" s="90"/>
      <c r="B8" s="91" t="s">
        <v>56</v>
      </c>
      <c r="C8" s="61"/>
      <c r="D8" s="62"/>
      <c r="E8" s="63"/>
      <c r="F8" s="63"/>
      <c r="G8" s="64"/>
      <c r="H8" s="64"/>
      <c r="I8" s="65"/>
      <c r="J8" s="65"/>
      <c r="K8" s="66"/>
      <c r="L8" s="92" t="s">
        <v>57</v>
      </c>
      <c r="M8" s="63"/>
      <c r="N8" s="67"/>
      <c r="O8" s="67"/>
      <c r="P8" s="68"/>
      <c r="Q8" s="69"/>
      <c r="R8" s="69"/>
      <c r="S8" s="70"/>
      <c r="T8" s="71"/>
      <c r="U8" s="72"/>
      <c r="V8" s="73"/>
      <c r="W8" s="70"/>
      <c r="X8" s="65"/>
      <c r="Y8" s="65"/>
      <c r="Z8" s="65"/>
      <c r="AA8" s="65"/>
      <c r="AB8" s="65"/>
      <c r="AC8" s="65"/>
      <c r="AD8" s="65"/>
      <c r="AE8" s="65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</row>
    <row r="9" spans="1:45" ht="22.5" customHeight="1">
      <c r="A9" s="90"/>
      <c r="B9" s="91" t="s">
        <v>58</v>
      </c>
      <c r="C9" s="61"/>
      <c r="D9" s="62"/>
      <c r="E9" s="63"/>
      <c r="F9" s="63"/>
      <c r="G9" s="64"/>
      <c r="H9" s="64"/>
      <c r="I9" s="65"/>
      <c r="J9" s="65"/>
      <c r="K9" s="66"/>
      <c r="L9" s="63"/>
      <c r="M9" s="63"/>
      <c r="N9" s="67"/>
      <c r="O9" s="67"/>
      <c r="P9" s="68"/>
      <c r="Q9" s="69"/>
      <c r="R9" s="69"/>
      <c r="S9" s="70"/>
      <c r="T9" s="71"/>
      <c r="U9" s="72"/>
      <c r="V9" s="73"/>
      <c r="W9" s="70"/>
      <c r="X9" s="65"/>
      <c r="Y9" s="65"/>
      <c r="Z9" s="65"/>
      <c r="AA9" s="65"/>
      <c r="AB9" s="65"/>
      <c r="AC9" s="65"/>
      <c r="AD9" s="65"/>
      <c r="AE9" s="65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</row>
    <row r="10" spans="1:45" ht="22.5" customHeight="1">
      <c r="A10" s="90"/>
      <c r="B10" s="91" t="s">
        <v>59</v>
      </c>
      <c r="C10" s="61"/>
      <c r="D10" s="62"/>
      <c r="E10" s="63"/>
      <c r="F10" s="63"/>
      <c r="G10" s="64"/>
      <c r="H10" s="64"/>
      <c r="I10" s="65"/>
      <c r="J10" s="65"/>
      <c r="K10" s="66"/>
      <c r="L10" s="63"/>
      <c r="M10" s="63"/>
      <c r="N10" s="67"/>
      <c r="O10" s="67"/>
      <c r="P10" s="68"/>
      <c r="Q10" s="69"/>
      <c r="R10" s="69"/>
      <c r="S10" s="70"/>
      <c r="T10" s="71"/>
      <c r="U10" s="72"/>
      <c r="V10" s="73"/>
      <c r="W10" s="73"/>
      <c r="X10" s="65"/>
      <c r="Y10" s="65"/>
      <c r="Z10" s="65"/>
      <c r="AA10" s="65"/>
      <c r="AB10" s="65"/>
      <c r="AC10" s="65"/>
      <c r="AD10" s="65"/>
      <c r="AE10" s="65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</row>
    <row r="11" spans="1:45" ht="22.5" customHeight="1">
      <c r="A11" s="90"/>
      <c r="B11" s="91" t="s">
        <v>60</v>
      </c>
      <c r="C11" s="61"/>
      <c r="D11" s="62"/>
      <c r="E11" s="63"/>
      <c r="F11" s="63"/>
      <c r="G11" s="64"/>
      <c r="H11" s="64"/>
      <c r="I11" s="65"/>
      <c r="J11" s="65"/>
      <c r="K11" s="66"/>
      <c r="L11" s="63"/>
      <c r="M11" s="63"/>
      <c r="N11" s="67"/>
      <c r="O11" s="67"/>
      <c r="P11" s="68"/>
      <c r="Q11" s="69"/>
      <c r="R11" s="69"/>
      <c r="S11" s="70"/>
      <c r="T11" s="71"/>
      <c r="U11" s="72"/>
      <c r="V11" s="73"/>
      <c r="W11" s="70"/>
      <c r="X11" s="65"/>
      <c r="Y11" s="65"/>
      <c r="Z11" s="65"/>
      <c r="AA11" s="65"/>
      <c r="AB11" s="65"/>
      <c r="AC11" s="65"/>
      <c r="AD11" s="65"/>
      <c r="AE11" s="65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</row>
    <row r="12" spans="1:45" ht="15.75" customHeight="1">
      <c r="A12" s="93"/>
      <c r="B12" s="93"/>
      <c r="C12" s="93"/>
      <c r="D12" s="94"/>
      <c r="E12" s="95"/>
      <c r="F12" s="95"/>
      <c r="G12" s="96"/>
      <c r="H12" s="96"/>
      <c r="I12" s="97"/>
      <c r="J12" s="98"/>
      <c r="K12" s="99"/>
      <c r="L12" s="95"/>
      <c r="M12" s="95"/>
      <c r="N12" s="100"/>
      <c r="O12" s="100"/>
      <c r="P12" s="101"/>
      <c r="Q12" s="102"/>
      <c r="R12" s="102"/>
      <c r="S12" s="103"/>
      <c r="T12" s="104"/>
      <c r="U12" s="105"/>
      <c r="V12" s="106"/>
      <c r="W12" s="103"/>
      <c r="X12" s="97"/>
      <c r="Y12" s="97"/>
      <c r="Z12" s="97"/>
      <c r="AA12" s="97"/>
      <c r="AB12" s="97"/>
      <c r="AC12" s="97"/>
      <c r="AD12" s="97"/>
      <c r="AE12" s="9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</row>
    <row r="13" spans="1:45" ht="22.5" customHeight="1">
      <c r="A13" s="108"/>
      <c r="B13" s="108" t="s">
        <v>61</v>
      </c>
      <c r="C13" s="109">
        <v>100000</v>
      </c>
      <c r="D13" s="110"/>
      <c r="E13" s="109"/>
      <c r="F13" s="111">
        <v>0.01</v>
      </c>
      <c r="G13" s="109">
        <f>C13*F13</f>
        <v>1000</v>
      </c>
      <c r="H13" s="109">
        <f t="shared" ref="H13:H14" si="0">G13*P13</f>
        <v>1000</v>
      </c>
      <c r="I13" s="44"/>
      <c r="J13" s="112">
        <f>K13*L13*P13</f>
        <v>60</v>
      </c>
      <c r="K13" s="113">
        <v>200</v>
      </c>
      <c r="L13" s="111">
        <v>0.3</v>
      </c>
      <c r="M13" s="114"/>
      <c r="N13" s="115"/>
      <c r="O13" s="115"/>
      <c r="P13" s="116">
        <v>1</v>
      </c>
      <c r="Q13" s="117"/>
      <c r="R13" s="118"/>
      <c r="S13" s="119"/>
      <c r="T13" s="120">
        <v>20</v>
      </c>
      <c r="U13" s="121">
        <f>F13*J13</f>
        <v>0.6</v>
      </c>
      <c r="V13" s="122"/>
      <c r="W13" s="119"/>
      <c r="X13" s="44"/>
      <c r="Y13" s="44">
        <f t="shared" ref="Y13:Y14" si="1">Z13-AC13-AB13</f>
        <v>-1940000</v>
      </c>
      <c r="Z13" s="44">
        <f t="shared" ref="Z13:Z14" si="2">H13*K13</f>
        <v>200000</v>
      </c>
      <c r="AA13" s="44">
        <f>J13*G13</f>
        <v>60000</v>
      </c>
      <c r="AB13" s="44">
        <f t="shared" ref="AB13:AB14" si="3">T13*C13</f>
        <v>2000000</v>
      </c>
      <c r="AC13" s="44">
        <f>(1-L13)*K13*H13</f>
        <v>140000</v>
      </c>
      <c r="AD13" s="44"/>
      <c r="AE13" s="44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</row>
    <row r="14" spans="1:45" ht="22.5" customHeight="1">
      <c r="A14" s="108"/>
      <c r="B14" s="108" t="s">
        <v>62</v>
      </c>
      <c r="C14" s="124">
        <f>C13</f>
        <v>100000</v>
      </c>
      <c r="D14" s="110"/>
      <c r="E14" s="109"/>
      <c r="F14" s="111">
        <v>0.01</v>
      </c>
      <c r="G14" s="124">
        <f>C14*F14</f>
        <v>1000</v>
      </c>
      <c r="H14" s="109">
        <f t="shared" si="0"/>
        <v>3000</v>
      </c>
      <c r="I14" s="44"/>
      <c r="J14" s="421">
        <f>K14*L14*P14</f>
        <v>180</v>
      </c>
      <c r="K14" s="421">
        <v>200</v>
      </c>
      <c r="L14" s="111">
        <v>0.3</v>
      </c>
      <c r="M14" s="114"/>
      <c r="N14" s="115"/>
      <c r="O14" s="115"/>
      <c r="P14" s="116">
        <v>3</v>
      </c>
      <c r="Q14" s="117"/>
      <c r="R14" s="117"/>
      <c r="S14" s="119"/>
      <c r="T14" s="120">
        <v>20</v>
      </c>
      <c r="U14" s="121">
        <f>F14*J14</f>
        <v>1.8</v>
      </c>
      <c r="V14" s="122"/>
      <c r="W14" s="119"/>
      <c r="X14" s="44"/>
      <c r="Y14" s="44">
        <f t="shared" si="1"/>
        <v>-1820000</v>
      </c>
      <c r="Z14" s="44">
        <f t="shared" si="2"/>
        <v>600000</v>
      </c>
      <c r="AA14" s="44">
        <f>J14*G14</f>
        <v>180000</v>
      </c>
      <c r="AB14" s="44">
        <f t="shared" si="3"/>
        <v>2000000</v>
      </c>
      <c r="AC14" s="44">
        <f>(1-L14)*Z14</f>
        <v>420000</v>
      </c>
      <c r="AD14" s="44"/>
      <c r="AE14" s="44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</row>
    <row r="15" spans="1:45" ht="22.5" customHeight="1">
      <c r="A15" s="108"/>
      <c r="B15" s="108"/>
      <c r="C15" s="124"/>
      <c r="D15" s="110"/>
      <c r="E15" s="114"/>
      <c r="F15" s="114"/>
      <c r="G15" s="125"/>
      <c r="H15" s="125"/>
      <c r="I15" s="44"/>
      <c r="J15" s="126"/>
      <c r="K15" s="127"/>
      <c r="L15" s="114"/>
      <c r="M15" s="114"/>
      <c r="N15" s="115"/>
      <c r="O15" s="115"/>
      <c r="P15" s="128"/>
      <c r="Q15" s="39"/>
      <c r="R15" s="39"/>
      <c r="S15" s="119"/>
      <c r="T15" s="118"/>
      <c r="U15" s="129"/>
      <c r="V15" s="122"/>
      <c r="W15" s="119"/>
      <c r="X15" s="44"/>
      <c r="Y15" s="44"/>
      <c r="Z15" s="44"/>
      <c r="AA15" s="44"/>
      <c r="AB15" s="44"/>
      <c r="AC15" s="44"/>
      <c r="AD15" s="44"/>
      <c r="AE15" s="44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</row>
    <row r="16" spans="1:45" ht="22.5" hidden="1" customHeight="1" collapsed="1">
      <c r="A16" s="130"/>
      <c r="B16" s="130" t="s">
        <v>63</v>
      </c>
      <c r="C16" s="131"/>
      <c r="D16" s="132"/>
      <c r="E16" s="132"/>
      <c r="F16" s="132"/>
      <c r="G16" s="133"/>
      <c r="H16" s="134"/>
      <c r="I16" s="135"/>
      <c r="J16" s="135"/>
      <c r="K16" s="135"/>
      <c r="L16" s="136"/>
      <c r="M16" s="136"/>
      <c r="N16" s="135"/>
      <c r="O16" s="135"/>
      <c r="P16" s="137"/>
      <c r="Q16" s="138"/>
      <c r="R16" s="138"/>
      <c r="S16" s="139"/>
      <c r="T16" s="140"/>
      <c r="U16" s="141"/>
      <c r="V16" s="142"/>
      <c r="W16" s="139"/>
      <c r="X16" s="143"/>
      <c r="Y16" s="143">
        <f t="shared" ref="Y16:AC16" si="4">Y17-Y18</f>
        <v>0</v>
      </c>
      <c r="Z16" s="143">
        <f t="shared" si="4"/>
        <v>0</v>
      </c>
      <c r="AA16" s="143">
        <f t="shared" si="4"/>
        <v>0</v>
      </c>
      <c r="AB16" s="143">
        <f t="shared" si="4"/>
        <v>0</v>
      </c>
      <c r="AC16" s="143">
        <f t="shared" si="4"/>
        <v>0</v>
      </c>
      <c r="AD16" s="143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</row>
    <row r="17" spans="1:45" ht="22.5" hidden="1" customHeight="1" outlineLevel="1">
      <c r="A17" s="130"/>
      <c r="B17" s="145" t="s">
        <v>64</v>
      </c>
      <c r="C17" s="131"/>
      <c r="D17" s="132"/>
      <c r="E17" s="132"/>
      <c r="F17" s="132"/>
      <c r="G17" s="133"/>
      <c r="H17" s="134"/>
      <c r="I17" s="135"/>
      <c r="J17" s="135"/>
      <c r="K17" s="135"/>
      <c r="L17" s="136"/>
      <c r="M17" s="136"/>
      <c r="N17" s="135"/>
      <c r="O17" s="135"/>
      <c r="P17" s="137"/>
      <c r="Q17" s="138"/>
      <c r="R17" s="138"/>
      <c r="S17" s="139"/>
      <c r="T17" s="140"/>
      <c r="U17" s="141"/>
      <c r="V17" s="142"/>
      <c r="W17" s="139"/>
      <c r="X17" s="143"/>
      <c r="Y17" s="146">
        <f>C13*(U13-T13)</f>
        <v>-1939999.9999999998</v>
      </c>
      <c r="Z17" s="147">
        <f>H13*K13</f>
        <v>200000</v>
      </c>
      <c r="AA17" s="147">
        <f>C13*U13</f>
        <v>60000</v>
      </c>
      <c r="AB17" s="147">
        <f>T13*C13</f>
        <v>2000000</v>
      </c>
      <c r="AC17" s="146">
        <f>(1-L13)*K13*H13</f>
        <v>140000</v>
      </c>
      <c r="AD17" s="143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</row>
    <row r="18" spans="1:45" ht="22.5" hidden="1" customHeight="1" outlineLevel="1">
      <c r="A18" s="130"/>
      <c r="B18" s="148" t="s">
        <v>65</v>
      </c>
      <c r="C18" s="131"/>
      <c r="D18" s="132"/>
      <c r="E18" s="132"/>
      <c r="F18" s="132"/>
      <c r="G18" s="133"/>
      <c r="H18" s="134"/>
      <c r="I18" s="135"/>
      <c r="J18" s="135"/>
      <c r="K18" s="135"/>
      <c r="L18" s="136"/>
      <c r="M18" s="136"/>
      <c r="N18" s="135"/>
      <c r="O18" s="135"/>
      <c r="P18" s="137"/>
      <c r="Q18" s="138"/>
      <c r="R18" s="138"/>
      <c r="S18" s="139"/>
      <c r="T18" s="140"/>
      <c r="U18" s="141"/>
      <c r="V18" s="142"/>
      <c r="W18" s="139"/>
      <c r="X18" s="143"/>
      <c r="Y18" s="146">
        <f>Z13-AC13-AB13</f>
        <v>-1940000</v>
      </c>
      <c r="Z18" s="147">
        <f>AA13+AC13</f>
        <v>200000</v>
      </c>
      <c r="AA18" s="147">
        <f>Z13-AC13</f>
        <v>60000</v>
      </c>
      <c r="AB18" s="147">
        <f>AB13</f>
        <v>2000000</v>
      </c>
      <c r="AC18" s="146">
        <f>Z13-AA13</f>
        <v>140000</v>
      </c>
      <c r="AD18" s="143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</row>
    <row r="19" spans="1:45" ht="22.5" hidden="1" customHeight="1">
      <c r="A19" s="108"/>
      <c r="B19" s="108"/>
      <c r="C19" s="124"/>
      <c r="D19" s="110"/>
      <c r="E19" s="114"/>
      <c r="F19" s="114"/>
      <c r="G19" s="125"/>
      <c r="H19" s="125"/>
      <c r="I19" s="44"/>
      <c r="J19" s="126"/>
      <c r="K19" s="127"/>
      <c r="L19" s="114"/>
      <c r="M19" s="114"/>
      <c r="N19" s="115"/>
      <c r="O19" s="115"/>
      <c r="P19" s="128"/>
      <c r="Q19" s="39"/>
      <c r="R19" s="39"/>
      <c r="S19" s="119"/>
      <c r="T19" s="118"/>
      <c r="U19" s="129"/>
      <c r="V19" s="122"/>
      <c r="W19" s="119"/>
      <c r="X19" s="44"/>
      <c r="Y19" s="44"/>
      <c r="Z19" s="44"/>
      <c r="AA19" s="44"/>
      <c r="AB19" s="44"/>
      <c r="AC19" s="44"/>
      <c r="AD19" s="44"/>
      <c r="AE19" s="44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</row>
    <row r="20" spans="1:45" ht="22.5" customHeight="1">
      <c r="A20" s="75"/>
      <c r="B20" s="75" t="s">
        <v>66</v>
      </c>
      <c r="C20" s="47"/>
      <c r="D20" s="48"/>
      <c r="E20" s="49"/>
      <c r="F20" s="49"/>
      <c r="G20" s="50"/>
      <c r="H20" s="50"/>
      <c r="I20" s="51"/>
      <c r="J20" s="51"/>
      <c r="K20" s="52"/>
      <c r="L20" s="49"/>
      <c r="M20" s="49"/>
      <c r="N20" s="53"/>
      <c r="O20" s="53"/>
      <c r="P20" s="54"/>
      <c r="Q20" s="55"/>
      <c r="R20" s="55"/>
      <c r="S20" s="56"/>
      <c r="T20" s="57"/>
      <c r="U20" s="149"/>
      <c r="V20" s="58"/>
      <c r="W20" s="56"/>
      <c r="X20" s="51"/>
      <c r="Y20" s="51"/>
      <c r="Z20" s="51"/>
      <c r="AA20" s="51"/>
      <c r="AB20" s="51"/>
      <c r="AC20" s="51"/>
      <c r="AD20" s="51"/>
      <c r="AE20" s="51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</row>
    <row r="21" spans="1:45" ht="22.5" customHeight="1">
      <c r="A21" s="90"/>
      <c r="B21" s="91" t="s">
        <v>67</v>
      </c>
      <c r="C21" s="61"/>
      <c r="D21" s="62"/>
      <c r="E21" s="63"/>
      <c r="F21" s="63"/>
      <c r="G21" s="64"/>
      <c r="H21" s="64"/>
      <c r="I21" s="65"/>
      <c r="J21" s="65"/>
      <c r="K21" s="66"/>
      <c r="L21" s="63"/>
      <c r="M21" s="63"/>
      <c r="N21" s="67"/>
      <c r="O21" s="67"/>
      <c r="P21" s="68"/>
      <c r="Q21" s="69"/>
      <c r="R21" s="69"/>
      <c r="S21" s="70"/>
      <c r="T21" s="71"/>
      <c r="U21" s="72"/>
      <c r="V21" s="73"/>
      <c r="W21" s="70"/>
      <c r="X21" s="65"/>
      <c r="Y21" s="65"/>
      <c r="Z21" s="65"/>
      <c r="AA21" s="65"/>
      <c r="AB21" s="65"/>
      <c r="AC21" s="65"/>
      <c r="AD21" s="65"/>
      <c r="AE21" s="65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</row>
    <row r="22" spans="1:45" ht="22.5" customHeight="1">
      <c r="A22" s="90"/>
      <c r="B22" s="91" t="s">
        <v>68</v>
      </c>
      <c r="C22" s="61"/>
      <c r="D22" s="62"/>
      <c r="E22" s="63"/>
      <c r="F22" s="63"/>
      <c r="G22" s="64"/>
      <c r="H22" s="64"/>
      <c r="I22" s="65"/>
      <c r="J22" s="65"/>
      <c r="K22" s="66"/>
      <c r="L22" s="63"/>
      <c r="M22" s="63"/>
      <c r="N22" s="67"/>
      <c r="O22" s="67"/>
      <c r="P22" s="68"/>
      <c r="Q22" s="69"/>
      <c r="R22" s="69"/>
      <c r="S22" s="70"/>
      <c r="T22" s="71"/>
      <c r="U22" s="72"/>
      <c r="V22" s="73"/>
      <c r="W22" s="70"/>
      <c r="X22" s="65"/>
      <c r="Y22" s="65"/>
      <c r="Z22" s="65"/>
      <c r="AA22" s="65"/>
      <c r="AB22" s="65"/>
      <c r="AC22" s="65"/>
      <c r="AD22" s="65"/>
      <c r="AE22" s="65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</row>
    <row r="23" spans="1:45" ht="15.75" customHeight="1">
      <c r="A23" s="108"/>
      <c r="B23" s="108"/>
      <c r="C23" s="109"/>
      <c r="D23" s="110"/>
      <c r="E23" s="114"/>
      <c r="F23" s="114"/>
      <c r="G23" s="125"/>
      <c r="H23" s="125"/>
      <c r="I23" s="44"/>
      <c r="J23" s="126"/>
      <c r="K23" s="127"/>
      <c r="L23" s="114"/>
      <c r="M23" s="114"/>
      <c r="N23" s="115"/>
      <c r="O23" s="115"/>
      <c r="P23" s="128"/>
      <c r="Q23" s="117"/>
      <c r="R23" s="117"/>
      <c r="S23" s="119"/>
      <c r="T23" s="118"/>
      <c r="U23" s="150"/>
      <c r="V23" s="122"/>
      <c r="W23" s="119"/>
      <c r="X23" s="44"/>
      <c r="Y23" s="44"/>
      <c r="Z23" s="44"/>
      <c r="AA23" s="44"/>
      <c r="AB23" s="44"/>
      <c r="AC23" s="44"/>
      <c r="AD23" s="44"/>
      <c r="AE23" s="44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</row>
    <row r="24" spans="1:45" ht="22.5" customHeight="1">
      <c r="A24" s="108"/>
      <c r="B24" s="108" t="s">
        <v>69</v>
      </c>
      <c r="C24" s="109">
        <v>100000</v>
      </c>
      <c r="D24" s="110"/>
      <c r="E24" s="109"/>
      <c r="F24" s="151">
        <v>0.05</v>
      </c>
      <c r="G24" s="109">
        <f>C24*F24</f>
        <v>5000</v>
      </c>
      <c r="H24" s="109">
        <f>G24*P24</f>
        <v>35000</v>
      </c>
      <c r="I24" s="44"/>
      <c r="J24" s="421">
        <f>K24*L24*P24</f>
        <v>420</v>
      </c>
      <c r="K24" s="113">
        <f>$K$14</f>
        <v>200</v>
      </c>
      <c r="L24" s="111">
        <f>$L$14</f>
        <v>0.3</v>
      </c>
      <c r="M24" s="114"/>
      <c r="N24" s="115"/>
      <c r="O24" s="115"/>
      <c r="P24" s="152">
        <v>7</v>
      </c>
      <c r="Q24" s="117"/>
      <c r="R24" s="117"/>
      <c r="S24" s="119"/>
      <c r="T24" s="120">
        <f>$T$14</f>
        <v>20</v>
      </c>
      <c r="U24" s="121">
        <f>F24*J24</f>
        <v>21</v>
      </c>
      <c r="V24" s="122"/>
      <c r="W24" s="119"/>
      <c r="X24" s="44"/>
      <c r="Y24" s="44">
        <f>Z24-AC24-AB24</f>
        <v>100000</v>
      </c>
      <c r="Z24" s="44">
        <f>H24*K24</f>
        <v>7000000</v>
      </c>
      <c r="AA24" s="44">
        <f>J24*G24</f>
        <v>2100000</v>
      </c>
      <c r="AB24" s="44">
        <f>T24*C24</f>
        <v>2000000</v>
      </c>
      <c r="AC24" s="44">
        <f>(1-L24)*Z24</f>
        <v>4900000</v>
      </c>
      <c r="AD24" s="44"/>
      <c r="AE24" s="44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</row>
    <row r="25" spans="1:45" ht="15.75" customHeight="1">
      <c r="A25" s="153"/>
      <c r="B25" s="153"/>
      <c r="C25" s="124"/>
      <c r="D25" s="154"/>
      <c r="E25" s="154"/>
      <c r="F25" s="154"/>
      <c r="G25" s="109"/>
      <c r="H25" s="109"/>
      <c r="I25" s="155"/>
      <c r="J25" s="155"/>
      <c r="K25" s="155"/>
      <c r="L25" s="156"/>
      <c r="M25" s="156"/>
      <c r="N25" s="155"/>
      <c r="O25" s="155"/>
      <c r="P25" s="128"/>
      <c r="Q25" s="157"/>
      <c r="R25" s="157"/>
      <c r="S25" s="119"/>
      <c r="T25" s="117"/>
      <c r="U25" s="129"/>
      <c r="V25" s="122"/>
      <c r="W25" s="119"/>
      <c r="X25" s="44"/>
      <c r="Y25" s="44"/>
      <c r="Z25" s="158"/>
      <c r="AA25" s="158"/>
      <c r="AB25" s="158"/>
      <c r="AC25" s="158"/>
      <c r="AD25" s="44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</row>
    <row r="26" spans="1:45" ht="15.75" customHeight="1">
      <c r="A26" s="153"/>
      <c r="B26" s="153"/>
      <c r="C26" s="124"/>
      <c r="D26" s="154"/>
      <c r="E26" s="154"/>
      <c r="F26" s="154"/>
      <c r="G26" s="125"/>
      <c r="H26" s="159"/>
      <c r="I26" s="155"/>
      <c r="J26" s="155"/>
      <c r="K26" s="155"/>
      <c r="L26" s="156"/>
      <c r="M26" s="156"/>
      <c r="N26" s="155"/>
      <c r="O26" s="155"/>
      <c r="P26" s="128"/>
      <c r="Q26" s="157"/>
      <c r="R26" s="157"/>
      <c r="S26" s="119"/>
      <c r="T26" s="117"/>
      <c r="U26" s="129"/>
      <c r="V26" s="122"/>
      <c r="W26" s="119"/>
      <c r="X26" s="44"/>
      <c r="Y26" s="44"/>
      <c r="Z26" s="158"/>
      <c r="AA26" s="158"/>
      <c r="AB26" s="158"/>
      <c r="AC26" s="158"/>
      <c r="AD26" s="44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</row>
    <row r="27" spans="1:45" ht="15.75" customHeight="1">
      <c r="A27" s="160"/>
      <c r="B27" s="160"/>
      <c r="C27" s="31"/>
      <c r="D27" s="161"/>
      <c r="E27" s="161"/>
      <c r="F27" s="161"/>
      <c r="G27" s="34"/>
      <c r="H27" s="162"/>
      <c r="I27" s="155"/>
      <c r="J27" s="155"/>
      <c r="K27" s="155"/>
      <c r="L27" s="156"/>
      <c r="M27" s="156"/>
      <c r="N27" s="155"/>
      <c r="O27" s="155"/>
      <c r="P27" s="38"/>
      <c r="Q27" s="163"/>
      <c r="R27" s="163"/>
      <c r="S27" s="40"/>
      <c r="T27" s="117"/>
      <c r="U27" s="129"/>
      <c r="V27" s="43"/>
      <c r="W27" s="40"/>
      <c r="X27" s="44"/>
      <c r="Y27" s="44"/>
      <c r="Z27" s="158"/>
      <c r="AA27" s="158"/>
      <c r="AB27" s="158"/>
      <c r="AC27" s="158"/>
      <c r="AD27" s="44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</row>
    <row r="28" spans="1:45" ht="15.75" customHeight="1">
      <c r="A28" s="160"/>
      <c r="B28" s="160"/>
      <c r="C28" s="31"/>
      <c r="D28" s="161"/>
      <c r="E28" s="161"/>
      <c r="F28" s="161"/>
      <c r="G28" s="34"/>
      <c r="H28" s="162"/>
      <c r="I28" s="155"/>
      <c r="J28" s="155"/>
      <c r="K28" s="155"/>
      <c r="L28" s="156"/>
      <c r="M28" s="156"/>
      <c r="N28" s="155"/>
      <c r="O28" s="155"/>
      <c r="P28" s="38"/>
      <c r="Q28" s="163"/>
      <c r="R28" s="163"/>
      <c r="S28" s="40"/>
      <c r="T28" s="117"/>
      <c r="U28" s="129"/>
      <c r="V28" s="43"/>
      <c r="W28" s="40"/>
      <c r="X28" s="44"/>
      <c r="Y28" s="44"/>
      <c r="Z28" s="158"/>
      <c r="AA28" s="158"/>
      <c r="AB28" s="158"/>
      <c r="AC28" s="158"/>
      <c r="AD28" s="44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</row>
    <row r="29" spans="1:45" ht="15.75" customHeight="1">
      <c r="A29" s="160"/>
      <c r="B29" s="160"/>
      <c r="C29" s="164"/>
      <c r="D29" s="161"/>
      <c r="E29" s="33"/>
      <c r="F29" s="33"/>
      <c r="G29" s="34"/>
      <c r="H29" s="162"/>
      <c r="I29" s="155"/>
      <c r="J29" s="155"/>
      <c r="K29" s="155"/>
      <c r="L29" s="165"/>
      <c r="M29" s="165"/>
      <c r="N29" s="155"/>
      <c r="O29" s="155"/>
      <c r="P29" s="38"/>
      <c r="Q29" s="163"/>
      <c r="R29" s="163"/>
      <c r="S29" s="40"/>
      <c r="T29" s="118"/>
      <c r="U29" s="129"/>
      <c r="V29" s="43"/>
      <c r="W29" s="40"/>
      <c r="X29" s="35"/>
      <c r="Y29" s="35"/>
      <c r="Z29" s="158"/>
      <c r="AA29" s="158"/>
      <c r="AB29" s="158"/>
      <c r="AC29" s="158"/>
      <c r="AD29" s="3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</row>
    <row r="30" spans="1:45" ht="15.75" customHeight="1">
      <c r="A30" s="160"/>
      <c r="B30" s="160"/>
      <c r="C30" s="164"/>
      <c r="D30" s="161"/>
      <c r="E30" s="33"/>
      <c r="F30" s="33"/>
      <c r="G30" s="34"/>
      <c r="H30" s="162"/>
      <c r="I30" s="155"/>
      <c r="J30" s="155"/>
      <c r="K30" s="155"/>
      <c r="L30" s="165"/>
      <c r="M30" s="165"/>
      <c r="N30" s="155"/>
      <c r="O30" s="155"/>
      <c r="P30" s="38"/>
      <c r="Q30" s="163"/>
      <c r="R30" s="163"/>
      <c r="S30" s="40"/>
      <c r="T30" s="118"/>
      <c r="U30" s="129"/>
      <c r="V30" s="43"/>
      <c r="W30" s="40"/>
      <c r="X30" s="35"/>
      <c r="Y30" s="35"/>
      <c r="Z30" s="158"/>
      <c r="AA30" s="158"/>
      <c r="AB30" s="158"/>
      <c r="AC30" s="158"/>
      <c r="AD30" s="3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</row>
    <row r="31" spans="1:45" ht="15.75" customHeight="1">
      <c r="A31" s="160"/>
      <c r="B31" s="160"/>
      <c r="C31" s="164"/>
      <c r="D31" s="161"/>
      <c r="E31" s="33"/>
      <c r="F31" s="33"/>
      <c r="G31" s="34"/>
      <c r="H31" s="162"/>
      <c r="I31" s="155"/>
      <c r="J31" s="155"/>
      <c r="K31" s="155"/>
      <c r="L31" s="165"/>
      <c r="M31" s="165"/>
      <c r="N31" s="155"/>
      <c r="O31" s="155"/>
      <c r="P31" s="38"/>
      <c r="Q31" s="163"/>
      <c r="R31" s="163"/>
      <c r="S31" s="40"/>
      <c r="T31" s="118"/>
      <c r="U31" s="129"/>
      <c r="V31" s="43"/>
      <c r="W31" s="40"/>
      <c r="X31" s="35"/>
      <c r="Y31" s="35"/>
      <c r="Z31" s="158"/>
      <c r="AA31" s="158"/>
      <c r="AB31" s="158"/>
      <c r="AC31" s="158"/>
      <c r="AD31" s="3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</row>
    <row r="32" spans="1:45" ht="15.75" customHeight="1">
      <c r="A32" s="160"/>
      <c r="B32" s="160"/>
      <c r="C32" s="164"/>
      <c r="D32" s="161"/>
      <c r="E32" s="33"/>
      <c r="F32" s="33"/>
      <c r="G32" s="34"/>
      <c r="H32" s="162"/>
      <c r="I32" s="155"/>
      <c r="J32" s="155"/>
      <c r="K32" s="155"/>
      <c r="L32" s="165"/>
      <c r="M32" s="165"/>
      <c r="N32" s="155"/>
      <c r="O32" s="155"/>
      <c r="P32" s="38"/>
      <c r="Q32" s="163"/>
      <c r="R32" s="163"/>
      <c r="S32" s="40"/>
      <c r="T32" s="118"/>
      <c r="U32" s="129"/>
      <c r="V32" s="43"/>
      <c r="W32" s="40"/>
      <c r="X32" s="35"/>
      <c r="Y32" s="35"/>
      <c r="Z32" s="158"/>
      <c r="AA32" s="158"/>
      <c r="AB32" s="158"/>
      <c r="AC32" s="158"/>
      <c r="AD32" s="3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</row>
    <row r="33" spans="1:45" ht="15.75" customHeight="1">
      <c r="A33" s="160"/>
      <c r="B33" s="160"/>
      <c r="C33" s="31"/>
      <c r="D33" s="161"/>
      <c r="E33" s="161"/>
      <c r="F33" s="161"/>
      <c r="G33" s="34"/>
      <c r="H33" s="162"/>
      <c r="I33" s="155"/>
      <c r="J33" s="155"/>
      <c r="K33" s="155"/>
      <c r="L33" s="156"/>
      <c r="M33" s="156"/>
      <c r="N33" s="155"/>
      <c r="O33" s="155"/>
      <c r="P33" s="38"/>
      <c r="Q33" s="163"/>
      <c r="R33" s="163"/>
      <c r="S33" s="40"/>
      <c r="T33" s="117"/>
      <c r="U33" s="129"/>
      <c r="V33" s="43"/>
      <c r="W33" s="40"/>
      <c r="X33" s="35"/>
      <c r="Y33" s="35"/>
      <c r="Z33" s="158"/>
      <c r="AA33" s="158"/>
      <c r="AB33" s="158"/>
      <c r="AC33" s="158"/>
      <c r="AD33" s="3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</row>
    <row r="34" spans="1:45" ht="15.75" customHeight="1">
      <c r="A34" s="160"/>
      <c r="B34" s="160"/>
      <c r="C34" s="164"/>
      <c r="D34" s="161"/>
      <c r="E34" s="33"/>
      <c r="F34" s="33"/>
      <c r="G34" s="34"/>
      <c r="H34" s="162"/>
      <c r="I34" s="155"/>
      <c r="J34" s="155"/>
      <c r="K34" s="155"/>
      <c r="L34" s="165"/>
      <c r="M34" s="165"/>
      <c r="N34" s="155"/>
      <c r="O34" s="155"/>
      <c r="P34" s="38"/>
      <c r="Q34" s="163"/>
      <c r="R34" s="163"/>
      <c r="S34" s="40"/>
      <c r="T34" s="118"/>
      <c r="U34" s="129"/>
      <c r="V34" s="43"/>
      <c r="W34" s="40"/>
      <c r="X34" s="35"/>
      <c r="Y34" s="35"/>
      <c r="Z34" s="158"/>
      <c r="AA34" s="158"/>
      <c r="AB34" s="158"/>
      <c r="AC34" s="158"/>
      <c r="AD34" s="3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</row>
    <row r="35" spans="1:45" ht="15.75" customHeight="1">
      <c r="A35" s="160"/>
      <c r="B35" s="160"/>
      <c r="C35" s="31"/>
      <c r="D35" s="161"/>
      <c r="E35" s="161"/>
      <c r="F35" s="161"/>
      <c r="G35" s="34"/>
      <c r="H35" s="162"/>
      <c r="I35" s="155"/>
      <c r="J35" s="155"/>
      <c r="K35" s="155"/>
      <c r="L35" s="156"/>
      <c r="M35" s="156"/>
      <c r="N35" s="155"/>
      <c r="O35" s="155"/>
      <c r="P35" s="38"/>
      <c r="Q35" s="163"/>
      <c r="R35" s="163"/>
      <c r="S35" s="40"/>
      <c r="T35" s="117"/>
      <c r="U35" s="129"/>
      <c r="V35" s="43"/>
      <c r="W35" s="40"/>
      <c r="X35" s="35"/>
      <c r="Y35" s="35"/>
      <c r="Z35" s="158"/>
      <c r="AA35" s="158"/>
      <c r="AB35" s="158"/>
      <c r="AC35" s="158"/>
      <c r="AD35" s="3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</row>
    <row r="36" spans="1:45" ht="15.75" customHeight="1">
      <c r="A36" s="160"/>
      <c r="B36" s="160"/>
      <c r="C36" s="31"/>
      <c r="D36" s="161"/>
      <c r="E36" s="161"/>
      <c r="F36" s="161"/>
      <c r="G36" s="34"/>
      <c r="H36" s="162"/>
      <c r="I36" s="155"/>
      <c r="J36" s="155"/>
      <c r="K36" s="155"/>
      <c r="L36" s="156"/>
      <c r="M36" s="156"/>
      <c r="N36" s="155"/>
      <c r="O36" s="155"/>
      <c r="P36" s="38"/>
      <c r="Q36" s="163"/>
      <c r="R36" s="163"/>
      <c r="S36" s="40"/>
      <c r="T36" s="117"/>
      <c r="U36" s="129"/>
      <c r="V36" s="43"/>
      <c r="W36" s="40"/>
      <c r="X36" s="35"/>
      <c r="Y36" s="35"/>
      <c r="Z36" s="158"/>
      <c r="AA36" s="158"/>
      <c r="AB36" s="158"/>
      <c r="AC36" s="158"/>
      <c r="AD36" s="3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</row>
    <row r="37" spans="1:45" ht="15.75" customHeight="1">
      <c r="A37" s="160"/>
      <c r="B37" s="160"/>
      <c r="C37" s="166"/>
      <c r="D37" s="167"/>
      <c r="E37" s="63"/>
      <c r="F37" s="63"/>
      <c r="G37" s="64"/>
      <c r="H37" s="168"/>
      <c r="I37" s="169"/>
      <c r="J37" s="169"/>
      <c r="K37" s="169"/>
      <c r="L37" s="170"/>
      <c r="M37" s="170"/>
      <c r="N37" s="169"/>
      <c r="O37" s="169"/>
      <c r="P37" s="68"/>
      <c r="Q37" s="171"/>
      <c r="R37" s="171"/>
      <c r="S37" s="70"/>
      <c r="T37" s="71"/>
      <c r="U37" s="72"/>
      <c r="V37" s="73"/>
      <c r="W37" s="70"/>
      <c r="X37" s="65"/>
      <c r="Y37" s="65"/>
      <c r="Z37" s="172"/>
      <c r="AA37" s="172"/>
      <c r="AB37" s="172"/>
      <c r="AC37" s="172"/>
      <c r="AD37" s="6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</row>
    <row r="38" spans="1:45" ht="15.75" customHeight="1">
      <c r="A38" s="160"/>
      <c r="B38" s="160"/>
      <c r="C38" s="61"/>
      <c r="D38" s="167"/>
      <c r="E38" s="167"/>
      <c r="F38" s="167"/>
      <c r="G38" s="64"/>
      <c r="H38" s="168"/>
      <c r="I38" s="169"/>
      <c r="J38" s="169"/>
      <c r="K38" s="169"/>
      <c r="L38" s="173"/>
      <c r="M38" s="173"/>
      <c r="N38" s="169"/>
      <c r="O38" s="169"/>
      <c r="P38" s="68"/>
      <c r="Q38" s="171"/>
      <c r="R38" s="171"/>
      <c r="S38" s="70"/>
      <c r="T38" s="174"/>
      <c r="U38" s="72"/>
      <c r="V38" s="73"/>
      <c r="W38" s="70"/>
      <c r="X38" s="65"/>
      <c r="Y38" s="65"/>
      <c r="Z38" s="172"/>
      <c r="AA38" s="172"/>
      <c r="AB38" s="172"/>
      <c r="AC38" s="172"/>
      <c r="AD38" s="6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</row>
    <row r="39" spans="1:45" ht="15.75" customHeight="1">
      <c r="A39" s="160"/>
      <c r="B39" s="160"/>
      <c r="C39" s="61"/>
      <c r="D39" s="167"/>
      <c r="E39" s="167"/>
      <c r="F39" s="167"/>
      <c r="G39" s="64"/>
      <c r="H39" s="168"/>
      <c r="I39" s="169"/>
      <c r="J39" s="169"/>
      <c r="K39" s="169"/>
      <c r="L39" s="173"/>
      <c r="M39" s="173"/>
      <c r="N39" s="169"/>
      <c r="O39" s="169"/>
      <c r="P39" s="68"/>
      <c r="Q39" s="171"/>
      <c r="R39" s="171"/>
      <c r="S39" s="70"/>
      <c r="T39" s="174"/>
      <c r="U39" s="72"/>
      <c r="V39" s="73"/>
      <c r="W39" s="70"/>
      <c r="X39" s="65"/>
      <c r="Y39" s="65"/>
      <c r="Z39" s="172"/>
      <c r="AA39" s="172"/>
      <c r="AB39" s="172"/>
      <c r="AC39" s="172"/>
      <c r="AD39" s="6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</row>
    <row r="40" spans="1:45" ht="15.75" customHeight="1">
      <c r="A40" s="160"/>
      <c r="B40" s="160"/>
      <c r="C40" s="61"/>
      <c r="D40" s="167"/>
      <c r="E40" s="167"/>
      <c r="F40" s="167"/>
      <c r="G40" s="64"/>
      <c r="H40" s="168"/>
      <c r="I40" s="169"/>
      <c r="J40" s="169"/>
      <c r="K40" s="169"/>
      <c r="L40" s="173"/>
      <c r="M40" s="173"/>
      <c r="N40" s="169"/>
      <c r="O40" s="169"/>
      <c r="P40" s="68"/>
      <c r="Q40" s="171"/>
      <c r="R40" s="171"/>
      <c r="S40" s="70"/>
      <c r="T40" s="174"/>
      <c r="U40" s="72"/>
      <c r="V40" s="73"/>
      <c r="W40" s="70"/>
      <c r="X40" s="65"/>
      <c r="Y40" s="65"/>
      <c r="Z40" s="172"/>
      <c r="AA40" s="172"/>
      <c r="AB40" s="172"/>
      <c r="AC40" s="172"/>
      <c r="AD40" s="6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</row>
    <row r="41" spans="1:45" ht="15.75" customHeight="1">
      <c r="A41" s="160"/>
      <c r="B41" s="160"/>
      <c r="C41" s="61"/>
      <c r="D41" s="167"/>
      <c r="E41" s="167"/>
      <c r="F41" s="167"/>
      <c r="G41" s="64"/>
      <c r="H41" s="168"/>
      <c r="I41" s="169"/>
      <c r="J41" s="169"/>
      <c r="K41" s="169"/>
      <c r="L41" s="173"/>
      <c r="M41" s="173"/>
      <c r="N41" s="169"/>
      <c r="O41" s="169"/>
      <c r="P41" s="68"/>
      <c r="Q41" s="171"/>
      <c r="R41" s="171"/>
      <c r="S41" s="70"/>
      <c r="T41" s="174"/>
      <c r="U41" s="72"/>
      <c r="V41" s="73"/>
      <c r="W41" s="70"/>
      <c r="X41" s="65"/>
      <c r="Y41" s="65"/>
      <c r="Z41" s="172"/>
      <c r="AA41" s="172"/>
      <c r="AB41" s="172"/>
      <c r="AC41" s="172"/>
      <c r="AD41" s="6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</row>
    <row r="42" spans="1:45" ht="15.75" customHeight="1">
      <c r="A42" s="160"/>
      <c r="B42" s="160"/>
      <c r="C42" s="61"/>
      <c r="D42" s="167"/>
      <c r="E42" s="167"/>
      <c r="F42" s="167"/>
      <c r="G42" s="64"/>
      <c r="H42" s="168"/>
      <c r="I42" s="169"/>
      <c r="J42" s="169"/>
      <c r="K42" s="169"/>
      <c r="L42" s="173"/>
      <c r="M42" s="173"/>
      <c r="N42" s="169"/>
      <c r="O42" s="169"/>
      <c r="P42" s="68"/>
      <c r="Q42" s="171"/>
      <c r="R42" s="171"/>
      <c r="S42" s="70"/>
      <c r="T42" s="174"/>
      <c r="U42" s="72"/>
      <c r="V42" s="73"/>
      <c r="W42" s="70"/>
      <c r="X42" s="65"/>
      <c r="Y42" s="65"/>
      <c r="Z42" s="172"/>
      <c r="AA42" s="172"/>
      <c r="AB42" s="172"/>
      <c r="AC42" s="172"/>
      <c r="AD42" s="6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</row>
    <row r="43" spans="1:45" ht="15.75" customHeight="1">
      <c r="A43" s="160"/>
      <c r="B43" s="160"/>
      <c r="C43" s="31"/>
      <c r="D43" s="161"/>
      <c r="E43" s="161"/>
      <c r="F43" s="161"/>
      <c r="G43" s="34"/>
      <c r="H43" s="162"/>
      <c r="I43" s="155"/>
      <c r="J43" s="155"/>
      <c r="K43" s="155"/>
      <c r="L43" s="156"/>
      <c r="M43" s="156"/>
      <c r="N43" s="155"/>
      <c r="O43" s="155"/>
      <c r="P43" s="38"/>
      <c r="Q43" s="163"/>
      <c r="R43" s="163"/>
      <c r="S43" s="40"/>
      <c r="T43" s="117"/>
      <c r="U43" s="129"/>
      <c r="V43" s="43"/>
      <c r="W43" s="40"/>
      <c r="X43" s="35"/>
      <c r="Y43" s="35"/>
      <c r="Z43" s="158"/>
      <c r="AA43" s="158"/>
      <c r="AB43" s="158"/>
      <c r="AC43" s="158"/>
      <c r="AD43" s="3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</row>
    <row r="44" spans="1:45" ht="15.75" customHeight="1">
      <c r="A44" s="160"/>
      <c r="B44" s="160"/>
      <c r="C44" s="31"/>
      <c r="D44" s="161"/>
      <c r="E44" s="161"/>
      <c r="F44" s="161"/>
      <c r="G44" s="34"/>
      <c r="H44" s="162"/>
      <c r="I44" s="155"/>
      <c r="J44" s="155"/>
      <c r="K44" s="155"/>
      <c r="L44" s="156"/>
      <c r="M44" s="156"/>
      <c r="N44" s="155"/>
      <c r="O44" s="155"/>
      <c r="P44" s="38"/>
      <c r="Q44" s="163"/>
      <c r="R44" s="163"/>
      <c r="S44" s="40"/>
      <c r="T44" s="117"/>
      <c r="U44" s="129"/>
      <c r="V44" s="43"/>
      <c r="W44" s="40"/>
      <c r="X44" s="35"/>
      <c r="Y44" s="35"/>
      <c r="Z44" s="158"/>
      <c r="AA44" s="158"/>
      <c r="AB44" s="158"/>
      <c r="AC44" s="158"/>
      <c r="AD44" s="3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</row>
    <row r="45" spans="1:45" ht="15.75" customHeight="1">
      <c r="A45" s="160"/>
      <c r="B45" s="160"/>
      <c r="C45" s="164"/>
      <c r="D45" s="33"/>
      <c r="E45" s="175"/>
      <c r="F45" s="175"/>
      <c r="G45" s="34"/>
      <c r="H45" s="162"/>
      <c r="I45" s="155"/>
      <c r="J45" s="155"/>
      <c r="K45" s="155"/>
      <c r="L45" s="165"/>
      <c r="M45" s="165"/>
      <c r="N45" s="155"/>
      <c r="O45" s="155"/>
      <c r="P45" s="38"/>
      <c r="Q45" s="163"/>
      <c r="R45" s="163"/>
      <c r="S45" s="40"/>
      <c r="T45" s="118"/>
      <c r="U45" s="117"/>
      <c r="V45" s="43"/>
      <c r="W45" s="40"/>
      <c r="X45" s="35"/>
      <c r="Y45" s="35"/>
      <c r="Z45" s="158"/>
      <c r="AA45" s="158"/>
      <c r="AB45" s="158"/>
      <c r="AC45" s="158"/>
      <c r="AD45" s="3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</row>
    <row r="46" spans="1:45" ht="15.75" customHeight="1">
      <c r="A46" s="160"/>
      <c r="B46" s="160"/>
      <c r="C46" s="31"/>
      <c r="D46" s="161"/>
      <c r="E46" s="161"/>
      <c r="F46" s="161"/>
      <c r="G46" s="34"/>
      <c r="H46" s="162"/>
      <c r="I46" s="155"/>
      <c r="J46" s="155"/>
      <c r="K46" s="155"/>
      <c r="L46" s="156"/>
      <c r="M46" s="156"/>
      <c r="N46" s="155"/>
      <c r="O46" s="155"/>
      <c r="P46" s="38"/>
      <c r="Q46" s="163"/>
      <c r="R46" s="163"/>
      <c r="S46" s="40"/>
      <c r="T46" s="117"/>
      <c r="U46" s="129"/>
      <c r="V46" s="43"/>
      <c r="W46" s="40"/>
      <c r="X46" s="35"/>
      <c r="Y46" s="35"/>
      <c r="Z46" s="158"/>
      <c r="AA46" s="158"/>
      <c r="AB46" s="158"/>
      <c r="AC46" s="158"/>
      <c r="AD46" s="3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</row>
    <row r="47" spans="1:45" ht="15.75" customHeight="1">
      <c r="A47" s="160"/>
      <c r="B47" s="160"/>
      <c r="C47" s="31"/>
      <c r="D47" s="161"/>
      <c r="E47" s="176"/>
      <c r="F47" s="176"/>
      <c r="G47" s="34"/>
      <c r="H47" s="162"/>
      <c r="I47" s="155"/>
      <c r="J47" s="155"/>
      <c r="K47" s="155"/>
      <c r="L47" s="156"/>
      <c r="M47" s="156"/>
      <c r="N47" s="155"/>
      <c r="O47" s="155"/>
      <c r="P47" s="38"/>
      <c r="Q47" s="163"/>
      <c r="R47" s="163"/>
      <c r="S47" s="40"/>
      <c r="T47" s="117"/>
      <c r="U47" s="129"/>
      <c r="V47" s="43"/>
      <c r="W47" s="40"/>
      <c r="X47" s="35"/>
      <c r="Y47" s="35"/>
      <c r="Z47" s="158"/>
      <c r="AA47" s="158"/>
      <c r="AB47" s="158"/>
      <c r="AC47" s="158"/>
      <c r="AD47" s="3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</row>
    <row r="48" spans="1:45" ht="15.75" customHeight="1">
      <c r="A48" s="160"/>
      <c r="B48" s="160"/>
      <c r="C48" s="31"/>
      <c r="D48" s="161"/>
      <c r="E48" s="161"/>
      <c r="F48" s="161"/>
      <c r="G48" s="34"/>
      <c r="H48" s="162"/>
      <c r="I48" s="155"/>
      <c r="J48" s="155"/>
      <c r="K48" s="155"/>
      <c r="L48" s="156"/>
      <c r="M48" s="156"/>
      <c r="N48" s="155"/>
      <c r="O48" s="155"/>
      <c r="P48" s="38"/>
      <c r="Q48" s="163"/>
      <c r="R48" s="163"/>
      <c r="S48" s="40"/>
      <c r="T48" s="117"/>
      <c r="U48" s="129"/>
      <c r="V48" s="43"/>
      <c r="W48" s="40"/>
      <c r="X48" s="35"/>
      <c r="Y48" s="35"/>
      <c r="Z48" s="158"/>
      <c r="AA48" s="158"/>
      <c r="AB48" s="158"/>
      <c r="AC48" s="158"/>
      <c r="AD48" s="3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</row>
    <row r="49" spans="1:45" ht="15.75" customHeight="1">
      <c r="A49" s="153"/>
      <c r="B49" s="153"/>
      <c r="C49" s="124"/>
      <c r="D49" s="154"/>
      <c r="E49" s="114"/>
      <c r="F49" s="114"/>
      <c r="G49" s="125"/>
      <c r="H49" s="159"/>
      <c r="I49" s="155"/>
      <c r="J49" s="155"/>
      <c r="K49" s="155"/>
      <c r="L49" s="156"/>
      <c r="M49" s="156"/>
      <c r="N49" s="155"/>
      <c r="O49" s="155"/>
      <c r="P49" s="128"/>
      <c r="Q49" s="157"/>
      <c r="R49" s="157"/>
      <c r="S49" s="119"/>
      <c r="T49" s="118"/>
      <c r="U49" s="117"/>
      <c r="V49" s="122"/>
      <c r="W49" s="119"/>
      <c r="X49" s="44"/>
      <c r="Y49" s="44"/>
      <c r="Z49" s="158"/>
      <c r="AA49" s="177"/>
      <c r="AB49" s="158"/>
      <c r="AC49" s="158"/>
      <c r="AD49" s="177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</row>
    <row r="50" spans="1:45" ht="15.75" customHeight="1">
      <c r="A50" s="153"/>
      <c r="B50" s="153"/>
      <c r="C50" s="124"/>
      <c r="D50" s="154"/>
      <c r="E50" s="114"/>
      <c r="F50" s="114"/>
      <c r="G50" s="125"/>
      <c r="H50" s="159"/>
      <c r="I50" s="155"/>
      <c r="J50" s="155"/>
      <c r="K50" s="155"/>
      <c r="L50" s="156"/>
      <c r="M50" s="156"/>
      <c r="N50" s="155"/>
      <c r="O50" s="155"/>
      <c r="P50" s="128"/>
      <c r="Q50" s="157"/>
      <c r="R50" s="157"/>
      <c r="S50" s="119"/>
      <c r="T50" s="118"/>
      <c r="U50" s="117"/>
      <c r="V50" s="122"/>
      <c r="W50" s="119"/>
      <c r="X50" s="44"/>
      <c r="Y50" s="44"/>
      <c r="Z50" s="158"/>
      <c r="AA50" s="158"/>
      <c r="AB50" s="158"/>
      <c r="AC50" s="158"/>
      <c r="AD50" s="44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</row>
    <row r="51" spans="1:45" ht="15.75" customHeight="1">
      <c r="A51" s="153"/>
      <c r="B51" s="153"/>
      <c r="C51" s="124"/>
      <c r="D51" s="154"/>
      <c r="E51" s="114"/>
      <c r="F51" s="114"/>
      <c r="G51" s="125"/>
      <c r="H51" s="159"/>
      <c r="I51" s="155"/>
      <c r="J51" s="155"/>
      <c r="K51" s="155"/>
      <c r="L51" s="156"/>
      <c r="M51" s="156"/>
      <c r="N51" s="155"/>
      <c r="O51" s="155"/>
      <c r="P51" s="128"/>
      <c r="Q51" s="157"/>
      <c r="R51" s="157"/>
      <c r="S51" s="119"/>
      <c r="T51" s="118"/>
      <c r="U51" s="117"/>
      <c r="V51" s="122"/>
      <c r="W51" s="119"/>
      <c r="X51" s="44"/>
      <c r="Y51" s="44"/>
      <c r="Z51" s="158"/>
      <c r="AA51" s="158"/>
      <c r="AB51" s="158"/>
      <c r="AC51" s="158"/>
      <c r="AD51" s="44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</row>
    <row r="52" spans="1:45" ht="15.75" customHeight="1">
      <c r="A52" s="153"/>
      <c r="B52" s="153"/>
      <c r="C52" s="109"/>
      <c r="D52" s="114"/>
      <c r="E52" s="178"/>
      <c r="F52" s="178"/>
      <c r="G52" s="125"/>
      <c r="H52" s="159"/>
      <c r="I52" s="155"/>
      <c r="J52" s="155"/>
      <c r="K52" s="155"/>
      <c r="L52" s="155"/>
      <c r="M52" s="155"/>
      <c r="N52" s="155"/>
      <c r="O52" s="155"/>
      <c r="P52" s="128"/>
      <c r="Q52" s="157"/>
      <c r="R52" s="157"/>
      <c r="S52" s="119"/>
      <c r="T52" s="118"/>
      <c r="U52" s="117"/>
      <c r="V52" s="122"/>
      <c r="W52" s="119"/>
      <c r="X52" s="44"/>
      <c r="Y52" s="44"/>
      <c r="Z52" s="158"/>
      <c r="AA52" s="158"/>
      <c r="AB52" s="158"/>
      <c r="AC52" s="158"/>
      <c r="AD52" s="177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</row>
    <row r="53" spans="1:45" ht="15.75" customHeight="1">
      <c r="A53" s="153"/>
      <c r="B53" s="153"/>
      <c r="C53" s="109"/>
      <c r="D53" s="114"/>
      <c r="E53" s="178"/>
      <c r="F53" s="178"/>
      <c r="G53" s="125"/>
      <c r="H53" s="159"/>
      <c r="I53" s="155"/>
      <c r="J53" s="155"/>
      <c r="K53" s="155"/>
      <c r="L53" s="155"/>
      <c r="M53" s="155"/>
      <c r="N53" s="155"/>
      <c r="O53" s="155"/>
      <c r="P53" s="128"/>
      <c r="Q53" s="157"/>
      <c r="R53" s="157"/>
      <c r="S53" s="119"/>
      <c r="T53" s="118"/>
      <c r="U53" s="117"/>
      <c r="V53" s="122"/>
      <c r="W53" s="119"/>
      <c r="X53" s="44"/>
      <c r="Y53" s="44"/>
      <c r="Z53" s="158"/>
      <c r="AA53" s="158"/>
      <c r="AB53" s="158"/>
      <c r="AC53" s="158"/>
      <c r="AD53" s="177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</row>
    <row r="54" spans="1:45" ht="15.75" customHeight="1">
      <c r="A54" s="153"/>
      <c r="B54" s="153"/>
      <c r="C54" s="124"/>
      <c r="D54" s="154"/>
      <c r="E54" s="154"/>
      <c r="F54" s="154"/>
      <c r="G54" s="125"/>
      <c r="H54" s="159"/>
      <c r="I54" s="155"/>
      <c r="J54" s="155"/>
      <c r="K54" s="155"/>
      <c r="L54" s="156"/>
      <c r="M54" s="156"/>
      <c r="N54" s="155"/>
      <c r="O54" s="155"/>
      <c r="P54" s="128"/>
      <c r="Q54" s="157"/>
      <c r="R54" s="157"/>
      <c r="S54" s="119"/>
      <c r="T54" s="117"/>
      <c r="U54" s="129"/>
      <c r="V54" s="122"/>
      <c r="W54" s="119"/>
      <c r="X54" s="44"/>
      <c r="Y54" s="44"/>
      <c r="Z54" s="158"/>
      <c r="AA54" s="158"/>
      <c r="AB54" s="158"/>
      <c r="AC54" s="158"/>
      <c r="AD54" s="44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</row>
    <row r="55" spans="1:45" ht="15.75" customHeight="1">
      <c r="A55" s="153"/>
      <c r="B55" s="153"/>
      <c r="C55" s="109"/>
      <c r="D55" s="123"/>
      <c r="E55" s="114"/>
      <c r="F55" s="114"/>
      <c r="G55" s="159"/>
      <c r="H55" s="159"/>
      <c r="I55" s="155"/>
      <c r="J55" s="155"/>
      <c r="K55" s="155"/>
      <c r="L55" s="155"/>
      <c r="M55" s="155"/>
      <c r="N55" s="165"/>
      <c r="O55" s="155"/>
      <c r="P55" s="128"/>
      <c r="Q55" s="157"/>
      <c r="R55" s="157"/>
      <c r="S55" s="119"/>
      <c r="T55" s="118"/>
      <c r="U55" s="117"/>
      <c r="V55" s="122"/>
      <c r="W55" s="119"/>
      <c r="X55" s="44"/>
      <c r="Y55" s="44"/>
      <c r="Z55" s="158"/>
      <c r="AA55" s="158"/>
      <c r="AB55" s="158"/>
      <c r="AC55" s="158"/>
      <c r="AD55" s="177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</row>
    <row r="56" spans="1:45" ht="15.75" customHeight="1">
      <c r="A56" s="153"/>
      <c r="B56" s="153"/>
      <c r="C56" s="124"/>
      <c r="D56" s="154"/>
      <c r="E56" s="178"/>
      <c r="F56" s="178"/>
      <c r="G56" s="159"/>
      <c r="H56" s="159"/>
      <c r="I56" s="155"/>
      <c r="J56" s="155"/>
      <c r="K56" s="155"/>
      <c r="L56" s="155"/>
      <c r="M56" s="155"/>
      <c r="N56" s="165"/>
      <c r="O56" s="155"/>
      <c r="P56" s="128"/>
      <c r="Q56" s="157"/>
      <c r="R56" s="157"/>
      <c r="S56" s="119"/>
      <c r="T56" s="117"/>
      <c r="U56" s="129"/>
      <c r="V56" s="122"/>
      <c r="W56" s="119"/>
      <c r="X56" s="44"/>
      <c r="Y56" s="44"/>
      <c r="Z56" s="158"/>
      <c r="AA56" s="158"/>
      <c r="AB56" s="158"/>
      <c r="AC56" s="158"/>
      <c r="AD56" s="44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</row>
    <row r="57" spans="1:45" ht="15.75" customHeight="1">
      <c r="A57" s="153"/>
      <c r="B57" s="153"/>
      <c r="C57" s="124"/>
      <c r="D57" s="154"/>
      <c r="E57" s="179"/>
      <c r="F57" s="179"/>
      <c r="G57" s="125"/>
      <c r="H57" s="159"/>
      <c r="I57" s="155"/>
      <c r="J57" s="155"/>
      <c r="K57" s="155"/>
      <c r="L57" s="155"/>
      <c r="M57" s="155"/>
      <c r="N57" s="165"/>
      <c r="O57" s="155"/>
      <c r="P57" s="128"/>
      <c r="Q57" s="157"/>
      <c r="R57" s="157"/>
      <c r="S57" s="119"/>
      <c r="T57" s="117"/>
      <c r="U57" s="117"/>
      <c r="V57" s="122"/>
      <c r="W57" s="119"/>
      <c r="X57" s="44"/>
      <c r="Y57" s="44"/>
      <c r="Z57" s="158"/>
      <c r="AA57" s="158"/>
      <c r="AB57" s="158"/>
      <c r="AC57" s="158"/>
      <c r="AD57" s="44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</row>
    <row r="58" spans="1:45" ht="15.75" customHeight="1">
      <c r="A58" s="153"/>
      <c r="B58" s="153"/>
      <c r="C58" s="124"/>
      <c r="D58" s="154"/>
      <c r="E58" s="179"/>
      <c r="F58" s="179"/>
      <c r="G58" s="159"/>
      <c r="H58" s="159"/>
      <c r="I58" s="155"/>
      <c r="J58" s="155"/>
      <c r="K58" s="155"/>
      <c r="L58" s="155"/>
      <c r="M58" s="155"/>
      <c r="N58" s="165"/>
      <c r="O58" s="155"/>
      <c r="P58" s="128"/>
      <c r="Q58" s="157"/>
      <c r="R58" s="157"/>
      <c r="S58" s="119"/>
      <c r="T58" s="117"/>
      <c r="U58" s="117"/>
      <c r="V58" s="122"/>
      <c r="W58" s="119"/>
      <c r="X58" s="44"/>
      <c r="Y58" s="44"/>
      <c r="Z58" s="158"/>
      <c r="AA58" s="158"/>
      <c r="AB58" s="158"/>
      <c r="AC58" s="158"/>
      <c r="AD58" s="44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</row>
    <row r="59" spans="1:45" ht="15.75" customHeight="1">
      <c r="A59" s="153"/>
      <c r="B59" s="153"/>
      <c r="C59" s="124"/>
      <c r="D59" s="154"/>
      <c r="E59" s="154"/>
      <c r="F59" s="154"/>
      <c r="G59" s="125"/>
      <c r="H59" s="159"/>
      <c r="I59" s="155"/>
      <c r="J59" s="155"/>
      <c r="K59" s="155"/>
      <c r="L59" s="155"/>
      <c r="M59" s="155"/>
      <c r="N59" s="165"/>
      <c r="O59" s="155"/>
      <c r="P59" s="128"/>
      <c r="Q59" s="157"/>
      <c r="R59" s="157"/>
      <c r="S59" s="119"/>
      <c r="T59" s="117"/>
      <c r="U59" s="129"/>
      <c r="V59" s="122"/>
      <c r="W59" s="119"/>
      <c r="X59" s="44"/>
      <c r="Y59" s="44"/>
      <c r="Z59" s="158"/>
      <c r="AA59" s="158"/>
      <c r="AB59" s="158"/>
      <c r="AC59" s="158"/>
      <c r="AD59" s="44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</row>
    <row r="60" spans="1:45" ht="15.75" customHeight="1">
      <c r="A60" s="160"/>
      <c r="B60" s="160"/>
      <c r="C60" s="31"/>
      <c r="D60" s="161"/>
      <c r="E60" s="161"/>
      <c r="F60" s="161"/>
      <c r="G60" s="34"/>
      <c r="H60" s="162"/>
      <c r="I60" s="155"/>
      <c r="J60" s="155"/>
      <c r="K60" s="155"/>
      <c r="L60" s="156"/>
      <c r="M60" s="156"/>
      <c r="N60" s="155"/>
      <c r="O60" s="155"/>
      <c r="P60" s="38"/>
      <c r="Q60" s="163"/>
      <c r="R60" s="163"/>
      <c r="S60" s="40"/>
      <c r="T60" s="117"/>
      <c r="U60" s="129"/>
      <c r="V60" s="43"/>
      <c r="W60" s="40"/>
      <c r="X60" s="35"/>
      <c r="Y60" s="35"/>
      <c r="Z60" s="158"/>
      <c r="AA60" s="158"/>
      <c r="AB60" s="158"/>
      <c r="AC60" s="158"/>
      <c r="AD60" s="3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</row>
    <row r="61" spans="1:45" ht="15.75" customHeight="1">
      <c r="A61" s="160"/>
      <c r="B61" s="160"/>
      <c r="C61" s="31"/>
      <c r="D61" s="161"/>
      <c r="E61" s="161"/>
      <c r="F61" s="161"/>
      <c r="G61" s="34"/>
      <c r="H61" s="162"/>
      <c r="I61" s="155"/>
      <c r="J61" s="155"/>
      <c r="K61" s="155"/>
      <c r="L61" s="156"/>
      <c r="M61" s="156"/>
      <c r="N61" s="155"/>
      <c r="O61" s="155"/>
      <c r="P61" s="38"/>
      <c r="Q61" s="163"/>
      <c r="R61" s="163"/>
      <c r="S61" s="40"/>
      <c r="T61" s="117"/>
      <c r="U61" s="129"/>
      <c r="V61" s="43"/>
      <c r="W61" s="40"/>
      <c r="X61" s="35"/>
      <c r="Y61" s="35"/>
      <c r="Z61" s="158"/>
      <c r="AA61" s="158"/>
      <c r="AB61" s="158"/>
      <c r="AC61" s="158"/>
      <c r="AD61" s="3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</row>
    <row r="62" spans="1:45" ht="15.75" customHeight="1">
      <c r="A62" s="180"/>
      <c r="B62" s="180"/>
      <c r="C62" s="31"/>
      <c r="D62" s="161"/>
      <c r="E62" s="161"/>
      <c r="F62" s="161"/>
      <c r="G62" s="34"/>
      <c r="H62" s="162"/>
      <c r="I62" s="155"/>
      <c r="J62" s="155"/>
      <c r="K62" s="155"/>
      <c r="L62" s="156"/>
      <c r="M62" s="156"/>
      <c r="N62" s="155"/>
      <c r="O62" s="155"/>
      <c r="P62" s="38"/>
      <c r="Q62" s="163"/>
      <c r="R62" s="163"/>
      <c r="S62" s="40"/>
      <c r="T62" s="117"/>
      <c r="U62" s="129"/>
      <c r="V62" s="43"/>
      <c r="W62" s="40"/>
      <c r="X62" s="35"/>
      <c r="Y62" s="35"/>
      <c r="Z62" s="158"/>
      <c r="AA62" s="158"/>
      <c r="AB62" s="158"/>
      <c r="AC62" s="158"/>
      <c r="AD62" s="3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</row>
    <row r="63" spans="1:45" ht="15.75" customHeight="1">
      <c r="A63" s="180"/>
      <c r="B63" s="180"/>
      <c r="C63" s="31"/>
      <c r="D63" s="161"/>
      <c r="E63" s="161"/>
      <c r="F63" s="161"/>
      <c r="G63" s="34"/>
      <c r="H63" s="34"/>
      <c r="I63" s="35"/>
      <c r="J63" s="35"/>
      <c r="K63" s="181"/>
      <c r="L63" s="156"/>
      <c r="M63" s="156"/>
      <c r="N63" s="37"/>
      <c r="O63" s="37"/>
      <c r="P63" s="182"/>
      <c r="Q63" s="163"/>
      <c r="R63" s="163"/>
      <c r="S63" s="40"/>
      <c r="T63" s="117"/>
      <c r="U63" s="129"/>
      <c r="V63" s="43"/>
      <c r="W63" s="40"/>
      <c r="X63" s="35"/>
      <c r="Y63" s="35"/>
      <c r="Z63" s="158"/>
      <c r="AA63" s="158"/>
      <c r="AB63" s="158"/>
      <c r="AC63" s="158"/>
      <c r="AD63" s="3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</row>
    <row r="64" spans="1:45" ht="15.75" customHeight="1">
      <c r="A64" s="180"/>
      <c r="B64" s="180"/>
      <c r="C64" s="31"/>
      <c r="D64" s="161"/>
      <c r="E64" s="161"/>
      <c r="F64" s="161"/>
      <c r="G64" s="34"/>
      <c r="H64" s="162"/>
      <c r="I64" s="155"/>
      <c r="J64" s="155"/>
      <c r="K64" s="155"/>
      <c r="L64" s="165"/>
      <c r="M64" s="165"/>
      <c r="N64" s="155"/>
      <c r="O64" s="155"/>
      <c r="P64" s="38"/>
      <c r="Q64" s="163"/>
      <c r="R64" s="163"/>
      <c r="S64" s="40"/>
      <c r="T64" s="117"/>
      <c r="U64" s="129"/>
      <c r="V64" s="43"/>
      <c r="W64" s="40"/>
      <c r="X64" s="35"/>
      <c r="Y64" s="35"/>
      <c r="Z64" s="158"/>
      <c r="AA64" s="158"/>
      <c r="AB64" s="158"/>
      <c r="AC64" s="158"/>
      <c r="AD64" s="3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</row>
    <row r="65" spans="1:45" ht="15.75" customHeight="1">
      <c r="A65" s="180"/>
      <c r="B65" s="180"/>
      <c r="C65" s="31"/>
      <c r="D65" s="161"/>
      <c r="E65" s="161"/>
      <c r="F65" s="161"/>
      <c r="G65" s="34"/>
      <c r="H65" s="34"/>
      <c r="I65" s="155"/>
      <c r="J65" s="155"/>
      <c r="K65" s="155"/>
      <c r="L65" s="165"/>
      <c r="M65" s="165"/>
      <c r="N65" s="155"/>
      <c r="O65" s="155"/>
      <c r="P65" s="38"/>
      <c r="Q65" s="163"/>
      <c r="R65" s="163"/>
      <c r="S65" s="40"/>
      <c r="T65" s="117"/>
      <c r="U65" s="129"/>
      <c r="V65" s="43"/>
      <c r="W65" s="40"/>
      <c r="X65" s="35"/>
      <c r="Y65" s="35"/>
      <c r="Z65" s="158"/>
      <c r="AA65" s="158"/>
      <c r="AB65" s="158"/>
      <c r="AC65" s="158"/>
      <c r="AD65" s="3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</row>
    <row r="66" spans="1:45" ht="15.75" customHeight="1">
      <c r="A66" s="180"/>
      <c r="B66" s="180"/>
      <c r="C66" s="31"/>
      <c r="D66" s="161"/>
      <c r="E66" s="161"/>
      <c r="F66" s="161"/>
      <c r="G66" s="34"/>
      <c r="H66" s="34"/>
      <c r="I66" s="45"/>
      <c r="J66" s="45"/>
      <c r="K66" s="45"/>
      <c r="L66" s="45"/>
      <c r="M66" s="45"/>
      <c r="N66" s="45"/>
      <c r="O66" s="45"/>
      <c r="P66" s="182"/>
      <c r="Q66" s="163"/>
      <c r="R66" s="163"/>
      <c r="S66" s="40"/>
      <c r="T66" s="117"/>
      <c r="U66" s="129"/>
      <c r="V66" s="43"/>
      <c r="W66" s="40"/>
      <c r="X66" s="35"/>
      <c r="Y66" s="35"/>
      <c r="Z66" s="158"/>
      <c r="AA66" s="158"/>
      <c r="AB66" s="158"/>
      <c r="AC66" s="158"/>
      <c r="AD66" s="3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</row>
    <row r="67" spans="1:45" ht="15.75" customHeight="1">
      <c r="A67" s="180"/>
      <c r="B67" s="180"/>
      <c r="C67" s="31"/>
      <c r="D67" s="161"/>
      <c r="E67" s="161"/>
      <c r="F67" s="161"/>
      <c r="G67" s="34"/>
      <c r="H67" s="34"/>
      <c r="I67" s="35"/>
      <c r="J67" s="35"/>
      <c r="K67" s="155"/>
      <c r="L67" s="165"/>
      <c r="M67" s="165"/>
      <c r="N67" s="37"/>
      <c r="O67" s="37"/>
      <c r="P67" s="38"/>
      <c r="Q67" s="163"/>
      <c r="R67" s="163"/>
      <c r="S67" s="40"/>
      <c r="T67" s="117"/>
      <c r="U67" s="129"/>
      <c r="V67" s="43"/>
      <c r="W67" s="40"/>
      <c r="X67" s="35"/>
      <c r="Y67" s="35"/>
      <c r="Z67" s="158"/>
      <c r="AA67" s="158"/>
      <c r="AB67" s="158"/>
      <c r="AC67" s="158"/>
      <c r="AD67" s="3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</row>
    <row r="68" spans="1:45" ht="15.75" customHeight="1">
      <c r="A68" s="180"/>
      <c r="B68" s="180"/>
      <c r="C68" s="31"/>
      <c r="D68" s="161"/>
      <c r="E68" s="161"/>
      <c r="F68" s="161"/>
      <c r="G68" s="34"/>
      <c r="H68" s="34"/>
      <c r="I68" s="35"/>
      <c r="J68" s="35"/>
      <c r="K68" s="181"/>
      <c r="L68" s="165"/>
      <c r="M68" s="165"/>
      <c r="N68" s="181"/>
      <c r="O68" s="37"/>
      <c r="P68" s="38"/>
      <c r="Q68" s="163"/>
      <c r="R68" s="163"/>
      <c r="S68" s="40"/>
      <c r="T68" s="117"/>
      <c r="U68" s="129"/>
      <c r="V68" s="43"/>
      <c r="W68" s="40"/>
      <c r="X68" s="35"/>
      <c r="Y68" s="35"/>
      <c r="Z68" s="158"/>
      <c r="AA68" s="158"/>
      <c r="AB68" s="158"/>
      <c r="AC68" s="158"/>
      <c r="AD68" s="3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</row>
    <row r="69" spans="1:45" ht="15.75" customHeight="1">
      <c r="A69" s="180"/>
      <c r="B69" s="180"/>
      <c r="C69" s="31"/>
      <c r="D69" s="161"/>
      <c r="E69" s="161"/>
      <c r="F69" s="161"/>
      <c r="G69" s="34"/>
      <c r="H69" s="34"/>
      <c r="I69" s="161"/>
      <c r="J69" s="161"/>
      <c r="K69" s="181"/>
      <c r="L69" s="156"/>
      <c r="M69" s="156"/>
      <c r="N69" s="37"/>
      <c r="O69" s="37"/>
      <c r="P69" s="182"/>
      <c r="Q69" s="163"/>
      <c r="R69" s="163"/>
      <c r="S69" s="40"/>
      <c r="T69" s="117"/>
      <c r="U69" s="129"/>
      <c r="V69" s="43"/>
      <c r="W69" s="40"/>
      <c r="X69" s="35"/>
      <c r="Y69" s="35"/>
      <c r="Z69" s="158"/>
      <c r="AA69" s="158"/>
      <c r="AB69" s="158"/>
      <c r="AC69" s="158"/>
      <c r="AD69" s="3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</row>
    <row r="70" spans="1:45" ht="15.75" customHeight="1">
      <c r="A70" s="183"/>
      <c r="B70" s="183"/>
      <c r="C70" s="184"/>
      <c r="D70" s="37"/>
      <c r="E70" s="185"/>
      <c r="F70" s="185"/>
      <c r="G70" s="186"/>
      <c r="H70" s="186"/>
      <c r="I70" s="187"/>
      <c r="J70" s="187"/>
      <c r="K70" s="187"/>
      <c r="L70" s="185"/>
      <c r="M70" s="185"/>
      <c r="N70" s="37"/>
      <c r="O70" s="37"/>
      <c r="P70" s="188"/>
      <c r="Q70" s="189"/>
      <c r="R70" s="189"/>
      <c r="S70" s="35"/>
      <c r="T70" s="190"/>
      <c r="U70" s="191"/>
      <c r="V70" s="192"/>
      <c r="W70" s="161"/>
      <c r="X70" s="187"/>
      <c r="Y70" s="187"/>
      <c r="Z70" s="35"/>
      <c r="AA70" s="35"/>
      <c r="AB70" s="193"/>
      <c r="AC70" s="35"/>
      <c r="AD70" s="3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</row>
    <row r="71" spans="1:45" ht="15.75" customHeight="1">
      <c r="A71" s="194"/>
      <c r="B71" s="194"/>
      <c r="C71" s="184"/>
      <c r="D71" s="37"/>
      <c r="E71" s="185"/>
      <c r="F71" s="185"/>
      <c r="G71" s="186"/>
      <c r="H71" s="186"/>
      <c r="I71" s="187"/>
      <c r="J71" s="187"/>
      <c r="K71" s="187"/>
      <c r="L71" s="185"/>
      <c r="M71" s="185"/>
      <c r="N71" s="37"/>
      <c r="O71" s="37"/>
      <c r="P71" s="188"/>
      <c r="Q71" s="189"/>
      <c r="R71" s="189"/>
      <c r="S71" s="35"/>
      <c r="T71" s="190"/>
      <c r="U71" s="191"/>
      <c r="V71" s="192"/>
      <c r="W71" s="161"/>
      <c r="X71" s="187"/>
      <c r="Y71" s="187"/>
      <c r="Z71" s="35"/>
      <c r="AA71" s="35"/>
      <c r="AB71" s="193"/>
      <c r="AC71" s="35"/>
      <c r="AD71" s="3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</row>
    <row r="72" spans="1:45" ht="15.75" customHeight="1">
      <c r="A72" s="194"/>
      <c r="B72" s="194"/>
      <c r="C72" s="184"/>
      <c r="D72" s="37"/>
      <c r="E72" s="185"/>
      <c r="F72" s="185"/>
      <c r="G72" s="186"/>
      <c r="H72" s="186"/>
      <c r="I72" s="187"/>
      <c r="J72" s="187"/>
      <c r="K72" s="187"/>
      <c r="L72" s="185"/>
      <c r="M72" s="185"/>
      <c r="N72" s="37"/>
      <c r="O72" s="37"/>
      <c r="P72" s="188"/>
      <c r="Q72" s="189"/>
      <c r="R72" s="189"/>
      <c r="S72" s="35"/>
      <c r="T72" s="190"/>
      <c r="U72" s="191"/>
      <c r="V72" s="192"/>
      <c r="W72" s="161"/>
      <c r="X72" s="187"/>
      <c r="Y72" s="187"/>
      <c r="Z72" s="35"/>
      <c r="AA72" s="35"/>
      <c r="AB72" s="193"/>
      <c r="AC72" s="35"/>
      <c r="AD72" s="3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</row>
    <row r="73" spans="1:45" ht="15.75" customHeight="1">
      <c r="A73" s="194"/>
      <c r="B73" s="194"/>
      <c r="C73" s="184"/>
      <c r="D73" s="37"/>
      <c r="E73" s="185"/>
      <c r="F73" s="185"/>
      <c r="G73" s="186"/>
      <c r="H73" s="186"/>
      <c r="I73" s="187"/>
      <c r="J73" s="187"/>
      <c r="K73" s="187"/>
      <c r="L73" s="185"/>
      <c r="M73" s="185"/>
      <c r="N73" s="37"/>
      <c r="O73" s="37"/>
      <c r="P73" s="188"/>
      <c r="Q73" s="189"/>
      <c r="R73" s="189"/>
      <c r="S73" s="35"/>
      <c r="T73" s="190"/>
      <c r="U73" s="191"/>
      <c r="V73" s="192"/>
      <c r="W73" s="161"/>
      <c r="X73" s="187"/>
      <c r="Y73" s="187"/>
      <c r="Z73" s="35"/>
      <c r="AA73" s="35"/>
      <c r="AB73" s="193"/>
      <c r="AC73" s="35"/>
      <c r="AD73" s="3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</row>
    <row r="74" spans="1:45" ht="16.5" customHeight="1">
      <c r="A74" s="180"/>
      <c r="B74" s="180"/>
      <c r="C74" s="31"/>
      <c r="D74" s="161"/>
      <c r="E74" s="161"/>
      <c r="F74" s="161"/>
      <c r="G74" s="34"/>
      <c r="H74" s="34"/>
      <c r="I74" s="35"/>
      <c r="J74" s="35"/>
      <c r="K74" s="181"/>
      <c r="L74" s="156"/>
      <c r="M74" s="156"/>
      <c r="N74" s="37"/>
      <c r="O74" s="37"/>
      <c r="P74" s="182"/>
      <c r="Q74" s="163"/>
      <c r="R74" s="163"/>
      <c r="S74" s="40"/>
      <c r="T74" s="117"/>
      <c r="U74" s="129"/>
      <c r="V74" s="43"/>
      <c r="W74" s="40"/>
      <c r="X74" s="35"/>
      <c r="Y74" s="35"/>
      <c r="Z74" s="158"/>
      <c r="AA74" s="158"/>
      <c r="AB74" s="158"/>
      <c r="AC74" s="158"/>
      <c r="AD74" s="3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</row>
    <row r="75" spans="1:45" ht="16.5" customHeight="1">
      <c r="A75" s="195"/>
      <c r="B75" s="195"/>
      <c r="C75" s="196"/>
      <c r="D75" s="197"/>
      <c r="E75" s="197"/>
      <c r="F75" s="197"/>
      <c r="G75" s="198"/>
      <c r="H75" s="198"/>
      <c r="I75" s="158"/>
      <c r="J75" s="158"/>
      <c r="K75" s="155"/>
      <c r="L75" s="165"/>
      <c r="M75" s="165"/>
      <c r="N75" s="37"/>
      <c r="O75" s="37"/>
      <c r="P75" s="199"/>
      <c r="Q75" s="163"/>
      <c r="R75" s="163"/>
      <c r="S75" s="40"/>
      <c r="T75" s="118"/>
      <c r="U75" s="129"/>
      <c r="V75" s="43"/>
      <c r="W75" s="40"/>
      <c r="X75" s="158"/>
      <c r="Y75" s="158"/>
      <c r="Z75" s="177"/>
      <c r="AA75" s="177"/>
      <c r="AB75" s="177"/>
      <c r="AC75" s="177"/>
      <c r="AD75" s="177"/>
      <c r="AE75" s="74"/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</row>
    <row r="76" spans="1:45" ht="16.5" customHeight="1">
      <c r="A76" s="195"/>
      <c r="B76" s="195"/>
      <c r="C76" s="196"/>
      <c r="D76" s="201"/>
      <c r="E76" s="201"/>
      <c r="F76" s="201"/>
      <c r="G76" s="198"/>
      <c r="H76" s="198"/>
      <c r="I76" s="158"/>
      <c r="J76" s="158"/>
      <c r="K76" s="155"/>
      <c r="L76" s="165"/>
      <c r="M76" s="165"/>
      <c r="N76" s="37"/>
      <c r="O76" s="37"/>
      <c r="P76" s="199"/>
      <c r="Q76" s="163"/>
      <c r="R76" s="163"/>
      <c r="S76" s="40"/>
      <c r="T76" s="118"/>
      <c r="U76" s="129"/>
      <c r="V76" s="43"/>
      <c r="W76" s="40"/>
      <c r="X76" s="158"/>
      <c r="Y76" s="158"/>
      <c r="Z76" s="177"/>
      <c r="AA76" s="177"/>
      <c r="AB76" s="177"/>
      <c r="AC76" s="177"/>
      <c r="AD76" s="158"/>
      <c r="AE76" s="74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</row>
    <row r="77" spans="1:45" ht="16.5" customHeight="1">
      <c r="A77" s="195"/>
      <c r="B77" s="195"/>
      <c r="C77" s="196"/>
      <c r="D77" s="201"/>
      <c r="E77" s="201"/>
      <c r="F77" s="201"/>
      <c r="G77" s="198"/>
      <c r="H77" s="198"/>
      <c r="I77" s="158"/>
      <c r="J77" s="158"/>
      <c r="K77" s="155"/>
      <c r="L77" s="165"/>
      <c r="M77" s="165"/>
      <c r="N77" s="37"/>
      <c r="O77" s="37"/>
      <c r="P77" s="199"/>
      <c r="Q77" s="163"/>
      <c r="R77" s="163"/>
      <c r="S77" s="40"/>
      <c r="T77" s="118"/>
      <c r="U77" s="129"/>
      <c r="V77" s="43"/>
      <c r="W77" s="40"/>
      <c r="X77" s="158"/>
      <c r="Y77" s="158"/>
      <c r="Z77" s="177"/>
      <c r="AA77" s="177"/>
      <c r="AB77" s="177"/>
      <c r="AC77" s="177"/>
      <c r="AD77" s="158"/>
      <c r="AE77" s="74"/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</row>
    <row r="78" spans="1:45" ht="16.5" customHeight="1">
      <c r="A78" s="195"/>
      <c r="B78" s="195"/>
      <c r="C78" s="196"/>
      <c r="D78" s="201"/>
      <c r="E78" s="201"/>
      <c r="F78" s="201"/>
      <c r="G78" s="198"/>
      <c r="H78" s="198"/>
      <c r="I78" s="158"/>
      <c r="J78" s="158"/>
      <c r="K78" s="155"/>
      <c r="L78" s="165"/>
      <c r="M78" s="165"/>
      <c r="N78" s="37"/>
      <c r="O78" s="37"/>
      <c r="P78" s="199"/>
      <c r="Q78" s="163"/>
      <c r="R78" s="163"/>
      <c r="S78" s="40"/>
      <c r="T78" s="118"/>
      <c r="U78" s="129"/>
      <c r="V78" s="43"/>
      <c r="W78" s="40"/>
      <c r="X78" s="158"/>
      <c r="Y78" s="158"/>
      <c r="Z78" s="177"/>
      <c r="AA78" s="177"/>
      <c r="AB78" s="177"/>
      <c r="AC78" s="177"/>
      <c r="AD78" s="158"/>
      <c r="AE78" s="74"/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</row>
    <row r="79" spans="1:45" ht="16.5" customHeight="1">
      <c r="A79" s="195"/>
      <c r="B79" s="195"/>
      <c r="C79" s="196"/>
      <c r="D79" s="197"/>
      <c r="E79" s="165"/>
      <c r="F79" s="165"/>
      <c r="G79" s="198"/>
      <c r="H79" s="198"/>
      <c r="I79" s="158"/>
      <c r="J79" s="158"/>
      <c r="K79" s="155"/>
      <c r="L79" s="165"/>
      <c r="M79" s="165"/>
      <c r="N79" s="37"/>
      <c r="O79" s="37"/>
      <c r="P79" s="199"/>
      <c r="Q79" s="202"/>
      <c r="R79" s="202"/>
      <c r="S79" s="40"/>
      <c r="T79" s="118"/>
      <c r="U79" s="117"/>
      <c r="V79" s="43"/>
      <c r="W79" s="40"/>
      <c r="X79" s="158"/>
      <c r="Y79" s="158"/>
      <c r="Z79" s="177"/>
      <c r="AA79" s="177"/>
      <c r="AB79" s="177"/>
      <c r="AC79" s="177"/>
      <c r="AD79" s="177"/>
      <c r="AE79" s="74"/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</row>
    <row r="80" spans="1:45" ht="16.5" customHeight="1">
      <c r="A80" s="195"/>
      <c r="B80" s="195"/>
      <c r="C80" s="196"/>
      <c r="D80" s="197"/>
      <c r="E80" s="165"/>
      <c r="F80" s="165"/>
      <c r="G80" s="198"/>
      <c r="H80" s="198"/>
      <c r="I80" s="158"/>
      <c r="J80" s="158"/>
      <c r="K80" s="155"/>
      <c r="L80" s="165"/>
      <c r="M80" s="165"/>
      <c r="N80" s="37"/>
      <c r="O80" s="37"/>
      <c r="P80" s="199"/>
      <c r="Q80" s="202"/>
      <c r="R80" s="202"/>
      <c r="S80" s="40"/>
      <c r="T80" s="118"/>
      <c r="U80" s="117"/>
      <c r="V80" s="43"/>
      <c r="W80" s="40"/>
      <c r="X80" s="158"/>
      <c r="Y80" s="158"/>
      <c r="Z80" s="177"/>
      <c r="AA80" s="177"/>
      <c r="AB80" s="177"/>
      <c r="AC80" s="177"/>
      <c r="AD80" s="177"/>
      <c r="AE80" s="74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</row>
    <row r="81" spans="1:45" ht="16.5" customHeight="1">
      <c r="A81" s="195"/>
      <c r="B81" s="195"/>
      <c r="C81" s="196"/>
      <c r="D81" s="203"/>
      <c r="E81" s="203"/>
      <c r="F81" s="203"/>
      <c r="G81" s="204"/>
      <c r="H81" s="198"/>
      <c r="I81" s="158"/>
      <c r="J81" s="158"/>
      <c r="K81" s="155"/>
      <c r="L81" s="165"/>
      <c r="M81" s="165"/>
      <c r="N81" s="37"/>
      <c r="O81" s="37"/>
      <c r="P81" s="199"/>
      <c r="Q81" s="163"/>
      <c r="R81" s="163"/>
      <c r="S81" s="40"/>
      <c r="T81" s="118"/>
      <c r="U81" s="205"/>
      <c r="V81" s="129"/>
      <c r="W81" s="40"/>
      <c r="X81" s="206"/>
      <c r="Y81" s="206"/>
      <c r="Z81" s="158"/>
      <c r="AA81" s="177"/>
      <c r="AB81" s="177"/>
      <c r="AC81" s="177"/>
      <c r="AD81" s="158"/>
      <c r="AE81" s="74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</row>
    <row r="82" spans="1:45" ht="16.5" customHeight="1">
      <c r="A82" s="195"/>
      <c r="B82" s="195"/>
      <c r="C82" s="196"/>
      <c r="D82" s="197"/>
      <c r="E82" s="165"/>
      <c r="F82" s="165"/>
      <c r="G82" s="198"/>
      <c r="H82" s="198"/>
      <c r="I82" s="158"/>
      <c r="J82" s="158"/>
      <c r="K82" s="155"/>
      <c r="L82" s="165"/>
      <c r="M82" s="165"/>
      <c r="N82" s="37"/>
      <c r="O82" s="37"/>
      <c r="P82" s="199"/>
      <c r="Q82" s="202"/>
      <c r="R82" s="202"/>
      <c r="S82" s="40"/>
      <c r="T82" s="118"/>
      <c r="U82" s="117"/>
      <c r="V82" s="129"/>
      <c r="W82" s="40"/>
      <c r="X82" s="158"/>
      <c r="Y82" s="158"/>
      <c r="Z82" s="177"/>
      <c r="AA82" s="177"/>
      <c r="AB82" s="177"/>
      <c r="AC82" s="177"/>
      <c r="AD82" s="177"/>
      <c r="AE82" s="74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</row>
    <row r="83" spans="1:45" ht="16.5" customHeight="1">
      <c r="A83" s="195"/>
      <c r="B83" s="195"/>
      <c r="C83" s="196"/>
      <c r="D83" s="197"/>
      <c r="E83" s="197"/>
      <c r="F83" s="197"/>
      <c r="G83" s="198"/>
      <c r="H83" s="198"/>
      <c r="I83" s="158"/>
      <c r="J83" s="158"/>
      <c r="K83" s="155"/>
      <c r="L83" s="165"/>
      <c r="M83" s="165"/>
      <c r="N83" s="37"/>
      <c r="O83" s="37"/>
      <c r="P83" s="199"/>
      <c r="Q83" s="202"/>
      <c r="R83" s="202"/>
      <c r="S83" s="40"/>
      <c r="T83" s="118"/>
      <c r="U83" s="129"/>
      <c r="V83" s="43"/>
      <c r="W83" s="40"/>
      <c r="X83" s="158"/>
      <c r="Y83" s="158"/>
      <c r="Z83" s="177"/>
      <c r="AA83" s="177"/>
      <c r="AB83" s="177"/>
      <c r="AC83" s="177"/>
      <c r="AD83" s="177"/>
      <c r="AE83" s="74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</row>
    <row r="84" spans="1:45" ht="16.5" customHeight="1">
      <c r="A84" s="195"/>
      <c r="B84" s="195"/>
      <c r="C84" s="196"/>
      <c r="D84" s="197"/>
      <c r="E84" s="197"/>
      <c r="F84" s="197"/>
      <c r="G84" s="198"/>
      <c r="H84" s="198"/>
      <c r="I84" s="158"/>
      <c r="J84" s="158"/>
      <c r="K84" s="155"/>
      <c r="L84" s="165"/>
      <c r="M84" s="165"/>
      <c r="N84" s="37"/>
      <c r="O84" s="37"/>
      <c r="P84" s="199"/>
      <c r="Q84" s="202"/>
      <c r="R84" s="202"/>
      <c r="S84" s="40"/>
      <c r="T84" s="150"/>
      <c r="U84" s="129"/>
      <c r="V84" s="43"/>
      <c r="W84" s="40"/>
      <c r="X84" s="158"/>
      <c r="Y84" s="158"/>
      <c r="Z84" s="177"/>
      <c r="AA84" s="177"/>
      <c r="AB84" s="177"/>
      <c r="AC84" s="177"/>
      <c r="AD84" s="177"/>
      <c r="AE84" s="74"/>
      <c r="AF84" s="200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</row>
    <row r="85" spans="1:45" ht="16.5" customHeight="1">
      <c r="A85" s="208"/>
      <c r="B85" s="208"/>
      <c r="C85" s="196"/>
      <c r="D85" s="197"/>
      <c r="E85" s="165"/>
      <c r="F85" s="165"/>
      <c r="G85" s="198"/>
      <c r="H85" s="198"/>
      <c r="I85" s="177"/>
      <c r="J85" s="177"/>
      <c r="K85" s="177"/>
      <c r="L85" s="165"/>
      <c r="M85" s="165"/>
      <c r="N85" s="177"/>
      <c r="O85" s="177"/>
      <c r="P85" s="199"/>
      <c r="Q85" s="163"/>
      <c r="R85" s="163"/>
      <c r="S85" s="40"/>
      <c r="T85" s="118"/>
      <c r="U85" s="117"/>
      <c r="V85" s="129"/>
      <c r="W85" s="40"/>
      <c r="X85" s="158"/>
      <c r="Y85" s="158"/>
      <c r="Z85" s="158"/>
      <c r="AA85" s="177"/>
      <c r="AB85" s="177"/>
      <c r="AC85" s="177"/>
      <c r="AD85" s="158"/>
      <c r="AE85" s="74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</row>
    <row r="86" spans="1:45" ht="16.5" customHeight="1">
      <c r="A86" s="195"/>
      <c r="B86" s="195"/>
      <c r="C86" s="196"/>
      <c r="D86" s="197"/>
      <c r="E86" s="165"/>
      <c r="F86" s="165"/>
      <c r="G86" s="198"/>
      <c r="H86" s="198"/>
      <c r="I86" s="177"/>
      <c r="J86" s="177"/>
      <c r="K86" s="177"/>
      <c r="L86" s="165"/>
      <c r="M86" s="165"/>
      <c r="N86" s="177"/>
      <c r="O86" s="177"/>
      <c r="P86" s="199"/>
      <c r="Q86" s="163"/>
      <c r="R86" s="163"/>
      <c r="S86" s="40"/>
      <c r="T86" s="118"/>
      <c r="U86" s="117"/>
      <c r="V86" s="129"/>
      <c r="W86" s="40"/>
      <c r="X86" s="158"/>
      <c r="Y86" s="158"/>
      <c r="Z86" s="158"/>
      <c r="AA86" s="177"/>
      <c r="AB86" s="177"/>
      <c r="AC86" s="177"/>
      <c r="AD86" s="177"/>
      <c r="AE86" s="74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</row>
    <row r="87" spans="1:45" ht="16.5" customHeight="1">
      <c r="A87" s="195"/>
      <c r="B87" s="195"/>
      <c r="C87" s="196"/>
      <c r="D87" s="197"/>
      <c r="E87" s="197"/>
      <c r="F87" s="197"/>
      <c r="G87" s="198"/>
      <c r="H87" s="198"/>
      <c r="I87" s="158"/>
      <c r="J87" s="158"/>
      <c r="K87" s="155"/>
      <c r="L87" s="165"/>
      <c r="M87" s="165"/>
      <c r="N87" s="37"/>
      <c r="O87" s="37"/>
      <c r="P87" s="199"/>
      <c r="Q87" s="202"/>
      <c r="R87" s="202"/>
      <c r="S87" s="40"/>
      <c r="T87" s="118"/>
      <c r="U87" s="129"/>
      <c r="V87" s="129"/>
      <c r="W87" s="40"/>
      <c r="X87" s="158"/>
      <c r="Y87" s="158"/>
      <c r="Z87" s="158"/>
      <c r="AA87" s="177"/>
      <c r="AB87" s="177"/>
      <c r="AC87" s="177"/>
      <c r="AD87" s="158"/>
      <c r="AE87" s="74"/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200"/>
      <c r="AQ87" s="200"/>
      <c r="AR87" s="200"/>
      <c r="AS87" s="200"/>
    </row>
    <row r="88" spans="1:45" ht="16.5" customHeight="1">
      <c r="A88" s="195"/>
      <c r="B88" s="195"/>
      <c r="C88" s="196"/>
      <c r="D88" s="197"/>
      <c r="E88" s="197"/>
      <c r="F88" s="197"/>
      <c r="G88" s="198"/>
      <c r="H88" s="198"/>
      <c r="I88" s="158"/>
      <c r="J88" s="158"/>
      <c r="K88" s="155"/>
      <c r="L88" s="165"/>
      <c r="M88" s="165"/>
      <c r="N88" s="37"/>
      <c r="O88" s="37"/>
      <c r="P88" s="199"/>
      <c r="Q88" s="202"/>
      <c r="R88" s="202"/>
      <c r="S88" s="40"/>
      <c r="T88" s="118"/>
      <c r="U88" s="129"/>
      <c r="V88" s="129"/>
      <c r="W88" s="40"/>
      <c r="X88" s="158"/>
      <c r="Y88" s="158"/>
      <c r="Z88" s="158"/>
      <c r="AA88" s="177"/>
      <c r="AB88" s="177"/>
      <c r="AC88" s="177"/>
      <c r="AD88" s="158"/>
      <c r="AE88" s="74"/>
      <c r="AF88" s="200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</row>
    <row r="89" spans="1:45" ht="16.5" customHeight="1">
      <c r="A89" s="208"/>
      <c r="B89" s="208"/>
      <c r="C89" s="196"/>
      <c r="D89" s="197"/>
      <c r="E89" s="165"/>
      <c r="F89" s="165"/>
      <c r="G89" s="198"/>
      <c r="H89" s="198"/>
      <c r="I89" s="158"/>
      <c r="J89" s="158"/>
      <c r="K89" s="155"/>
      <c r="L89" s="165"/>
      <c r="M89" s="165"/>
      <c r="N89" s="37"/>
      <c r="O89" s="37"/>
      <c r="P89" s="199"/>
      <c r="Q89" s="202"/>
      <c r="R89" s="202"/>
      <c r="S89" s="40"/>
      <c r="T89" s="118"/>
      <c r="U89" s="129"/>
      <c r="V89" s="43"/>
      <c r="W89" s="40"/>
      <c r="X89" s="158"/>
      <c r="Y89" s="158"/>
      <c r="Z89" s="177"/>
      <c r="AA89" s="177"/>
      <c r="AB89" s="177"/>
      <c r="AC89" s="177"/>
      <c r="AD89" s="158"/>
      <c r="AE89" s="74"/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Q89" s="200"/>
      <c r="AR89" s="200"/>
      <c r="AS89" s="200"/>
    </row>
    <row r="90" spans="1:45" ht="16.5" customHeight="1">
      <c r="A90" s="195"/>
      <c r="B90" s="195"/>
      <c r="C90" s="196"/>
      <c r="D90" s="197"/>
      <c r="E90" s="165"/>
      <c r="F90" s="165"/>
      <c r="G90" s="209"/>
      <c r="H90" s="198"/>
      <c r="I90" s="158"/>
      <c r="J90" s="158"/>
      <c r="K90" s="155"/>
      <c r="L90" s="165"/>
      <c r="M90" s="165"/>
      <c r="N90" s="37"/>
      <c r="O90" s="37"/>
      <c r="P90" s="199"/>
      <c r="Q90" s="202"/>
      <c r="R90" s="202"/>
      <c r="S90" s="40"/>
      <c r="T90" s="118"/>
      <c r="U90" s="129"/>
      <c r="V90" s="43"/>
      <c r="W90" s="40"/>
      <c r="X90" s="158"/>
      <c r="Y90" s="158"/>
      <c r="Z90" s="177"/>
      <c r="AA90" s="177"/>
      <c r="AB90" s="177"/>
      <c r="AC90" s="177"/>
      <c r="AD90" s="158"/>
      <c r="AE90" s="74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Q90" s="200"/>
      <c r="AR90" s="200"/>
      <c r="AS90" s="200"/>
    </row>
    <row r="91" spans="1:45" ht="16.5" customHeight="1">
      <c r="A91" s="195"/>
      <c r="B91" s="195"/>
      <c r="C91" s="196"/>
      <c r="D91" s="197"/>
      <c r="E91" s="165"/>
      <c r="F91" s="165"/>
      <c r="G91" s="198"/>
      <c r="H91" s="198"/>
      <c r="I91" s="158"/>
      <c r="J91" s="158"/>
      <c r="K91" s="155"/>
      <c r="L91" s="165"/>
      <c r="M91" s="165"/>
      <c r="N91" s="37"/>
      <c r="O91" s="37"/>
      <c r="P91" s="199"/>
      <c r="Q91" s="202"/>
      <c r="R91" s="202"/>
      <c r="S91" s="40"/>
      <c r="T91" s="118"/>
      <c r="U91" s="129"/>
      <c r="V91" s="43"/>
      <c r="W91" s="40"/>
      <c r="X91" s="158"/>
      <c r="Y91" s="158"/>
      <c r="Z91" s="177"/>
      <c r="AA91" s="177"/>
      <c r="AB91" s="177"/>
      <c r="AC91" s="177"/>
      <c r="AD91" s="158"/>
      <c r="AE91" s="74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</row>
    <row r="92" spans="1:45" ht="16.5" customHeight="1">
      <c r="A92" s="195"/>
      <c r="B92" s="195"/>
      <c r="C92" s="196"/>
      <c r="D92" s="197"/>
      <c r="E92" s="197"/>
      <c r="F92" s="197"/>
      <c r="G92" s="198"/>
      <c r="H92" s="198"/>
      <c r="I92" s="158"/>
      <c r="J92" s="158"/>
      <c r="K92" s="155"/>
      <c r="L92" s="165"/>
      <c r="M92" s="165"/>
      <c r="N92" s="37"/>
      <c r="O92" s="37"/>
      <c r="P92" s="199"/>
      <c r="Q92" s="202"/>
      <c r="R92" s="202"/>
      <c r="S92" s="40"/>
      <c r="T92" s="118"/>
      <c r="U92" s="129"/>
      <c r="V92" s="43"/>
      <c r="W92" s="40"/>
      <c r="X92" s="158"/>
      <c r="Y92" s="158"/>
      <c r="Z92" s="177"/>
      <c r="AA92" s="177"/>
      <c r="AB92" s="177"/>
      <c r="AC92" s="177"/>
      <c r="AD92" s="158"/>
      <c r="AE92" s="74"/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200"/>
      <c r="AQ92" s="200"/>
      <c r="AR92" s="200"/>
      <c r="AS92" s="200"/>
    </row>
    <row r="93" spans="1:45" ht="16.5" customHeight="1">
      <c r="A93" s="195"/>
      <c r="B93" s="195"/>
      <c r="C93" s="196"/>
      <c r="D93" s="197"/>
      <c r="E93" s="197"/>
      <c r="F93" s="197"/>
      <c r="G93" s="198"/>
      <c r="H93" s="198"/>
      <c r="I93" s="158"/>
      <c r="J93" s="158"/>
      <c r="K93" s="155"/>
      <c r="L93" s="165"/>
      <c r="M93" s="165"/>
      <c r="N93" s="37"/>
      <c r="O93" s="37"/>
      <c r="P93" s="199"/>
      <c r="Q93" s="202"/>
      <c r="R93" s="202"/>
      <c r="S93" s="40"/>
      <c r="T93" s="118"/>
      <c r="U93" s="129"/>
      <c r="V93" s="43"/>
      <c r="W93" s="40"/>
      <c r="X93" s="158"/>
      <c r="Y93" s="158"/>
      <c r="Z93" s="177"/>
      <c r="AA93" s="177"/>
      <c r="AB93" s="177"/>
      <c r="AC93" s="177"/>
      <c r="AD93" s="158"/>
      <c r="AE93" s="74"/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</row>
    <row r="94" spans="1:45" ht="16.5" customHeight="1">
      <c r="A94" s="195"/>
      <c r="B94" s="195"/>
      <c r="C94" s="210"/>
      <c r="D94" s="197"/>
      <c r="E94" s="197"/>
      <c r="F94" s="197"/>
      <c r="G94" s="198"/>
      <c r="H94" s="198"/>
      <c r="I94" s="158"/>
      <c r="J94" s="158"/>
      <c r="K94" s="155"/>
      <c r="L94" s="165"/>
      <c r="M94" s="165"/>
      <c r="N94" s="37"/>
      <c r="O94" s="37"/>
      <c r="P94" s="199"/>
      <c r="Q94" s="202"/>
      <c r="R94" s="202"/>
      <c r="S94" s="40"/>
      <c r="T94" s="118"/>
      <c r="U94" s="129"/>
      <c r="V94" s="43"/>
      <c r="W94" s="40"/>
      <c r="X94" s="158"/>
      <c r="Y94" s="158"/>
      <c r="Z94" s="177"/>
      <c r="AA94" s="177"/>
      <c r="AB94" s="177"/>
      <c r="AC94" s="177"/>
      <c r="AD94" s="158"/>
      <c r="AE94" s="74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</row>
    <row r="95" spans="1:45" ht="16.5" customHeight="1">
      <c r="A95" s="195"/>
      <c r="B95" s="195"/>
      <c r="C95" s="211"/>
      <c r="D95" s="197"/>
      <c r="E95" s="197"/>
      <c r="F95" s="197"/>
      <c r="G95" s="198"/>
      <c r="H95" s="198"/>
      <c r="I95" s="158"/>
      <c r="J95" s="158"/>
      <c r="K95" s="155"/>
      <c r="L95" s="165"/>
      <c r="M95" s="165"/>
      <c r="N95" s="37"/>
      <c r="O95" s="37"/>
      <c r="P95" s="199"/>
      <c r="Q95" s="202"/>
      <c r="R95" s="202"/>
      <c r="S95" s="40"/>
      <c r="T95" s="118"/>
      <c r="U95" s="129"/>
      <c r="V95" s="43"/>
      <c r="W95" s="40"/>
      <c r="X95" s="158"/>
      <c r="Y95" s="158"/>
      <c r="Z95" s="177"/>
      <c r="AA95" s="177"/>
      <c r="AB95" s="177"/>
      <c r="AC95" s="177"/>
      <c r="AD95" s="158"/>
      <c r="AE95" s="74"/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200"/>
      <c r="AQ95" s="200"/>
      <c r="AR95" s="200"/>
      <c r="AS95" s="200"/>
    </row>
    <row r="96" spans="1:45" ht="16.5" customHeight="1">
      <c r="A96" s="195"/>
      <c r="B96" s="195"/>
      <c r="C96" s="196"/>
      <c r="D96" s="197"/>
      <c r="E96" s="197"/>
      <c r="F96" s="197"/>
      <c r="G96" s="198"/>
      <c r="H96" s="198"/>
      <c r="I96" s="158"/>
      <c r="J96" s="158"/>
      <c r="K96" s="155"/>
      <c r="L96" s="165"/>
      <c r="M96" s="165"/>
      <c r="N96" s="37"/>
      <c r="O96" s="37"/>
      <c r="P96" s="199"/>
      <c r="Q96" s="202"/>
      <c r="R96" s="202"/>
      <c r="S96" s="40"/>
      <c r="T96" s="118"/>
      <c r="U96" s="129"/>
      <c r="V96" s="43"/>
      <c r="W96" s="40"/>
      <c r="X96" s="158"/>
      <c r="Y96" s="158"/>
      <c r="Z96" s="177"/>
      <c r="AA96" s="177"/>
      <c r="AB96" s="177"/>
      <c r="AC96" s="177"/>
      <c r="AD96" s="158"/>
      <c r="AE96" s="74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</row>
    <row r="97" spans="1:45" ht="16.5" customHeight="1">
      <c r="A97" s="195"/>
      <c r="B97" s="195"/>
      <c r="C97" s="196"/>
      <c r="D97" s="197"/>
      <c r="E97" s="197"/>
      <c r="F97" s="197"/>
      <c r="G97" s="198"/>
      <c r="H97" s="198"/>
      <c r="I97" s="158"/>
      <c r="J97" s="158"/>
      <c r="K97" s="155"/>
      <c r="L97" s="165"/>
      <c r="M97" s="165"/>
      <c r="N97" s="37"/>
      <c r="O97" s="37"/>
      <c r="P97" s="199"/>
      <c r="Q97" s="202"/>
      <c r="R97" s="202"/>
      <c r="S97" s="40"/>
      <c r="T97" s="118"/>
      <c r="U97" s="129"/>
      <c r="V97" s="43"/>
      <c r="W97" s="40"/>
      <c r="X97" s="158"/>
      <c r="Y97" s="158"/>
      <c r="Z97" s="177"/>
      <c r="AA97" s="177"/>
      <c r="AB97" s="177"/>
      <c r="AC97" s="177"/>
      <c r="AD97" s="158"/>
      <c r="AE97" s="74"/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200"/>
      <c r="AQ97" s="200"/>
      <c r="AR97" s="200"/>
      <c r="AS97" s="200"/>
    </row>
    <row r="98" spans="1:45" ht="16.5" customHeight="1">
      <c r="A98" s="195"/>
      <c r="B98" s="195"/>
      <c r="C98" s="196"/>
      <c r="D98" s="197"/>
      <c r="E98" s="197"/>
      <c r="F98" s="197"/>
      <c r="G98" s="198"/>
      <c r="H98" s="198"/>
      <c r="I98" s="158"/>
      <c r="J98" s="158"/>
      <c r="K98" s="155"/>
      <c r="L98" s="165"/>
      <c r="M98" s="165"/>
      <c r="N98" s="37"/>
      <c r="O98" s="37"/>
      <c r="P98" s="199"/>
      <c r="Q98" s="202"/>
      <c r="R98" s="202"/>
      <c r="S98" s="40"/>
      <c r="T98" s="118"/>
      <c r="U98" s="129"/>
      <c r="V98" s="43"/>
      <c r="W98" s="40"/>
      <c r="X98" s="158"/>
      <c r="Y98" s="158"/>
      <c r="Z98" s="177"/>
      <c r="AA98" s="177"/>
      <c r="AB98" s="177"/>
      <c r="AC98" s="177"/>
      <c r="AD98" s="158"/>
      <c r="AE98" s="74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</row>
    <row r="99" spans="1:45" ht="16.5" customHeight="1">
      <c r="A99" s="195"/>
      <c r="B99" s="195"/>
      <c r="C99" s="196"/>
      <c r="D99" s="197"/>
      <c r="E99" s="197"/>
      <c r="F99" s="197"/>
      <c r="G99" s="198"/>
      <c r="H99" s="198"/>
      <c r="I99" s="158"/>
      <c r="J99" s="158"/>
      <c r="K99" s="155"/>
      <c r="L99" s="165"/>
      <c r="M99" s="165"/>
      <c r="N99" s="37"/>
      <c r="O99" s="37"/>
      <c r="P99" s="199"/>
      <c r="Q99" s="202"/>
      <c r="R99" s="202"/>
      <c r="S99" s="40"/>
      <c r="T99" s="118"/>
      <c r="U99" s="129"/>
      <c r="V99" s="129"/>
      <c r="W99" s="40"/>
      <c r="X99" s="158"/>
      <c r="Y99" s="158"/>
      <c r="Z99" s="158"/>
      <c r="AA99" s="177"/>
      <c r="AB99" s="177"/>
      <c r="AC99" s="177"/>
      <c r="AD99" s="158"/>
      <c r="AE99" s="74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</row>
    <row r="100" spans="1:45" ht="16.5" customHeight="1">
      <c r="A100" s="195"/>
      <c r="B100" s="195"/>
      <c r="C100" s="196"/>
      <c r="D100" s="197"/>
      <c r="E100" s="197"/>
      <c r="F100" s="197"/>
      <c r="G100" s="198"/>
      <c r="H100" s="198"/>
      <c r="I100" s="158"/>
      <c r="J100" s="158"/>
      <c r="K100" s="155"/>
      <c r="L100" s="165"/>
      <c r="M100" s="165"/>
      <c r="N100" s="37"/>
      <c r="O100" s="37"/>
      <c r="P100" s="199"/>
      <c r="Q100" s="202"/>
      <c r="R100" s="202"/>
      <c r="S100" s="40"/>
      <c r="T100" s="118"/>
      <c r="U100" s="129"/>
      <c r="V100" s="129"/>
      <c r="W100" s="40"/>
      <c r="X100" s="158"/>
      <c r="Y100" s="158"/>
      <c r="Z100" s="158"/>
      <c r="AA100" s="177"/>
      <c r="AB100" s="177"/>
      <c r="AC100" s="177"/>
      <c r="AD100" s="158"/>
      <c r="AE100" s="74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</row>
    <row r="101" spans="1:45" ht="16.5" customHeight="1">
      <c r="A101" s="195"/>
      <c r="B101" s="195"/>
      <c r="C101" s="196"/>
      <c r="D101" s="197"/>
      <c r="E101" s="197"/>
      <c r="F101" s="197"/>
      <c r="G101" s="198"/>
      <c r="H101" s="198"/>
      <c r="I101" s="158"/>
      <c r="J101" s="158"/>
      <c r="K101" s="155"/>
      <c r="L101" s="165"/>
      <c r="M101" s="165"/>
      <c r="N101" s="37"/>
      <c r="O101" s="37"/>
      <c r="P101" s="199"/>
      <c r="Q101" s="202"/>
      <c r="R101" s="202"/>
      <c r="S101" s="40"/>
      <c r="T101" s="118"/>
      <c r="U101" s="129"/>
      <c r="V101" s="129"/>
      <c r="W101" s="40"/>
      <c r="X101" s="158"/>
      <c r="Y101" s="158"/>
      <c r="Z101" s="158"/>
      <c r="AA101" s="177"/>
      <c r="AB101" s="177"/>
      <c r="AC101" s="177"/>
      <c r="AD101" s="158"/>
      <c r="AE101" s="74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0"/>
      <c r="AQ101" s="200"/>
      <c r="AR101" s="200"/>
      <c r="AS101" s="200"/>
    </row>
    <row r="102" spans="1:45" ht="16.5" customHeight="1">
      <c r="A102" s="195"/>
      <c r="B102" s="195"/>
      <c r="C102" s="196"/>
      <c r="D102" s="197"/>
      <c r="E102" s="197"/>
      <c r="F102" s="197"/>
      <c r="G102" s="198"/>
      <c r="H102" s="198"/>
      <c r="I102" s="158"/>
      <c r="J102" s="158"/>
      <c r="K102" s="155"/>
      <c r="L102" s="165"/>
      <c r="M102" s="165"/>
      <c r="N102" s="37"/>
      <c r="O102" s="37"/>
      <c r="P102" s="199"/>
      <c r="Q102" s="202"/>
      <c r="R102" s="202"/>
      <c r="S102" s="40"/>
      <c r="T102" s="118"/>
      <c r="U102" s="129"/>
      <c r="V102" s="129"/>
      <c r="W102" s="40"/>
      <c r="X102" s="158"/>
      <c r="Y102" s="158"/>
      <c r="Z102" s="158"/>
      <c r="AA102" s="177"/>
      <c r="AB102" s="177"/>
      <c r="AC102" s="177"/>
      <c r="AD102" s="158"/>
      <c r="AE102" s="74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</row>
    <row r="103" spans="1:45" ht="16.5" customHeight="1">
      <c r="A103" s="195"/>
      <c r="B103" s="195"/>
      <c r="C103" s="196"/>
      <c r="D103" s="197"/>
      <c r="E103" s="197"/>
      <c r="F103" s="197"/>
      <c r="G103" s="198"/>
      <c r="H103" s="198"/>
      <c r="I103" s="158"/>
      <c r="J103" s="158"/>
      <c r="K103" s="155"/>
      <c r="L103" s="165"/>
      <c r="M103" s="165"/>
      <c r="N103" s="37"/>
      <c r="O103" s="37"/>
      <c r="P103" s="199"/>
      <c r="Q103" s="202"/>
      <c r="R103" s="202"/>
      <c r="S103" s="40"/>
      <c r="T103" s="118"/>
      <c r="U103" s="129"/>
      <c r="V103" s="43"/>
      <c r="W103" s="40"/>
      <c r="X103" s="158"/>
      <c r="Y103" s="158"/>
      <c r="Z103" s="158"/>
      <c r="AA103" s="177"/>
      <c r="AB103" s="177"/>
      <c r="AC103" s="177"/>
      <c r="AD103" s="158"/>
      <c r="AE103" s="74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</row>
    <row r="104" spans="1:45" ht="16.5" customHeight="1">
      <c r="A104" s="195"/>
      <c r="B104" s="195"/>
      <c r="C104" s="196"/>
      <c r="D104" s="197"/>
      <c r="E104" s="197"/>
      <c r="F104" s="197"/>
      <c r="G104" s="198"/>
      <c r="H104" s="198"/>
      <c r="I104" s="158"/>
      <c r="J104" s="158"/>
      <c r="K104" s="155"/>
      <c r="L104" s="165"/>
      <c r="M104" s="165"/>
      <c r="N104" s="37"/>
      <c r="O104" s="37"/>
      <c r="P104" s="199"/>
      <c r="Q104" s="202"/>
      <c r="R104" s="202"/>
      <c r="S104" s="40"/>
      <c r="T104" s="118"/>
      <c r="U104" s="129"/>
      <c r="V104" s="129"/>
      <c r="W104" s="40"/>
      <c r="X104" s="158"/>
      <c r="Y104" s="158"/>
      <c r="Z104" s="158"/>
      <c r="AA104" s="177"/>
      <c r="AB104" s="177"/>
      <c r="AC104" s="177"/>
      <c r="AD104" s="158"/>
      <c r="AE104" s="74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0"/>
    </row>
    <row r="105" spans="1:45" ht="16.5" customHeight="1">
      <c r="A105" s="195"/>
      <c r="B105" s="195"/>
      <c r="C105" s="196"/>
      <c r="D105" s="197"/>
      <c r="E105" s="197"/>
      <c r="F105" s="197"/>
      <c r="G105" s="198"/>
      <c r="H105" s="198"/>
      <c r="I105" s="158"/>
      <c r="J105" s="158"/>
      <c r="K105" s="155"/>
      <c r="L105" s="165"/>
      <c r="M105" s="165"/>
      <c r="N105" s="37"/>
      <c r="O105" s="37"/>
      <c r="P105" s="199"/>
      <c r="Q105" s="202"/>
      <c r="R105" s="202"/>
      <c r="S105" s="40"/>
      <c r="T105" s="118"/>
      <c r="U105" s="117"/>
      <c r="V105" s="43"/>
      <c r="W105" s="40"/>
      <c r="X105" s="158"/>
      <c r="Y105" s="158"/>
      <c r="Z105" s="158"/>
      <c r="AA105" s="177"/>
      <c r="AB105" s="177"/>
      <c r="AC105" s="177"/>
      <c r="AD105" s="158"/>
      <c r="AE105" s="74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</row>
    <row r="106" spans="1:45" ht="16.5" customHeight="1">
      <c r="A106" s="195"/>
      <c r="B106" s="195"/>
      <c r="C106" s="196"/>
      <c r="D106" s="197"/>
      <c r="E106" s="197"/>
      <c r="F106" s="197"/>
      <c r="G106" s="199"/>
      <c r="H106" s="198"/>
      <c r="I106" s="158"/>
      <c r="J106" s="158"/>
      <c r="K106" s="155"/>
      <c r="L106" s="165"/>
      <c r="M106" s="165"/>
      <c r="N106" s="37"/>
      <c r="O106" s="37"/>
      <c r="P106" s="199"/>
      <c r="Q106" s="202"/>
      <c r="R106" s="202"/>
      <c r="S106" s="40"/>
      <c r="T106" s="118"/>
      <c r="U106" s="129"/>
      <c r="V106" s="129"/>
      <c r="W106" s="40"/>
      <c r="X106" s="199"/>
      <c r="Y106" s="199"/>
      <c r="Z106" s="158"/>
      <c r="AA106" s="177"/>
      <c r="AB106" s="177"/>
      <c r="AC106" s="177"/>
      <c r="AD106" s="158"/>
      <c r="AE106" s="74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</row>
    <row r="107" spans="1:45" ht="16.5" customHeight="1">
      <c r="A107" s="195"/>
      <c r="B107" s="195"/>
      <c r="C107" s="196"/>
      <c r="D107" s="197"/>
      <c r="E107" s="197"/>
      <c r="F107" s="197"/>
      <c r="G107" s="198"/>
      <c r="H107" s="198"/>
      <c r="I107" s="158"/>
      <c r="J107" s="158"/>
      <c r="K107" s="155"/>
      <c r="L107" s="165"/>
      <c r="M107" s="165"/>
      <c r="N107" s="37"/>
      <c r="O107" s="37"/>
      <c r="P107" s="199"/>
      <c r="Q107" s="202"/>
      <c r="R107" s="202"/>
      <c r="S107" s="40"/>
      <c r="T107" s="118"/>
      <c r="U107" s="129"/>
      <c r="V107" s="129"/>
      <c r="W107" s="40"/>
      <c r="X107" s="158"/>
      <c r="Y107" s="158"/>
      <c r="Z107" s="158"/>
      <c r="AA107" s="177"/>
      <c r="AB107" s="177"/>
      <c r="AC107" s="177"/>
      <c r="AD107" s="158"/>
      <c r="AE107" s="74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</row>
    <row r="108" spans="1:45" ht="16.5" customHeight="1">
      <c r="A108" s="195"/>
      <c r="B108" s="195"/>
      <c r="C108" s="196"/>
      <c r="D108" s="165"/>
      <c r="E108" s="165"/>
      <c r="F108" s="165"/>
      <c r="G108" s="198"/>
      <c r="H108" s="198"/>
      <c r="I108" s="158"/>
      <c r="J108" s="158"/>
      <c r="K108" s="155"/>
      <c r="L108" s="165"/>
      <c r="M108" s="165"/>
      <c r="N108" s="37"/>
      <c r="O108" s="37"/>
      <c r="P108" s="199"/>
      <c r="Q108" s="202"/>
      <c r="R108" s="202"/>
      <c r="S108" s="40"/>
      <c r="T108" s="118"/>
      <c r="U108" s="117"/>
      <c r="V108" s="43"/>
      <c r="W108" s="40"/>
      <c r="X108" s="158"/>
      <c r="Y108" s="158"/>
      <c r="Z108" s="158"/>
      <c r="AA108" s="177"/>
      <c r="AB108" s="177"/>
      <c r="AC108" s="177"/>
      <c r="AD108" s="158"/>
      <c r="AE108" s="74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</row>
    <row r="109" spans="1:45" ht="16.5" customHeight="1">
      <c r="A109" s="195"/>
      <c r="B109" s="195"/>
      <c r="C109" s="196"/>
      <c r="D109" s="197"/>
      <c r="E109" s="197"/>
      <c r="F109" s="197"/>
      <c r="G109" s="198"/>
      <c r="H109" s="198"/>
      <c r="I109" s="158"/>
      <c r="J109" s="158"/>
      <c r="K109" s="155"/>
      <c r="L109" s="165"/>
      <c r="M109" s="165"/>
      <c r="N109" s="37"/>
      <c r="O109" s="37"/>
      <c r="P109" s="199"/>
      <c r="Q109" s="202"/>
      <c r="R109" s="202"/>
      <c r="S109" s="40"/>
      <c r="T109" s="118"/>
      <c r="U109" s="117"/>
      <c r="V109" s="129"/>
      <c r="W109" s="40"/>
      <c r="X109" s="158"/>
      <c r="Y109" s="158"/>
      <c r="Z109" s="158"/>
      <c r="AA109" s="177"/>
      <c r="AB109" s="177"/>
      <c r="AC109" s="177"/>
      <c r="AD109" s="158"/>
      <c r="AE109" s="74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200"/>
      <c r="AQ109" s="200"/>
      <c r="AR109" s="200"/>
      <c r="AS109" s="200"/>
    </row>
    <row r="110" spans="1:45" ht="16.5" customHeight="1">
      <c r="A110" s="195"/>
      <c r="B110" s="195"/>
      <c r="C110" s="196"/>
      <c r="D110" s="197"/>
      <c r="E110" s="197"/>
      <c r="F110" s="197"/>
      <c r="G110" s="198"/>
      <c r="H110" s="198"/>
      <c r="I110" s="158"/>
      <c r="J110" s="158"/>
      <c r="K110" s="155"/>
      <c r="L110" s="165"/>
      <c r="M110" s="165"/>
      <c r="N110" s="37"/>
      <c r="O110" s="37"/>
      <c r="P110" s="199"/>
      <c r="Q110" s="202"/>
      <c r="R110" s="202"/>
      <c r="S110" s="40"/>
      <c r="T110" s="118"/>
      <c r="U110" s="129"/>
      <c r="V110" s="129"/>
      <c r="W110" s="40"/>
      <c r="X110" s="158"/>
      <c r="Y110" s="158"/>
      <c r="Z110" s="158"/>
      <c r="AA110" s="177"/>
      <c r="AB110" s="177"/>
      <c r="AC110" s="177"/>
      <c r="AD110" s="158"/>
      <c r="AE110" s="74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</row>
    <row r="111" spans="1:45" ht="16.5" customHeight="1">
      <c r="A111" s="195"/>
      <c r="B111" s="195"/>
      <c r="C111" s="196"/>
      <c r="D111" s="197"/>
      <c r="E111" s="197"/>
      <c r="F111" s="197"/>
      <c r="G111" s="198"/>
      <c r="H111" s="198"/>
      <c r="I111" s="158"/>
      <c r="J111" s="158"/>
      <c r="K111" s="155"/>
      <c r="L111" s="165"/>
      <c r="M111" s="165"/>
      <c r="N111" s="37"/>
      <c r="O111" s="37"/>
      <c r="P111" s="199"/>
      <c r="Q111" s="202"/>
      <c r="R111" s="202"/>
      <c r="S111" s="40"/>
      <c r="T111" s="118"/>
      <c r="U111" s="129"/>
      <c r="V111" s="129"/>
      <c r="W111" s="40"/>
      <c r="X111" s="158"/>
      <c r="Y111" s="158"/>
      <c r="Z111" s="158"/>
      <c r="AA111" s="177"/>
      <c r="AB111" s="177"/>
      <c r="AC111" s="177"/>
      <c r="AD111" s="158"/>
      <c r="AE111" s="74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</row>
    <row r="112" spans="1:45" ht="16.5" customHeight="1">
      <c r="A112" s="195"/>
      <c r="B112" s="195"/>
      <c r="C112" s="196"/>
      <c r="D112" s="197"/>
      <c r="E112" s="197"/>
      <c r="F112" s="197"/>
      <c r="G112" s="198"/>
      <c r="H112" s="198"/>
      <c r="I112" s="177"/>
      <c r="J112" s="177"/>
      <c r="K112" s="177"/>
      <c r="L112" s="155"/>
      <c r="M112" s="155"/>
      <c r="N112" s="177"/>
      <c r="O112" s="177"/>
      <c r="P112" s="199"/>
      <c r="Q112" s="202"/>
      <c r="R112" s="202"/>
      <c r="S112" s="40"/>
      <c r="T112" s="118"/>
      <c r="U112" s="117"/>
      <c r="V112" s="129"/>
      <c r="W112" s="40"/>
      <c r="X112" s="158"/>
      <c r="Y112" s="158"/>
      <c r="Z112" s="158"/>
      <c r="AA112" s="177"/>
      <c r="AB112" s="177"/>
      <c r="AC112" s="177"/>
      <c r="AD112" s="158"/>
      <c r="AE112" s="74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</row>
    <row r="113" spans="1:45" ht="16.5" customHeight="1">
      <c r="A113" s="195"/>
      <c r="B113" s="195"/>
      <c r="C113" s="196"/>
      <c r="D113" s="197"/>
      <c r="E113" s="197"/>
      <c r="F113" s="197"/>
      <c r="G113" s="198"/>
      <c r="H113" s="198"/>
      <c r="I113" s="177"/>
      <c r="J113" s="177"/>
      <c r="K113" s="177"/>
      <c r="L113" s="165"/>
      <c r="M113" s="165"/>
      <c r="N113" s="177"/>
      <c r="O113" s="177"/>
      <c r="P113" s="199"/>
      <c r="Q113" s="202"/>
      <c r="R113" s="202"/>
      <c r="S113" s="40"/>
      <c r="T113" s="150"/>
      <c r="U113" s="129"/>
      <c r="V113" s="129"/>
      <c r="W113" s="40"/>
      <c r="X113" s="158"/>
      <c r="Y113" s="158"/>
      <c r="Z113" s="158"/>
      <c r="AA113" s="177"/>
      <c r="AB113" s="177"/>
      <c r="AC113" s="177"/>
      <c r="AD113" s="158"/>
      <c r="AE113" s="74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</row>
    <row r="114" spans="1:45" ht="16.5" customHeight="1">
      <c r="A114" s="195"/>
      <c r="B114" s="195"/>
      <c r="C114" s="196"/>
      <c r="D114" s="197"/>
      <c r="E114" s="197"/>
      <c r="F114" s="197"/>
      <c r="G114" s="198"/>
      <c r="H114" s="198"/>
      <c r="I114" s="158"/>
      <c r="J114" s="158"/>
      <c r="K114" s="155"/>
      <c r="L114" s="165"/>
      <c r="M114" s="165"/>
      <c r="N114" s="155"/>
      <c r="O114" s="155"/>
      <c r="P114" s="199"/>
      <c r="Q114" s="163"/>
      <c r="R114" s="163"/>
      <c r="S114" s="40"/>
      <c r="T114" s="118"/>
      <c r="U114" s="129"/>
      <c r="V114" s="129"/>
      <c r="W114" s="40"/>
      <c r="X114" s="158"/>
      <c r="Y114" s="158"/>
      <c r="Z114" s="158"/>
      <c r="AA114" s="177"/>
      <c r="AB114" s="177"/>
      <c r="AC114" s="177"/>
      <c r="AD114" s="158"/>
      <c r="AE114" s="74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</row>
    <row r="115" spans="1:45" ht="16.5" customHeight="1">
      <c r="A115" s="195"/>
      <c r="B115" s="195"/>
      <c r="C115" s="196"/>
      <c r="D115" s="197"/>
      <c r="E115" s="197"/>
      <c r="F115" s="197"/>
      <c r="G115" s="198"/>
      <c r="H115" s="198"/>
      <c r="I115" s="158"/>
      <c r="J115" s="158"/>
      <c r="K115" s="155"/>
      <c r="L115" s="165"/>
      <c r="M115" s="165"/>
      <c r="N115" s="155"/>
      <c r="O115" s="155"/>
      <c r="P115" s="199"/>
      <c r="Q115" s="163"/>
      <c r="R115" s="163"/>
      <c r="S115" s="40"/>
      <c r="T115" s="118"/>
      <c r="U115" s="129"/>
      <c r="V115" s="129"/>
      <c r="W115" s="40"/>
      <c r="X115" s="158"/>
      <c r="Y115" s="158"/>
      <c r="Z115" s="158"/>
      <c r="AA115" s="177"/>
      <c r="AB115" s="177"/>
      <c r="AC115" s="177"/>
      <c r="AD115" s="158"/>
      <c r="AE115" s="74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</row>
    <row r="116" spans="1:45" ht="16.5" customHeight="1">
      <c r="A116" s="195"/>
      <c r="B116" s="195"/>
      <c r="C116" s="196"/>
      <c r="D116" s="197"/>
      <c r="E116" s="197"/>
      <c r="F116" s="197"/>
      <c r="G116" s="198"/>
      <c r="H116" s="198"/>
      <c r="I116" s="158"/>
      <c r="J116" s="158"/>
      <c r="K116" s="155"/>
      <c r="L116" s="165"/>
      <c r="M116" s="165"/>
      <c r="N116" s="155"/>
      <c r="O116" s="155"/>
      <c r="P116" s="199"/>
      <c r="Q116" s="163"/>
      <c r="R116" s="163"/>
      <c r="S116" s="40"/>
      <c r="T116" s="118"/>
      <c r="U116" s="129"/>
      <c r="V116" s="129"/>
      <c r="W116" s="40"/>
      <c r="X116" s="158"/>
      <c r="Y116" s="158"/>
      <c r="Z116" s="158"/>
      <c r="AA116" s="177"/>
      <c r="AB116" s="177"/>
      <c r="AC116" s="177"/>
      <c r="AD116" s="158"/>
      <c r="AE116" s="74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</row>
    <row r="117" spans="1:45" ht="16.5" customHeight="1">
      <c r="A117" s="195"/>
      <c r="B117" s="195"/>
      <c r="C117" s="196"/>
      <c r="D117" s="197"/>
      <c r="E117" s="197"/>
      <c r="F117" s="197"/>
      <c r="G117" s="198"/>
      <c r="H117" s="198"/>
      <c r="I117" s="158"/>
      <c r="J117" s="158"/>
      <c r="K117" s="155"/>
      <c r="L117" s="165"/>
      <c r="M117" s="165"/>
      <c r="N117" s="155"/>
      <c r="O117" s="155"/>
      <c r="P117" s="199"/>
      <c r="Q117" s="163"/>
      <c r="R117" s="163"/>
      <c r="S117" s="40"/>
      <c r="T117" s="118"/>
      <c r="U117" s="129"/>
      <c r="V117" s="129"/>
      <c r="W117" s="40"/>
      <c r="X117" s="158"/>
      <c r="Y117" s="158"/>
      <c r="Z117" s="158"/>
      <c r="AA117" s="177"/>
      <c r="AB117" s="177"/>
      <c r="AC117" s="177"/>
      <c r="AD117" s="158"/>
      <c r="AE117" s="74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</row>
    <row r="118" spans="1:45" ht="16.5" customHeight="1">
      <c r="A118" s="195"/>
      <c r="B118" s="195"/>
      <c r="C118" s="196"/>
      <c r="D118" s="197"/>
      <c r="E118" s="197"/>
      <c r="F118" s="197"/>
      <c r="G118" s="198"/>
      <c r="H118" s="198"/>
      <c r="I118" s="158"/>
      <c r="J118" s="158"/>
      <c r="K118" s="155"/>
      <c r="L118" s="165"/>
      <c r="M118" s="165"/>
      <c r="N118" s="155"/>
      <c r="O118" s="155"/>
      <c r="P118" s="199"/>
      <c r="Q118" s="163"/>
      <c r="R118" s="163"/>
      <c r="S118" s="40"/>
      <c r="T118" s="118"/>
      <c r="U118" s="129"/>
      <c r="V118" s="129"/>
      <c r="W118" s="40"/>
      <c r="X118" s="158"/>
      <c r="Y118" s="158"/>
      <c r="Z118" s="158"/>
      <c r="AA118" s="45"/>
      <c r="AB118" s="45"/>
      <c r="AC118" s="45"/>
      <c r="AD118" s="158"/>
      <c r="AE118" s="74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</row>
    <row r="119" spans="1:45" ht="16.5" customHeight="1">
      <c r="A119" s="212"/>
      <c r="B119" s="212"/>
      <c r="C119" s="196"/>
      <c r="D119" s="197"/>
      <c r="E119" s="197"/>
      <c r="F119" s="197"/>
      <c r="G119" s="198"/>
      <c r="H119" s="198"/>
      <c r="I119" s="158"/>
      <c r="J119" s="158"/>
      <c r="K119" s="155"/>
      <c r="L119" s="165"/>
      <c r="M119" s="165"/>
      <c r="N119" s="37"/>
      <c r="O119" s="37"/>
      <c r="P119" s="199"/>
      <c r="Q119" s="163"/>
      <c r="R119" s="163"/>
      <c r="S119" s="40"/>
      <c r="T119" s="118"/>
      <c r="U119" s="129"/>
      <c r="V119" s="129"/>
      <c r="W119" s="40"/>
      <c r="X119" s="158"/>
      <c r="Y119" s="158"/>
      <c r="Z119" s="158"/>
      <c r="AA119" s="177"/>
      <c r="AB119" s="177"/>
      <c r="AC119" s="177"/>
      <c r="AD119" s="158"/>
      <c r="AE119" s="74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</row>
    <row r="120" spans="1:45" ht="16.5" customHeight="1">
      <c r="A120" s="212"/>
      <c r="B120" s="212"/>
      <c r="C120" s="196"/>
      <c r="D120" s="197"/>
      <c r="E120" s="197"/>
      <c r="F120" s="197"/>
      <c r="G120" s="198"/>
      <c r="H120" s="198"/>
      <c r="I120" s="158"/>
      <c r="J120" s="158"/>
      <c r="K120" s="155"/>
      <c r="L120" s="165"/>
      <c r="M120" s="165"/>
      <c r="N120" s="155"/>
      <c r="O120" s="155"/>
      <c r="P120" s="199"/>
      <c r="Q120" s="163"/>
      <c r="R120" s="163"/>
      <c r="S120" s="40"/>
      <c r="T120" s="118"/>
      <c r="U120" s="129"/>
      <c r="V120" s="129"/>
      <c r="W120" s="40"/>
      <c r="X120" s="158"/>
      <c r="Y120" s="158"/>
      <c r="Z120" s="158"/>
      <c r="AA120" s="177"/>
      <c r="AB120" s="177"/>
      <c r="AC120" s="177"/>
      <c r="AD120" s="158"/>
      <c r="AE120" s="74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</row>
    <row r="121" spans="1:45" ht="16.5" customHeight="1">
      <c r="A121" s="212"/>
      <c r="B121" s="212"/>
      <c r="C121" s="196"/>
      <c r="D121" s="197"/>
      <c r="E121" s="197"/>
      <c r="F121" s="197"/>
      <c r="G121" s="198"/>
      <c r="H121" s="198"/>
      <c r="I121" s="158"/>
      <c r="J121" s="158"/>
      <c r="K121" s="155"/>
      <c r="L121" s="165"/>
      <c r="M121" s="165"/>
      <c r="N121" s="155"/>
      <c r="O121" s="155"/>
      <c r="P121" s="199"/>
      <c r="Q121" s="163"/>
      <c r="R121" s="163"/>
      <c r="S121" s="40"/>
      <c r="T121" s="118"/>
      <c r="U121" s="129"/>
      <c r="V121" s="129"/>
      <c r="W121" s="40"/>
      <c r="X121" s="158"/>
      <c r="Y121" s="158"/>
      <c r="Z121" s="158"/>
      <c r="AA121" s="177"/>
      <c r="AB121" s="177"/>
      <c r="AC121" s="177"/>
      <c r="AD121" s="158"/>
      <c r="AE121" s="74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</row>
    <row r="122" spans="1:45" ht="16.5" customHeight="1">
      <c r="A122" s="212"/>
      <c r="B122" s="212"/>
      <c r="C122" s="196"/>
      <c r="D122" s="197"/>
      <c r="E122" s="197"/>
      <c r="F122" s="197"/>
      <c r="G122" s="198"/>
      <c r="H122" s="198"/>
      <c r="I122" s="158"/>
      <c r="J122" s="158"/>
      <c r="K122" s="155"/>
      <c r="L122" s="165"/>
      <c r="M122" s="165"/>
      <c r="N122" s="37"/>
      <c r="O122" s="37"/>
      <c r="P122" s="199"/>
      <c r="Q122" s="163"/>
      <c r="R122" s="163"/>
      <c r="S122" s="40"/>
      <c r="T122" s="118"/>
      <c r="U122" s="117"/>
      <c r="V122" s="129"/>
      <c r="W122" s="40"/>
      <c r="X122" s="158"/>
      <c r="Y122" s="158"/>
      <c r="Z122" s="158"/>
      <c r="AA122" s="177"/>
      <c r="AB122" s="177"/>
      <c r="AC122" s="177"/>
      <c r="AD122" s="158"/>
      <c r="AE122" s="74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</row>
    <row r="123" spans="1:45" ht="16.5" customHeight="1">
      <c r="A123" s="212"/>
      <c r="B123" s="212"/>
      <c r="C123" s="196"/>
      <c r="D123" s="197"/>
      <c r="E123" s="197"/>
      <c r="F123" s="197"/>
      <c r="G123" s="198"/>
      <c r="H123" s="198"/>
      <c r="I123" s="158"/>
      <c r="J123" s="158"/>
      <c r="K123" s="155"/>
      <c r="L123" s="165"/>
      <c r="M123" s="165"/>
      <c r="N123" s="37"/>
      <c r="O123" s="37"/>
      <c r="P123" s="199"/>
      <c r="Q123" s="163"/>
      <c r="R123" s="163"/>
      <c r="S123" s="40"/>
      <c r="T123" s="118"/>
      <c r="U123" s="117"/>
      <c r="V123" s="43"/>
      <c r="W123" s="40"/>
      <c r="X123" s="158"/>
      <c r="Y123" s="158"/>
      <c r="Z123" s="158"/>
      <c r="AA123" s="177"/>
      <c r="AB123" s="177"/>
      <c r="AC123" s="177"/>
      <c r="AD123" s="158"/>
      <c r="AE123" s="74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</row>
    <row r="124" spans="1:45" ht="16.5" customHeight="1">
      <c r="A124" s="212"/>
      <c r="B124" s="212"/>
      <c r="C124" s="196"/>
      <c r="D124" s="197"/>
      <c r="E124" s="197"/>
      <c r="F124" s="197"/>
      <c r="G124" s="199"/>
      <c r="H124" s="199"/>
      <c r="I124" s="158"/>
      <c r="J124" s="158"/>
      <c r="K124" s="155"/>
      <c r="L124" s="165"/>
      <c r="M124" s="165"/>
      <c r="N124" s="155"/>
      <c r="O124" s="155"/>
      <c r="P124" s="199"/>
      <c r="Q124" s="163"/>
      <c r="R124" s="163"/>
      <c r="S124" s="40"/>
      <c r="T124" s="118"/>
      <c r="U124" s="117"/>
      <c r="V124" s="43"/>
      <c r="W124" s="40"/>
      <c r="X124" s="158"/>
      <c r="Y124" s="158"/>
      <c r="Z124" s="158"/>
      <c r="AA124" s="177"/>
      <c r="AB124" s="177"/>
      <c r="AC124" s="177"/>
      <c r="AD124" s="158"/>
      <c r="AE124" s="74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</row>
    <row r="125" spans="1:45" ht="16.5" customHeight="1">
      <c r="A125" s="195"/>
      <c r="B125" s="195"/>
      <c r="C125" s="196"/>
      <c r="D125" s="197"/>
      <c r="E125" s="197"/>
      <c r="F125" s="197"/>
      <c r="G125" s="198"/>
      <c r="H125" s="198"/>
      <c r="I125" s="158"/>
      <c r="J125" s="158"/>
      <c r="K125" s="155"/>
      <c r="L125" s="165"/>
      <c r="M125" s="165"/>
      <c r="N125" s="37"/>
      <c r="O125" s="37"/>
      <c r="P125" s="199"/>
      <c r="Q125" s="163"/>
      <c r="R125" s="163"/>
      <c r="S125" s="40"/>
      <c r="T125" s="118"/>
      <c r="U125" s="117"/>
      <c r="V125" s="43"/>
      <c r="W125" s="40"/>
      <c r="X125" s="158"/>
      <c r="Y125" s="158"/>
      <c r="Z125" s="158"/>
      <c r="AA125" s="177"/>
      <c r="AB125" s="177"/>
      <c r="AC125" s="177"/>
      <c r="AD125" s="158"/>
      <c r="AE125" s="74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</row>
    <row r="126" spans="1:45" ht="16.5" customHeight="1">
      <c r="A126" s="195"/>
      <c r="B126" s="195"/>
      <c r="C126" s="196"/>
      <c r="D126" s="197"/>
      <c r="E126" s="197"/>
      <c r="F126" s="197"/>
      <c r="G126" s="196"/>
      <c r="H126" s="196"/>
      <c r="I126" s="158"/>
      <c r="J126" s="158"/>
      <c r="K126" s="155"/>
      <c r="L126" s="165"/>
      <c r="M126" s="165"/>
      <c r="N126" s="37"/>
      <c r="O126" s="37"/>
      <c r="P126" s="199"/>
      <c r="Q126" s="118"/>
      <c r="R126" s="118"/>
      <c r="S126" s="40"/>
      <c r="T126" s="213"/>
      <c r="U126" s="117"/>
      <c r="V126" s="43"/>
      <c r="W126" s="40"/>
      <c r="X126" s="158"/>
      <c r="Y126" s="158"/>
      <c r="Z126" s="177"/>
      <c r="AA126" s="177"/>
      <c r="AB126" s="177"/>
      <c r="AC126" s="177"/>
      <c r="AD126" s="158"/>
      <c r="AE126" s="74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</row>
    <row r="127" spans="1:45" ht="16.5" customHeight="1">
      <c r="A127" s="195"/>
      <c r="B127" s="195"/>
      <c r="C127" s="196"/>
      <c r="D127" s="165"/>
      <c r="E127" s="165"/>
      <c r="F127" s="165"/>
      <c r="G127" s="198"/>
      <c r="H127" s="198"/>
      <c r="I127" s="177"/>
      <c r="J127" s="177"/>
      <c r="K127" s="155"/>
      <c r="L127" s="165"/>
      <c r="M127" s="165"/>
      <c r="N127" s="37"/>
      <c r="O127" s="37"/>
      <c r="P127" s="199"/>
      <c r="Q127" s="163"/>
      <c r="R127" s="163"/>
      <c r="S127" s="40"/>
      <c r="T127" s="118"/>
      <c r="U127" s="214"/>
      <c r="V127" s="43"/>
      <c r="W127" s="40"/>
      <c r="X127" s="215"/>
      <c r="Y127" s="215"/>
      <c r="Z127" s="158"/>
      <c r="AA127" s="177"/>
      <c r="AB127" s="158"/>
      <c r="AC127" s="177"/>
      <c r="AD127" s="158"/>
      <c r="AE127" s="74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</row>
    <row r="128" spans="1:45" ht="16.5" customHeight="1">
      <c r="A128" s="195"/>
      <c r="B128" s="195"/>
      <c r="C128" s="196"/>
      <c r="D128" s="165"/>
      <c r="E128" s="165"/>
      <c r="F128" s="165"/>
      <c r="G128" s="198"/>
      <c r="H128" s="198"/>
      <c r="I128" s="158"/>
      <c r="J128" s="158"/>
      <c r="K128" s="155"/>
      <c r="L128" s="165"/>
      <c r="M128" s="165"/>
      <c r="N128" s="37"/>
      <c r="O128" s="37"/>
      <c r="P128" s="199"/>
      <c r="Q128" s="163"/>
      <c r="R128" s="163"/>
      <c r="S128" s="40"/>
      <c r="T128" s="118"/>
      <c r="U128" s="214"/>
      <c r="V128" s="43"/>
      <c r="W128" s="40"/>
      <c r="X128" s="177"/>
      <c r="Y128" s="177"/>
      <c r="Z128" s="158"/>
      <c r="AA128" s="177"/>
      <c r="AB128" s="158"/>
      <c r="AC128" s="177"/>
      <c r="AD128" s="158"/>
      <c r="AE128" s="74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</row>
    <row r="129" spans="1:45" ht="16.5" customHeight="1">
      <c r="A129" s="195"/>
      <c r="B129" s="195"/>
      <c r="C129" s="196"/>
      <c r="D129" s="165"/>
      <c r="E129" s="165"/>
      <c r="F129" s="165"/>
      <c r="G129" s="198"/>
      <c r="H129" s="198"/>
      <c r="I129" s="158"/>
      <c r="J129" s="158"/>
      <c r="K129" s="155"/>
      <c r="L129" s="165"/>
      <c r="M129" s="165"/>
      <c r="N129" s="37"/>
      <c r="O129" s="37"/>
      <c r="P129" s="199"/>
      <c r="Q129" s="163"/>
      <c r="R129" s="163"/>
      <c r="S129" s="40"/>
      <c r="T129" s="118"/>
      <c r="U129" s="214"/>
      <c r="V129" s="43"/>
      <c r="W129" s="40"/>
      <c r="X129" s="177"/>
      <c r="Y129" s="177"/>
      <c r="Z129" s="158"/>
      <c r="AA129" s="177"/>
      <c r="AB129" s="158"/>
      <c r="AC129" s="177"/>
      <c r="AD129" s="158"/>
      <c r="AE129" s="74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</row>
    <row r="130" spans="1:45" ht="16.5" customHeight="1">
      <c r="A130" s="195"/>
      <c r="B130" s="195"/>
      <c r="C130" s="196"/>
      <c r="D130" s="165"/>
      <c r="E130" s="165"/>
      <c r="F130" s="165"/>
      <c r="G130" s="198"/>
      <c r="H130" s="198"/>
      <c r="I130" s="158"/>
      <c r="J130" s="158"/>
      <c r="K130" s="155"/>
      <c r="L130" s="165"/>
      <c r="M130" s="165"/>
      <c r="N130" s="37"/>
      <c r="O130" s="37"/>
      <c r="P130" s="199"/>
      <c r="Q130" s="163"/>
      <c r="R130" s="163"/>
      <c r="S130" s="40"/>
      <c r="T130" s="118"/>
      <c r="U130" s="214"/>
      <c r="V130" s="43"/>
      <c r="W130" s="40"/>
      <c r="X130" s="158"/>
      <c r="Y130" s="158"/>
      <c r="Z130" s="158"/>
      <c r="AA130" s="177"/>
      <c r="AB130" s="158"/>
      <c r="AC130" s="177"/>
      <c r="AD130" s="158"/>
      <c r="AE130" s="74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</row>
    <row r="131" spans="1:45" ht="16.5" customHeight="1">
      <c r="A131" s="216"/>
      <c r="B131" s="216"/>
      <c r="C131" s="217"/>
      <c r="D131" s="176"/>
      <c r="E131" s="176"/>
      <c r="F131" s="176"/>
      <c r="G131" s="162"/>
      <c r="H131" s="162"/>
      <c r="I131" s="218"/>
      <c r="J131" s="218"/>
      <c r="K131" s="219"/>
      <c r="L131" s="219"/>
      <c r="M131" s="219"/>
      <c r="N131" s="45"/>
      <c r="O131" s="45"/>
      <c r="P131" s="38"/>
      <c r="Q131" s="220"/>
      <c r="R131" s="220"/>
      <c r="S131" s="45"/>
      <c r="T131" s="220"/>
      <c r="U131" s="221"/>
      <c r="V131" s="213"/>
      <c r="W131" s="45"/>
      <c r="X131" s="218"/>
      <c r="Y131" s="218"/>
      <c r="Z131" s="218"/>
      <c r="AA131" s="219"/>
      <c r="AB131" s="219"/>
      <c r="AC131" s="219"/>
      <c r="AD131" s="45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</row>
    <row r="132" spans="1:45" ht="16.5" customHeight="1">
      <c r="A132" s="216"/>
      <c r="B132" s="216"/>
      <c r="C132" s="217"/>
      <c r="D132" s="176"/>
      <c r="E132" s="176"/>
      <c r="F132" s="176"/>
      <c r="G132" s="162"/>
      <c r="H132" s="162"/>
      <c r="I132" s="218"/>
      <c r="J132" s="218"/>
      <c r="K132" s="219"/>
      <c r="L132" s="219"/>
      <c r="M132" s="219"/>
      <c r="N132" s="45"/>
      <c r="O132" s="45"/>
      <c r="P132" s="38"/>
      <c r="Q132" s="220"/>
      <c r="R132" s="220"/>
      <c r="S132" s="45"/>
      <c r="T132" s="220"/>
      <c r="U132" s="221"/>
      <c r="V132" s="213"/>
      <c r="W132" s="45"/>
      <c r="X132" s="218"/>
      <c r="Y132" s="218"/>
      <c r="Z132" s="218"/>
      <c r="AA132" s="219"/>
      <c r="AB132" s="219"/>
      <c r="AC132" s="219"/>
      <c r="AD132" s="45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</row>
    <row r="133" spans="1:45" ht="16.5" customHeight="1">
      <c r="A133" s="216"/>
      <c r="B133" s="216"/>
      <c r="C133" s="217"/>
      <c r="D133" s="176"/>
      <c r="E133" s="176"/>
      <c r="F133" s="176"/>
      <c r="G133" s="162"/>
      <c r="H133" s="162"/>
      <c r="I133" s="218"/>
      <c r="J133" s="218"/>
      <c r="K133" s="219"/>
      <c r="L133" s="219"/>
      <c r="M133" s="219"/>
      <c r="N133" s="45"/>
      <c r="O133" s="45"/>
      <c r="P133" s="38"/>
      <c r="Q133" s="220"/>
      <c r="R133" s="220"/>
      <c r="S133" s="45"/>
      <c r="T133" s="220"/>
      <c r="U133" s="221"/>
      <c r="V133" s="213"/>
      <c r="W133" s="45"/>
      <c r="X133" s="218"/>
      <c r="Y133" s="218"/>
      <c r="Z133" s="218"/>
      <c r="AA133" s="219"/>
      <c r="AB133" s="219"/>
      <c r="AC133" s="219"/>
      <c r="AD133" s="45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</row>
    <row r="134" spans="1:45" ht="16.5" customHeight="1">
      <c r="A134" s="216"/>
      <c r="B134" s="216"/>
      <c r="C134" s="217"/>
      <c r="D134" s="176"/>
      <c r="E134" s="176"/>
      <c r="F134" s="176"/>
      <c r="G134" s="162"/>
      <c r="H134" s="162"/>
      <c r="I134" s="218"/>
      <c r="J134" s="218"/>
      <c r="K134" s="219"/>
      <c r="L134" s="219"/>
      <c r="M134" s="219"/>
      <c r="N134" s="45"/>
      <c r="O134" s="45"/>
      <c r="P134" s="38"/>
      <c r="Q134" s="220"/>
      <c r="R134" s="220"/>
      <c r="S134" s="45"/>
      <c r="T134" s="220"/>
      <c r="U134" s="221"/>
      <c r="V134" s="213"/>
      <c r="W134" s="45"/>
      <c r="X134" s="218"/>
      <c r="Y134" s="218"/>
      <c r="Z134" s="218"/>
      <c r="AA134" s="219"/>
      <c r="AB134" s="219"/>
      <c r="AC134" s="219"/>
      <c r="AD134" s="45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</row>
    <row r="135" spans="1:45" ht="16.5" customHeight="1">
      <c r="A135" s="216"/>
      <c r="B135" s="216"/>
      <c r="C135" s="217"/>
      <c r="D135" s="176"/>
      <c r="E135" s="176"/>
      <c r="F135" s="176"/>
      <c r="G135" s="162"/>
      <c r="H135" s="162"/>
      <c r="I135" s="218"/>
      <c r="J135" s="218"/>
      <c r="K135" s="219"/>
      <c r="L135" s="219"/>
      <c r="M135" s="219"/>
      <c r="N135" s="45"/>
      <c r="O135" s="45"/>
      <c r="P135" s="38"/>
      <c r="Q135" s="220"/>
      <c r="R135" s="220"/>
      <c r="S135" s="45"/>
      <c r="T135" s="220"/>
      <c r="U135" s="221"/>
      <c r="V135" s="213"/>
      <c r="W135" s="45"/>
      <c r="X135" s="218"/>
      <c r="Y135" s="218"/>
      <c r="Z135" s="218"/>
      <c r="AA135" s="219"/>
      <c r="AB135" s="219"/>
      <c r="AC135" s="219"/>
      <c r="AD135" s="45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</row>
    <row r="136" spans="1:45" ht="16.5" customHeight="1">
      <c r="A136" s="216"/>
      <c r="B136" s="216"/>
      <c r="C136" s="217"/>
      <c r="D136" s="176"/>
      <c r="E136" s="176"/>
      <c r="F136" s="176"/>
      <c r="G136" s="162"/>
      <c r="H136" s="162"/>
      <c r="I136" s="218"/>
      <c r="J136" s="218"/>
      <c r="K136" s="219"/>
      <c r="L136" s="219"/>
      <c r="M136" s="219"/>
      <c r="N136" s="45"/>
      <c r="O136" s="45"/>
      <c r="P136" s="38"/>
      <c r="Q136" s="220"/>
      <c r="R136" s="220"/>
      <c r="S136" s="45"/>
      <c r="T136" s="220"/>
      <c r="U136" s="221"/>
      <c r="V136" s="213"/>
      <c r="W136" s="45"/>
      <c r="X136" s="218"/>
      <c r="Y136" s="218"/>
      <c r="Z136" s="218"/>
      <c r="AA136" s="45"/>
      <c r="AB136" s="45"/>
      <c r="AC136" s="45"/>
      <c r="AD136" s="45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</row>
    <row r="137" spans="1:45" ht="16.5" customHeight="1">
      <c r="A137" s="195"/>
      <c r="B137" s="195"/>
      <c r="C137" s="217"/>
      <c r="D137" s="33"/>
      <c r="E137" s="33"/>
      <c r="F137" s="33"/>
      <c r="G137" s="162"/>
      <c r="H137" s="162"/>
      <c r="I137" s="218"/>
      <c r="J137" s="218"/>
      <c r="K137" s="219"/>
      <c r="L137" s="219"/>
      <c r="M137" s="219"/>
      <c r="N137" s="45"/>
      <c r="O137" s="45"/>
      <c r="P137" s="38"/>
      <c r="Q137" s="220"/>
      <c r="R137" s="220"/>
      <c r="S137" s="45"/>
      <c r="T137" s="220"/>
      <c r="U137" s="221"/>
      <c r="V137" s="213"/>
      <c r="W137" s="45"/>
      <c r="X137" s="218"/>
      <c r="Y137" s="218"/>
      <c r="Z137" s="218"/>
      <c r="AA137" s="219"/>
      <c r="AB137" s="219"/>
      <c r="AC137" s="219"/>
      <c r="AD137" s="158"/>
      <c r="AE137" s="74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</row>
    <row r="138" spans="1:45" ht="16.5" customHeight="1">
      <c r="A138" s="195"/>
      <c r="B138" s="195"/>
      <c r="C138" s="196"/>
      <c r="D138" s="165"/>
      <c r="E138" s="165"/>
      <c r="F138" s="165"/>
      <c r="G138" s="198"/>
      <c r="H138" s="198"/>
      <c r="I138" s="158"/>
      <c r="J138" s="158"/>
      <c r="K138" s="155"/>
      <c r="L138" s="165"/>
      <c r="M138" s="165"/>
      <c r="N138" s="37"/>
      <c r="O138" s="37"/>
      <c r="P138" s="199"/>
      <c r="Q138" s="163"/>
      <c r="R138" s="163"/>
      <c r="S138" s="40"/>
      <c r="T138" s="118"/>
      <c r="U138" s="214"/>
      <c r="V138" s="43"/>
      <c r="W138" s="40"/>
      <c r="X138" s="158"/>
      <c r="Y138" s="158"/>
      <c r="Z138" s="158"/>
      <c r="AA138" s="177"/>
      <c r="AB138" s="158"/>
      <c r="AC138" s="177"/>
      <c r="AD138" s="158"/>
      <c r="AE138" s="74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</row>
    <row r="139" spans="1:45" ht="16.5" customHeight="1">
      <c r="A139" s="195"/>
      <c r="B139" s="195"/>
      <c r="C139" s="196"/>
      <c r="D139" s="196"/>
      <c r="E139" s="196"/>
      <c r="F139" s="196"/>
      <c r="G139" s="198"/>
      <c r="H139" s="198"/>
      <c r="I139" s="158"/>
      <c r="J139" s="158"/>
      <c r="K139" s="155"/>
      <c r="L139" s="165"/>
      <c r="M139" s="165"/>
      <c r="N139" s="37"/>
      <c r="O139" s="37"/>
      <c r="P139" s="199"/>
      <c r="Q139" s="163"/>
      <c r="R139" s="163"/>
      <c r="S139" s="40"/>
      <c r="T139" s="118"/>
      <c r="U139" s="214"/>
      <c r="V139" s="43"/>
      <c r="W139" s="40"/>
      <c r="X139" s="158"/>
      <c r="Y139" s="158"/>
      <c r="Z139" s="158"/>
      <c r="AA139" s="177"/>
      <c r="AB139" s="158"/>
      <c r="AC139" s="177"/>
      <c r="AD139" s="158"/>
      <c r="AE139" s="74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</row>
    <row r="140" spans="1:45" ht="16.5" customHeight="1">
      <c r="A140" s="195"/>
      <c r="B140" s="195"/>
      <c r="C140" s="196"/>
      <c r="D140" s="196"/>
      <c r="E140" s="196"/>
      <c r="F140" s="196"/>
      <c r="G140" s="198"/>
      <c r="H140" s="198"/>
      <c r="I140" s="158"/>
      <c r="J140" s="158"/>
      <c r="K140" s="155"/>
      <c r="L140" s="165"/>
      <c r="M140" s="165"/>
      <c r="N140" s="37"/>
      <c r="O140" s="37"/>
      <c r="P140" s="199"/>
      <c r="Q140" s="163"/>
      <c r="R140" s="163"/>
      <c r="S140" s="40"/>
      <c r="T140" s="118"/>
      <c r="U140" s="214"/>
      <c r="V140" s="43"/>
      <c r="W140" s="40"/>
      <c r="X140" s="158"/>
      <c r="Y140" s="158"/>
      <c r="Z140" s="158"/>
      <c r="AA140" s="177"/>
      <c r="AB140" s="158"/>
      <c r="AC140" s="177"/>
      <c r="AD140" s="158"/>
      <c r="AE140" s="74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</row>
    <row r="141" spans="1:45" ht="16.5" customHeight="1">
      <c r="A141" s="195"/>
      <c r="B141" s="195"/>
      <c r="C141" s="196"/>
      <c r="D141" s="196"/>
      <c r="E141" s="196"/>
      <c r="F141" s="196"/>
      <c r="G141" s="198"/>
      <c r="H141" s="198"/>
      <c r="I141" s="158"/>
      <c r="J141" s="158"/>
      <c r="K141" s="155"/>
      <c r="L141" s="165"/>
      <c r="M141" s="165"/>
      <c r="N141" s="37"/>
      <c r="O141" s="37"/>
      <c r="P141" s="199"/>
      <c r="Q141" s="163"/>
      <c r="R141" s="163"/>
      <c r="S141" s="40"/>
      <c r="T141" s="118"/>
      <c r="U141" s="214"/>
      <c r="V141" s="43"/>
      <c r="W141" s="40"/>
      <c r="X141" s="158"/>
      <c r="Y141" s="158"/>
      <c r="Z141" s="158"/>
      <c r="AA141" s="177"/>
      <c r="AB141" s="158"/>
      <c r="AC141" s="177"/>
      <c r="AD141" s="158"/>
      <c r="AE141" s="74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</row>
    <row r="142" spans="1:45" ht="16.5" customHeight="1">
      <c r="A142" s="195"/>
      <c r="B142" s="195"/>
      <c r="C142" s="196"/>
      <c r="D142" s="165"/>
      <c r="E142" s="165"/>
      <c r="F142" s="165"/>
      <c r="G142" s="198"/>
      <c r="H142" s="198"/>
      <c r="I142" s="158"/>
      <c r="J142" s="158"/>
      <c r="K142" s="155"/>
      <c r="L142" s="165"/>
      <c r="M142" s="165"/>
      <c r="N142" s="37"/>
      <c r="O142" s="37"/>
      <c r="P142" s="199"/>
      <c r="Q142" s="163"/>
      <c r="R142" s="163"/>
      <c r="S142" s="40"/>
      <c r="T142" s="118"/>
      <c r="U142" s="214"/>
      <c r="V142" s="43"/>
      <c r="W142" s="40"/>
      <c r="X142" s="158"/>
      <c r="Y142" s="158"/>
      <c r="Z142" s="158"/>
      <c r="AA142" s="177"/>
      <c r="AB142" s="158"/>
      <c r="AC142" s="177"/>
      <c r="AD142" s="158"/>
      <c r="AE142" s="74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</row>
    <row r="143" spans="1:45" ht="16.5" customHeight="1">
      <c r="A143" s="195"/>
      <c r="B143" s="195"/>
      <c r="C143" s="196"/>
      <c r="D143" s="165"/>
      <c r="E143" s="165"/>
      <c r="F143" s="165"/>
      <c r="G143" s="198"/>
      <c r="H143" s="198"/>
      <c r="I143" s="158"/>
      <c r="J143" s="158"/>
      <c r="K143" s="155"/>
      <c r="L143" s="165"/>
      <c r="M143" s="165"/>
      <c r="N143" s="37"/>
      <c r="O143" s="37"/>
      <c r="P143" s="199"/>
      <c r="Q143" s="163"/>
      <c r="R143" s="163"/>
      <c r="S143" s="40"/>
      <c r="T143" s="118"/>
      <c r="U143" s="214"/>
      <c r="V143" s="43"/>
      <c r="W143" s="40"/>
      <c r="X143" s="158"/>
      <c r="Y143" s="158"/>
      <c r="Z143" s="158"/>
      <c r="AA143" s="177"/>
      <c r="AB143" s="158"/>
      <c r="AC143" s="177"/>
      <c r="AD143" s="158"/>
      <c r="AE143" s="74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</row>
    <row r="144" spans="1:45" ht="16.5" customHeight="1">
      <c r="A144" s="195"/>
      <c r="B144" s="195"/>
      <c r="C144" s="196"/>
      <c r="D144" s="165"/>
      <c r="E144" s="165"/>
      <c r="F144" s="165"/>
      <c r="G144" s="198"/>
      <c r="H144" s="198"/>
      <c r="I144" s="158"/>
      <c r="J144" s="158"/>
      <c r="K144" s="155"/>
      <c r="L144" s="165"/>
      <c r="M144" s="165"/>
      <c r="N144" s="37"/>
      <c r="O144" s="37"/>
      <c r="P144" s="199"/>
      <c r="Q144" s="163"/>
      <c r="R144" s="163"/>
      <c r="S144" s="40"/>
      <c r="T144" s="118"/>
      <c r="U144" s="214"/>
      <c r="V144" s="43"/>
      <c r="W144" s="40"/>
      <c r="X144" s="158"/>
      <c r="Y144" s="158"/>
      <c r="Z144" s="158"/>
      <c r="AA144" s="177"/>
      <c r="AB144" s="158"/>
      <c r="AC144" s="177"/>
      <c r="AD144" s="158"/>
      <c r="AE144" s="74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</row>
    <row r="145" spans="1:45" ht="16.5" customHeight="1">
      <c r="A145" s="222"/>
      <c r="B145" s="222"/>
      <c r="C145" s="196"/>
      <c r="D145" s="165"/>
      <c r="E145" s="165"/>
      <c r="F145" s="165"/>
      <c r="G145" s="198"/>
      <c r="H145" s="198"/>
      <c r="I145" s="158"/>
      <c r="J145" s="158"/>
      <c r="K145" s="155"/>
      <c r="L145" s="165"/>
      <c r="M145" s="165"/>
      <c r="N145" s="37"/>
      <c r="O145" s="37"/>
      <c r="P145" s="199"/>
      <c r="Q145" s="163"/>
      <c r="R145" s="163"/>
      <c r="S145" s="40"/>
      <c r="T145" s="118"/>
      <c r="U145" s="214"/>
      <c r="V145" s="43"/>
      <c r="W145" s="40"/>
      <c r="X145" s="158"/>
      <c r="Y145" s="158"/>
      <c r="Z145" s="158"/>
      <c r="AA145" s="177"/>
      <c r="AB145" s="158"/>
      <c r="AC145" s="177"/>
      <c r="AD145" s="177"/>
      <c r="AE145" s="74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</row>
    <row r="146" spans="1:45" ht="16.5" customHeight="1">
      <c r="A146" s="222"/>
      <c r="B146" s="222"/>
      <c r="C146" s="223"/>
      <c r="D146" s="165"/>
      <c r="E146" s="165"/>
      <c r="F146" s="165"/>
      <c r="G146" s="198"/>
      <c r="H146" s="198"/>
      <c r="I146" s="181"/>
      <c r="J146" s="181"/>
      <c r="K146" s="155"/>
      <c r="L146" s="165"/>
      <c r="M146" s="165"/>
      <c r="N146" s="37"/>
      <c r="O146" s="37"/>
      <c r="P146" s="199"/>
      <c r="Q146" s="163"/>
      <c r="R146" s="163"/>
      <c r="S146" s="40"/>
      <c r="T146" s="118"/>
      <c r="U146" s="214"/>
      <c r="V146" s="43"/>
      <c r="W146" s="40"/>
      <c r="X146" s="158"/>
      <c r="Y146" s="158"/>
      <c r="Z146" s="158"/>
      <c r="AA146" s="177"/>
      <c r="AB146" s="158"/>
      <c r="AC146" s="177"/>
      <c r="AD146" s="177"/>
      <c r="AE146" s="74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</row>
    <row r="147" spans="1:45" ht="16.5" customHeight="1">
      <c r="A147" s="224"/>
      <c r="B147" s="224"/>
      <c r="C147" s="223"/>
      <c r="D147" s="165"/>
      <c r="E147" s="165"/>
      <c r="F147" s="165"/>
      <c r="G147" s="198"/>
      <c r="H147" s="198"/>
      <c r="I147" s="181"/>
      <c r="J147" s="181"/>
      <c r="K147" s="155"/>
      <c r="L147" s="165"/>
      <c r="M147" s="165"/>
      <c r="N147" s="37"/>
      <c r="O147" s="37"/>
      <c r="P147" s="199"/>
      <c r="Q147" s="163"/>
      <c r="R147" s="163"/>
      <c r="S147" s="40"/>
      <c r="T147" s="118"/>
      <c r="U147" s="214"/>
      <c r="V147" s="43"/>
      <c r="W147" s="40"/>
      <c r="X147" s="158"/>
      <c r="Y147" s="158"/>
      <c r="Z147" s="158"/>
      <c r="AA147" s="177"/>
      <c r="AB147" s="158"/>
      <c r="AC147" s="177"/>
      <c r="AD147" s="158"/>
      <c r="AE147" s="74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</row>
    <row r="148" spans="1:45" ht="16.5" customHeight="1">
      <c r="A148" s="195"/>
      <c r="B148" s="195"/>
      <c r="C148" s="223"/>
      <c r="D148" s="225"/>
      <c r="E148" s="225"/>
      <c r="F148" s="225"/>
      <c r="G148" s="198"/>
      <c r="H148" s="198"/>
      <c r="I148" s="181"/>
      <c r="J148" s="181"/>
      <c r="K148" s="155"/>
      <c r="L148" s="156"/>
      <c r="M148" s="156"/>
      <c r="N148" s="155"/>
      <c r="O148" s="155"/>
      <c r="P148" s="199"/>
      <c r="Q148" s="163"/>
      <c r="R148" s="163"/>
      <c r="S148" s="40"/>
      <c r="T148" s="117"/>
      <c r="U148" s="214"/>
      <c r="V148" s="43"/>
      <c r="W148" s="40"/>
      <c r="X148" s="158"/>
      <c r="Y148" s="158"/>
      <c r="Z148" s="158"/>
      <c r="AA148" s="158"/>
      <c r="AB148" s="158"/>
      <c r="AC148" s="158"/>
      <c r="AD148" s="158"/>
      <c r="AE148" s="74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</row>
    <row r="149" spans="1:45" ht="16.5" customHeight="1">
      <c r="A149" s="224"/>
      <c r="B149" s="224"/>
      <c r="C149" s="223"/>
      <c r="D149" s="225"/>
      <c r="E149" s="225"/>
      <c r="F149" s="225"/>
      <c r="G149" s="198"/>
      <c r="H149" s="198"/>
      <c r="I149" s="226"/>
      <c r="J149" s="226"/>
      <c r="K149" s="155"/>
      <c r="L149" s="156"/>
      <c r="M149" s="156"/>
      <c r="N149" s="155"/>
      <c r="O149" s="155"/>
      <c r="P149" s="182"/>
      <c r="Q149" s="163"/>
      <c r="R149" s="163"/>
      <c r="S149" s="40"/>
      <c r="T149" s="117"/>
      <c r="U149" s="214"/>
      <c r="V149" s="43"/>
      <c r="W149" s="40"/>
      <c r="X149" s="158"/>
      <c r="Y149" s="158"/>
      <c r="Z149" s="227"/>
      <c r="AA149" s="158"/>
      <c r="AB149" s="158"/>
      <c r="AC149" s="158"/>
      <c r="AD149" s="158"/>
      <c r="AE149" s="74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</row>
    <row r="150" spans="1:45" ht="16.5" customHeight="1">
      <c r="A150" s="224"/>
      <c r="B150" s="224"/>
      <c r="C150" s="45"/>
      <c r="D150" s="225"/>
      <c r="E150" s="225"/>
      <c r="F150" s="225"/>
      <c r="G150" s="198"/>
      <c r="H150" s="198"/>
      <c r="I150" s="181"/>
      <c r="J150" s="181"/>
      <c r="K150" s="155"/>
      <c r="L150" s="156"/>
      <c r="M150" s="156"/>
      <c r="N150" s="155"/>
      <c r="O150" s="155"/>
      <c r="P150" s="199"/>
      <c r="Q150" s="163"/>
      <c r="R150" s="163"/>
      <c r="S150" s="40"/>
      <c r="T150" s="117"/>
      <c r="U150" s="214"/>
      <c r="V150" s="43"/>
      <c r="W150" s="40"/>
      <c r="X150" s="158"/>
      <c r="Y150" s="158"/>
      <c r="Z150" s="158"/>
      <c r="AA150" s="158"/>
      <c r="AB150" s="158"/>
      <c r="AC150" s="158"/>
      <c r="AD150" s="158"/>
      <c r="AE150" s="74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</row>
    <row r="151" spans="1:45" ht="16.5" customHeight="1">
      <c r="A151" s="224"/>
      <c r="B151" s="224"/>
      <c r="C151" s="223"/>
      <c r="D151" s="225"/>
      <c r="E151" s="225"/>
      <c r="F151" s="225"/>
      <c r="G151" s="198"/>
      <c r="H151" s="198"/>
      <c r="I151" s="181"/>
      <c r="J151" s="181"/>
      <c r="K151" s="155"/>
      <c r="L151" s="156"/>
      <c r="M151" s="156"/>
      <c r="N151" s="155"/>
      <c r="O151" s="155"/>
      <c r="P151" s="199"/>
      <c r="Q151" s="163"/>
      <c r="R151" s="163"/>
      <c r="S151" s="40"/>
      <c r="T151" s="117"/>
      <c r="U151" s="214"/>
      <c r="V151" s="43"/>
      <c r="W151" s="40"/>
      <c r="X151" s="158"/>
      <c r="Y151" s="158"/>
      <c r="Z151" s="158"/>
      <c r="AA151" s="158"/>
      <c r="AB151" s="158"/>
      <c r="AC151" s="158"/>
      <c r="AD151" s="158"/>
      <c r="AE151" s="74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</row>
    <row r="152" spans="1:45" ht="16.5" customHeight="1">
      <c r="A152" s="224"/>
      <c r="B152" s="224"/>
      <c r="C152" s="223"/>
      <c r="D152" s="225"/>
      <c r="E152" s="225"/>
      <c r="F152" s="225"/>
      <c r="G152" s="198"/>
      <c r="H152" s="198"/>
      <c r="I152" s="181"/>
      <c r="J152" s="181"/>
      <c r="K152" s="155"/>
      <c r="L152" s="156"/>
      <c r="M152" s="156"/>
      <c r="N152" s="155"/>
      <c r="O152" s="155"/>
      <c r="P152" s="199"/>
      <c r="Q152" s="163"/>
      <c r="R152" s="163"/>
      <c r="S152" s="40"/>
      <c r="T152" s="117"/>
      <c r="U152" s="214"/>
      <c r="V152" s="43"/>
      <c r="W152" s="40"/>
      <c r="X152" s="158"/>
      <c r="Y152" s="158"/>
      <c r="Z152" s="158"/>
      <c r="AA152" s="158"/>
      <c r="AB152" s="158"/>
      <c r="AC152" s="158"/>
      <c r="AD152" s="158"/>
      <c r="AE152" s="74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</row>
    <row r="153" spans="1:45" ht="16.5" customHeight="1">
      <c r="A153" s="224"/>
      <c r="B153" s="224"/>
      <c r="C153" s="223"/>
      <c r="D153" s="225"/>
      <c r="E153" s="225"/>
      <c r="F153" s="225"/>
      <c r="G153" s="198"/>
      <c r="H153" s="198"/>
      <c r="I153" s="181"/>
      <c r="J153" s="181"/>
      <c r="K153" s="155"/>
      <c r="L153" s="165"/>
      <c r="M153" s="165"/>
      <c r="N153" s="155"/>
      <c r="O153" s="155"/>
      <c r="P153" s="199"/>
      <c r="Q153" s="163"/>
      <c r="R153" s="163"/>
      <c r="S153" s="40"/>
      <c r="T153" s="117"/>
      <c r="U153" s="214"/>
      <c r="V153" s="43"/>
      <c r="W153" s="40"/>
      <c r="X153" s="158"/>
      <c r="Y153" s="158"/>
      <c r="Z153" s="158"/>
      <c r="AA153" s="158"/>
      <c r="AB153" s="158"/>
      <c r="AC153" s="158"/>
      <c r="AD153" s="158"/>
      <c r="AE153" s="74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</row>
    <row r="154" spans="1:45" ht="16.5" customHeight="1">
      <c r="A154" s="224"/>
      <c r="B154" s="224"/>
      <c r="C154" s="223"/>
      <c r="D154" s="225"/>
      <c r="E154" s="225"/>
      <c r="F154" s="225"/>
      <c r="G154" s="198"/>
      <c r="H154" s="198"/>
      <c r="I154" s="181"/>
      <c r="J154" s="181"/>
      <c r="K154" s="155"/>
      <c r="L154" s="165"/>
      <c r="M154" s="165"/>
      <c r="N154" s="155"/>
      <c r="O154" s="155"/>
      <c r="P154" s="199"/>
      <c r="Q154" s="163"/>
      <c r="R154" s="163"/>
      <c r="S154" s="40"/>
      <c r="T154" s="117"/>
      <c r="U154" s="214"/>
      <c r="V154" s="43"/>
      <c r="W154" s="40"/>
      <c r="X154" s="177"/>
      <c r="Y154" s="177"/>
      <c r="Z154" s="158"/>
      <c r="AA154" s="165"/>
      <c r="AB154" s="158"/>
      <c r="AC154" s="165"/>
      <c r="AD154" s="158"/>
      <c r="AE154" s="74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</row>
    <row r="155" spans="1:45" ht="16.5" customHeight="1">
      <c r="A155" s="224"/>
      <c r="B155" s="224"/>
      <c r="C155" s="223"/>
      <c r="D155" s="225"/>
      <c r="E155" s="225"/>
      <c r="F155" s="225"/>
      <c r="G155" s="198"/>
      <c r="H155" s="198"/>
      <c r="I155" s="181"/>
      <c r="J155" s="181"/>
      <c r="K155" s="155"/>
      <c r="L155" s="156"/>
      <c r="M155" s="156"/>
      <c r="N155" s="155"/>
      <c r="O155" s="155"/>
      <c r="P155" s="199"/>
      <c r="Q155" s="163"/>
      <c r="R155" s="163"/>
      <c r="S155" s="40"/>
      <c r="T155" s="117"/>
      <c r="U155" s="214"/>
      <c r="V155" s="43"/>
      <c r="W155" s="40"/>
      <c r="X155" s="177"/>
      <c r="Y155" s="177"/>
      <c r="Z155" s="158"/>
      <c r="AA155" s="158"/>
      <c r="AB155" s="177"/>
      <c r="AC155" s="158"/>
      <c r="AD155" s="158"/>
      <c r="AE155" s="74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</row>
    <row r="156" spans="1:45" ht="16.5" customHeight="1">
      <c r="A156" s="224"/>
      <c r="B156" s="224"/>
      <c r="C156" s="223"/>
      <c r="D156" s="225"/>
      <c r="E156" s="225"/>
      <c r="F156" s="225"/>
      <c r="G156" s="198"/>
      <c r="H156" s="198"/>
      <c r="I156" s="226"/>
      <c r="J156" s="226"/>
      <c r="K156" s="155"/>
      <c r="L156" s="165"/>
      <c r="M156" s="165"/>
      <c r="N156" s="155"/>
      <c r="O156" s="155"/>
      <c r="P156" s="199"/>
      <c r="Q156" s="163"/>
      <c r="R156" s="163"/>
      <c r="S156" s="40"/>
      <c r="T156" s="117"/>
      <c r="U156" s="214"/>
      <c r="V156" s="43"/>
      <c r="W156" s="40"/>
      <c r="X156" s="177"/>
      <c r="Y156" s="177"/>
      <c r="Z156" s="158"/>
      <c r="AA156" s="156"/>
      <c r="AB156" s="158"/>
      <c r="AC156" s="156"/>
      <c r="AD156" s="158"/>
      <c r="AE156" s="74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</row>
    <row r="157" spans="1:45" ht="16.5" customHeight="1">
      <c r="A157" s="224"/>
      <c r="B157" s="224"/>
      <c r="C157" s="223"/>
      <c r="D157" s="225"/>
      <c r="E157" s="225"/>
      <c r="F157" s="225"/>
      <c r="G157" s="198"/>
      <c r="H157" s="198"/>
      <c r="I157" s="181"/>
      <c r="J157" s="181"/>
      <c r="K157" s="155"/>
      <c r="L157" s="165"/>
      <c r="M157" s="165"/>
      <c r="N157" s="155"/>
      <c r="O157" s="155"/>
      <c r="P157" s="199"/>
      <c r="Q157" s="163"/>
      <c r="R157" s="163"/>
      <c r="S157" s="40"/>
      <c r="T157" s="117"/>
      <c r="U157" s="214"/>
      <c r="V157" s="43"/>
      <c r="W157" s="40"/>
      <c r="X157" s="158"/>
      <c r="Y157" s="158"/>
      <c r="Z157" s="158"/>
      <c r="AA157" s="158"/>
      <c r="AB157" s="158"/>
      <c r="AC157" s="158"/>
      <c r="AD157" s="158"/>
      <c r="AE157" s="74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</row>
    <row r="158" spans="1:45" ht="16.5" customHeight="1">
      <c r="A158" s="195"/>
      <c r="B158" s="195"/>
      <c r="C158" s="223"/>
      <c r="D158" s="225"/>
      <c r="E158" s="225"/>
      <c r="F158" s="225"/>
      <c r="G158" s="198"/>
      <c r="H158" s="198"/>
      <c r="I158" s="181"/>
      <c r="J158" s="181"/>
      <c r="K158" s="181"/>
      <c r="L158" s="156"/>
      <c r="M158" s="156"/>
      <c r="N158" s="37"/>
      <c r="O158" s="37"/>
      <c r="P158" s="228"/>
      <c r="Q158" s="163"/>
      <c r="R158" s="163"/>
      <c r="S158" s="40"/>
      <c r="T158" s="117"/>
      <c r="U158" s="214"/>
      <c r="V158" s="43"/>
      <c r="W158" s="40"/>
      <c r="X158" s="158"/>
      <c r="Y158" s="158"/>
      <c r="Z158" s="158"/>
      <c r="AA158" s="158"/>
      <c r="AB158" s="158"/>
      <c r="AC158" s="158"/>
      <c r="AD158" s="158"/>
      <c r="AE158" s="74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</row>
    <row r="159" spans="1:45" ht="16.5" customHeight="1">
      <c r="A159" s="212"/>
      <c r="B159" s="212"/>
      <c r="C159" s="196"/>
      <c r="D159" s="201"/>
      <c r="E159" s="201"/>
      <c r="F159" s="201"/>
      <c r="G159" s="198"/>
      <c r="H159" s="198"/>
      <c r="I159" s="181"/>
      <c r="J159" s="181"/>
      <c r="K159" s="155"/>
      <c r="L159" s="165"/>
      <c r="M159" s="165"/>
      <c r="N159" s="37"/>
      <c r="O159" s="37"/>
      <c r="P159" s="199"/>
      <c r="Q159" s="163"/>
      <c r="R159" s="163"/>
      <c r="S159" s="40"/>
      <c r="T159" s="118"/>
      <c r="U159" s="117"/>
      <c r="V159" s="43"/>
      <c r="W159" s="40"/>
      <c r="X159" s="158"/>
      <c r="Y159" s="158"/>
      <c r="Z159" s="158"/>
      <c r="AA159" s="158"/>
      <c r="AB159" s="158"/>
      <c r="AC159" s="158"/>
      <c r="AD159" s="158"/>
      <c r="AE159" s="74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</row>
    <row r="160" spans="1:45" ht="16.5" customHeight="1">
      <c r="A160" s="212"/>
      <c r="B160" s="212"/>
      <c r="C160" s="196"/>
      <c r="D160" s="201"/>
      <c r="E160" s="201"/>
      <c r="F160" s="201"/>
      <c r="G160" s="198"/>
      <c r="H160" s="198"/>
      <c r="I160" s="181"/>
      <c r="J160" s="181"/>
      <c r="K160" s="155"/>
      <c r="L160" s="165"/>
      <c r="M160" s="165"/>
      <c r="N160" s="37"/>
      <c r="O160" s="37"/>
      <c r="P160" s="199"/>
      <c r="Q160" s="163"/>
      <c r="R160" s="163"/>
      <c r="S160" s="40"/>
      <c r="T160" s="118"/>
      <c r="U160" s="117"/>
      <c r="V160" s="43"/>
      <c r="W160" s="40"/>
      <c r="X160" s="158"/>
      <c r="Y160" s="158"/>
      <c r="Z160" s="158"/>
      <c r="AA160" s="158"/>
      <c r="AB160" s="158"/>
      <c r="AC160" s="158"/>
      <c r="AD160" s="158"/>
      <c r="AE160" s="74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</row>
    <row r="161" spans="1:45" ht="16.5" customHeight="1">
      <c r="A161" s="212"/>
      <c r="B161" s="212"/>
      <c r="C161" s="196"/>
      <c r="D161" s="201"/>
      <c r="E161" s="201"/>
      <c r="F161" s="201"/>
      <c r="G161" s="198"/>
      <c r="H161" s="198"/>
      <c r="I161" s="181"/>
      <c r="J161" s="181"/>
      <c r="K161" s="155"/>
      <c r="L161" s="165"/>
      <c r="M161" s="165"/>
      <c r="N161" s="37"/>
      <c r="O161" s="37"/>
      <c r="P161" s="199"/>
      <c r="Q161" s="163"/>
      <c r="R161" s="163"/>
      <c r="S161" s="40"/>
      <c r="T161" s="118"/>
      <c r="U161" s="117"/>
      <c r="V161" s="43"/>
      <c r="W161" s="40"/>
      <c r="X161" s="158"/>
      <c r="Y161" s="158"/>
      <c r="Z161" s="158"/>
      <c r="AA161" s="158"/>
      <c r="AB161" s="158"/>
      <c r="AC161" s="158"/>
      <c r="AD161" s="158"/>
      <c r="AE161" s="74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</row>
    <row r="162" spans="1:45" ht="16.5" customHeight="1">
      <c r="A162" s="224"/>
      <c r="B162" s="224"/>
      <c r="C162" s="223"/>
      <c r="D162" s="225"/>
      <c r="E162" s="225"/>
      <c r="F162" s="225"/>
      <c r="G162" s="198"/>
      <c r="H162" s="198"/>
      <c r="I162" s="181"/>
      <c r="J162" s="181"/>
      <c r="K162" s="181"/>
      <c r="L162" s="156"/>
      <c r="M162" s="156"/>
      <c r="N162" s="37"/>
      <c r="O162" s="37"/>
      <c r="P162" s="228"/>
      <c r="Q162" s="163"/>
      <c r="R162" s="163"/>
      <c r="S162" s="40"/>
      <c r="T162" s="117"/>
      <c r="U162" s="214"/>
      <c r="V162" s="43"/>
      <c r="W162" s="40"/>
      <c r="X162" s="158"/>
      <c r="Y162" s="158"/>
      <c r="Z162" s="158"/>
      <c r="AA162" s="158"/>
      <c r="AB162" s="158"/>
      <c r="AC162" s="158"/>
      <c r="AD162" s="158"/>
      <c r="AE162" s="74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</row>
    <row r="163" spans="1:45" ht="16.5" customHeight="1">
      <c r="A163" s="224"/>
      <c r="B163" s="224"/>
      <c r="C163" s="196"/>
      <c r="D163" s="201"/>
      <c r="E163" s="201"/>
      <c r="F163" s="201"/>
      <c r="G163" s="198"/>
      <c r="H163" s="198"/>
      <c r="I163" s="181"/>
      <c r="J163" s="181"/>
      <c r="K163" s="155"/>
      <c r="L163" s="165"/>
      <c r="M163" s="165"/>
      <c r="N163" s="37"/>
      <c r="O163" s="37"/>
      <c r="P163" s="199"/>
      <c r="Q163" s="163"/>
      <c r="R163" s="163"/>
      <c r="S163" s="40"/>
      <c r="T163" s="118"/>
      <c r="U163" s="214"/>
      <c r="V163" s="43"/>
      <c r="W163" s="40"/>
      <c r="X163" s="158"/>
      <c r="Y163" s="158"/>
      <c r="Z163" s="158"/>
      <c r="AA163" s="158"/>
      <c r="AB163" s="158"/>
      <c r="AC163" s="158"/>
      <c r="AD163" s="158"/>
      <c r="AE163" s="74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</row>
    <row r="164" spans="1:45" ht="16.5" customHeight="1">
      <c r="A164" s="224"/>
      <c r="B164" s="224"/>
      <c r="C164" s="223"/>
      <c r="D164" s="225"/>
      <c r="E164" s="225"/>
      <c r="F164" s="225"/>
      <c r="G164" s="198"/>
      <c r="H164" s="198"/>
      <c r="I164" s="181"/>
      <c r="J164" s="181"/>
      <c r="K164" s="181"/>
      <c r="L164" s="156"/>
      <c r="M164" s="156"/>
      <c r="N164" s="37"/>
      <c r="O164" s="37"/>
      <c r="P164" s="228"/>
      <c r="Q164" s="163"/>
      <c r="R164" s="163"/>
      <c r="S164" s="40"/>
      <c r="T164" s="117"/>
      <c r="U164" s="214"/>
      <c r="V164" s="43"/>
      <c r="W164" s="40"/>
      <c r="X164" s="158"/>
      <c r="Y164" s="158"/>
      <c r="Z164" s="158"/>
      <c r="AA164" s="158"/>
      <c r="AB164" s="158"/>
      <c r="AC164" s="158"/>
      <c r="AD164" s="158"/>
      <c r="AE164" s="74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</row>
    <row r="165" spans="1:45" ht="16.5" customHeight="1">
      <c r="A165" s="195"/>
      <c r="B165" s="195"/>
      <c r="C165" s="223"/>
      <c r="D165" s="225"/>
      <c r="E165" s="225"/>
      <c r="F165" s="225"/>
      <c r="G165" s="198"/>
      <c r="H165" s="198"/>
      <c r="I165" s="181"/>
      <c r="J165" s="181"/>
      <c r="K165" s="181"/>
      <c r="L165" s="156"/>
      <c r="M165" s="156"/>
      <c r="N165" s="37"/>
      <c r="O165" s="37"/>
      <c r="P165" s="228"/>
      <c r="Q165" s="163"/>
      <c r="R165" s="163"/>
      <c r="S165" s="40"/>
      <c r="T165" s="117"/>
      <c r="U165" s="214"/>
      <c r="V165" s="43"/>
      <c r="W165" s="40"/>
      <c r="X165" s="158"/>
      <c r="Y165" s="158"/>
      <c r="Z165" s="158"/>
      <c r="AA165" s="158"/>
      <c r="AB165" s="158"/>
      <c r="AC165" s="158"/>
      <c r="AD165" s="158"/>
      <c r="AE165" s="74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</row>
    <row r="166" spans="1:45" ht="16.5" customHeight="1">
      <c r="A166" s="195"/>
      <c r="B166" s="195"/>
      <c r="C166" s="223"/>
      <c r="D166" s="225"/>
      <c r="E166" s="225"/>
      <c r="F166" s="225"/>
      <c r="G166" s="198"/>
      <c r="H166" s="198"/>
      <c r="I166" s="181"/>
      <c r="J166" s="181"/>
      <c r="K166" s="155"/>
      <c r="L166" s="155"/>
      <c r="M166" s="155"/>
      <c r="N166" s="37"/>
      <c r="O166" s="37"/>
      <c r="P166" s="199"/>
      <c r="Q166" s="163"/>
      <c r="R166" s="163"/>
      <c r="S166" s="40"/>
      <c r="T166" s="117"/>
      <c r="U166" s="214"/>
      <c r="V166" s="43"/>
      <c r="W166" s="40"/>
      <c r="X166" s="158"/>
      <c r="Y166" s="158"/>
      <c r="Z166" s="158"/>
      <c r="AA166" s="158"/>
      <c r="AB166" s="158"/>
      <c r="AC166" s="158"/>
      <c r="AD166" s="158"/>
      <c r="AE166" s="74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</row>
    <row r="167" spans="1:45" ht="16.5" customHeight="1">
      <c r="A167" s="212"/>
      <c r="B167" s="212"/>
      <c r="C167" s="223"/>
      <c r="D167" s="225"/>
      <c r="E167" s="225"/>
      <c r="F167" s="225"/>
      <c r="G167" s="198"/>
      <c r="H167" s="198"/>
      <c r="I167" s="181"/>
      <c r="J167" s="181"/>
      <c r="K167" s="155"/>
      <c r="L167" s="155"/>
      <c r="M167" s="155"/>
      <c r="N167" s="37"/>
      <c r="O167" s="37"/>
      <c r="P167" s="199"/>
      <c r="Q167" s="163"/>
      <c r="R167" s="163"/>
      <c r="S167" s="40"/>
      <c r="T167" s="117"/>
      <c r="U167" s="214"/>
      <c r="V167" s="43"/>
      <c r="W167" s="40"/>
      <c r="X167" s="158"/>
      <c r="Y167" s="158"/>
      <c r="Z167" s="158"/>
      <c r="AA167" s="158"/>
      <c r="AB167" s="158"/>
      <c r="AC167" s="158"/>
      <c r="AD167" s="158"/>
      <c r="AE167" s="74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</row>
    <row r="168" spans="1:45" ht="16.5" customHeight="1">
      <c r="A168" s="212"/>
      <c r="B168" s="212"/>
      <c r="C168" s="223"/>
      <c r="D168" s="225"/>
      <c r="E168" s="225"/>
      <c r="F168" s="225"/>
      <c r="G168" s="198"/>
      <c r="H168" s="198"/>
      <c r="I168" s="181"/>
      <c r="J168" s="181"/>
      <c r="K168" s="181"/>
      <c r="L168" s="156"/>
      <c r="M168" s="156"/>
      <c r="N168" s="37"/>
      <c r="O168" s="37"/>
      <c r="P168" s="228"/>
      <c r="Q168" s="163"/>
      <c r="R168" s="163"/>
      <c r="S168" s="40"/>
      <c r="T168" s="117"/>
      <c r="U168" s="214"/>
      <c r="V168" s="43"/>
      <c r="W168" s="40"/>
      <c r="X168" s="158"/>
      <c r="Y168" s="158"/>
      <c r="Z168" s="158"/>
      <c r="AA168" s="158"/>
      <c r="AB168" s="158"/>
      <c r="AC168" s="158"/>
      <c r="AD168" s="158"/>
      <c r="AE168" s="74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</row>
    <row r="169" spans="1:45" ht="16.5" customHeight="1">
      <c r="A169" s="212"/>
      <c r="B169" s="212"/>
      <c r="C169" s="223"/>
      <c r="D169" s="201"/>
      <c r="E169" s="201"/>
      <c r="F169" s="201"/>
      <c r="G169" s="198"/>
      <c r="H169" s="198"/>
      <c r="I169" s="181"/>
      <c r="J169" s="181"/>
      <c r="K169" s="181"/>
      <c r="L169" s="156"/>
      <c r="M169" s="156"/>
      <c r="N169" s="37"/>
      <c r="O169" s="37"/>
      <c r="P169" s="199"/>
      <c r="Q169" s="163"/>
      <c r="R169" s="163"/>
      <c r="S169" s="40"/>
      <c r="T169" s="118"/>
      <c r="U169" s="214"/>
      <c r="V169" s="43"/>
      <c r="W169" s="40"/>
      <c r="X169" s="158"/>
      <c r="Y169" s="158"/>
      <c r="Z169" s="158"/>
      <c r="AA169" s="158"/>
      <c r="AB169" s="158"/>
      <c r="AC169" s="158"/>
      <c r="AD169" s="158"/>
      <c r="AE169" s="74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</row>
    <row r="170" spans="1:45" ht="16.5" customHeight="1">
      <c r="A170" s="224"/>
      <c r="B170" s="224"/>
      <c r="C170" s="223"/>
      <c r="D170" s="225"/>
      <c r="E170" s="225"/>
      <c r="F170" s="225"/>
      <c r="G170" s="198"/>
      <c r="H170" s="198"/>
      <c r="I170" s="181"/>
      <c r="J170" s="181"/>
      <c r="K170" s="181"/>
      <c r="L170" s="156"/>
      <c r="M170" s="156"/>
      <c r="N170" s="37"/>
      <c r="O170" s="37"/>
      <c r="P170" s="228"/>
      <c r="Q170" s="163"/>
      <c r="R170" s="163"/>
      <c r="S170" s="40"/>
      <c r="T170" s="117"/>
      <c r="U170" s="214"/>
      <c r="V170" s="43"/>
      <c r="W170" s="40"/>
      <c r="X170" s="158"/>
      <c r="Y170" s="158"/>
      <c r="Z170" s="158"/>
      <c r="AA170" s="158"/>
      <c r="AB170" s="158"/>
      <c r="AC170" s="158"/>
      <c r="AD170" s="158"/>
      <c r="AE170" s="74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</row>
    <row r="171" spans="1:45" ht="16.5" customHeight="1">
      <c r="A171" s="195"/>
      <c r="B171" s="195"/>
      <c r="C171" s="198"/>
      <c r="D171" s="201"/>
      <c r="E171" s="201"/>
      <c r="F171" s="201"/>
      <c r="G171" s="198"/>
      <c r="H171" s="198"/>
      <c r="I171" s="181"/>
      <c r="J171" s="181"/>
      <c r="K171" s="155"/>
      <c r="L171" s="165"/>
      <c r="M171" s="165"/>
      <c r="N171" s="37"/>
      <c r="O171" s="37"/>
      <c r="P171" s="199"/>
      <c r="Q171" s="163"/>
      <c r="R171" s="163"/>
      <c r="S171" s="40"/>
      <c r="T171" s="117"/>
      <c r="U171" s="117"/>
      <c r="V171" s="43"/>
      <c r="W171" s="40"/>
      <c r="X171" s="158"/>
      <c r="Y171" s="158"/>
      <c r="Z171" s="158"/>
      <c r="AA171" s="158"/>
      <c r="AB171" s="177"/>
      <c r="AC171" s="158"/>
      <c r="AD171" s="158"/>
      <c r="AE171" s="74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</row>
    <row r="172" spans="1:45" ht="16.5" customHeight="1">
      <c r="A172" s="224"/>
      <c r="B172" s="224"/>
      <c r="C172" s="196"/>
      <c r="D172" s="201"/>
      <c r="E172" s="201"/>
      <c r="F172" s="201"/>
      <c r="G172" s="198"/>
      <c r="H172" s="198"/>
      <c r="I172" s="181"/>
      <c r="J172" s="181"/>
      <c r="K172" s="155"/>
      <c r="L172" s="165"/>
      <c r="M172" s="165"/>
      <c r="N172" s="37"/>
      <c r="O172" s="37"/>
      <c r="P172" s="199"/>
      <c r="Q172" s="163"/>
      <c r="R172" s="163"/>
      <c r="S172" s="40"/>
      <c r="T172" s="117"/>
      <c r="U172" s="117"/>
      <c r="V172" s="43"/>
      <c r="W172" s="40"/>
      <c r="X172" s="158"/>
      <c r="Y172" s="158"/>
      <c r="Z172" s="158"/>
      <c r="AA172" s="158"/>
      <c r="AB172" s="177"/>
      <c r="AC172" s="158"/>
      <c r="AD172" s="158"/>
      <c r="AE172" s="74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</row>
    <row r="173" spans="1:45" ht="16.5" customHeight="1">
      <c r="A173" s="224"/>
      <c r="B173" s="224"/>
      <c r="C173" s="223"/>
      <c r="D173" s="225"/>
      <c r="E173" s="225"/>
      <c r="F173" s="225"/>
      <c r="G173" s="198"/>
      <c r="H173" s="198"/>
      <c r="I173" s="181"/>
      <c r="J173" s="181"/>
      <c r="K173" s="181"/>
      <c r="L173" s="165"/>
      <c r="M173" s="165"/>
      <c r="N173" s="37"/>
      <c r="O173" s="37"/>
      <c r="P173" s="228"/>
      <c r="Q173" s="163"/>
      <c r="R173" s="163"/>
      <c r="S173" s="40"/>
      <c r="T173" s="117"/>
      <c r="U173" s="214"/>
      <c r="V173" s="43"/>
      <c r="W173" s="40"/>
      <c r="X173" s="158"/>
      <c r="Y173" s="158"/>
      <c r="Z173" s="158"/>
      <c r="AA173" s="158"/>
      <c r="AB173" s="158"/>
      <c r="AC173" s="158"/>
      <c r="AD173" s="158"/>
      <c r="AE173" s="74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</row>
    <row r="174" spans="1:45" ht="16.5" customHeight="1">
      <c r="A174" s="224"/>
      <c r="B174" s="224"/>
      <c r="C174" s="223"/>
      <c r="D174" s="225"/>
      <c r="E174" s="225"/>
      <c r="F174" s="225"/>
      <c r="G174" s="198"/>
      <c r="H174" s="198"/>
      <c r="I174" s="181"/>
      <c r="J174" s="181"/>
      <c r="K174" s="181"/>
      <c r="L174" s="165"/>
      <c r="M174" s="165"/>
      <c r="N174" s="37"/>
      <c r="O174" s="37"/>
      <c r="P174" s="228"/>
      <c r="Q174" s="163"/>
      <c r="R174" s="163"/>
      <c r="S174" s="40"/>
      <c r="T174" s="117"/>
      <c r="U174" s="214"/>
      <c r="V174" s="43"/>
      <c r="W174" s="40"/>
      <c r="X174" s="158"/>
      <c r="Y174" s="158"/>
      <c r="Z174" s="158"/>
      <c r="AA174" s="158"/>
      <c r="AB174" s="158"/>
      <c r="AC174" s="158"/>
      <c r="AD174" s="158"/>
      <c r="AE174" s="74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</row>
    <row r="175" spans="1:45" ht="16.5" customHeight="1">
      <c r="A175" s="224"/>
      <c r="B175" s="224"/>
      <c r="C175" s="223"/>
      <c r="D175" s="225"/>
      <c r="E175" s="225"/>
      <c r="F175" s="225"/>
      <c r="G175" s="198"/>
      <c r="H175" s="198"/>
      <c r="I175" s="181"/>
      <c r="J175" s="181"/>
      <c r="K175" s="181"/>
      <c r="L175" s="165"/>
      <c r="M175" s="165"/>
      <c r="N175" s="37"/>
      <c r="O175" s="37"/>
      <c r="P175" s="228"/>
      <c r="Q175" s="163"/>
      <c r="R175" s="163"/>
      <c r="S175" s="40"/>
      <c r="T175" s="117"/>
      <c r="U175" s="214"/>
      <c r="V175" s="43"/>
      <c r="W175" s="40"/>
      <c r="X175" s="158"/>
      <c r="Y175" s="158"/>
      <c r="Z175" s="158"/>
      <c r="AA175" s="158"/>
      <c r="AB175" s="158"/>
      <c r="AC175" s="158"/>
      <c r="AD175" s="158"/>
      <c r="AE175" s="74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</row>
    <row r="176" spans="1:45" ht="16.5" customHeight="1">
      <c r="A176" s="229"/>
      <c r="B176" s="229"/>
      <c r="C176" s="223"/>
      <c r="D176" s="165"/>
      <c r="E176" s="165"/>
      <c r="F176" s="165"/>
      <c r="G176" s="198"/>
      <c r="H176" s="198"/>
      <c r="I176" s="181"/>
      <c r="J176" s="181"/>
      <c r="K176" s="155"/>
      <c r="L176" s="165"/>
      <c r="M176" s="165"/>
      <c r="N176" s="37"/>
      <c r="O176" s="37"/>
      <c r="P176" s="199"/>
      <c r="Q176" s="163"/>
      <c r="R176" s="163"/>
      <c r="S176" s="40"/>
      <c r="T176" s="117"/>
      <c r="U176" s="214"/>
      <c r="V176" s="43"/>
      <c r="W176" s="40"/>
      <c r="X176" s="158"/>
      <c r="Y176" s="158"/>
      <c r="Z176" s="158"/>
      <c r="AA176" s="158"/>
      <c r="AB176" s="158"/>
      <c r="AC176" s="158"/>
      <c r="AD176" s="158"/>
      <c r="AE176" s="74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</row>
    <row r="177" spans="1:45" ht="16.5" customHeight="1">
      <c r="A177" s="224"/>
      <c r="B177" s="224"/>
      <c r="C177" s="196"/>
      <c r="D177" s="201"/>
      <c r="E177" s="201"/>
      <c r="F177" s="201"/>
      <c r="G177" s="198"/>
      <c r="H177" s="198"/>
      <c r="I177" s="181"/>
      <c r="J177" s="181"/>
      <c r="K177" s="181"/>
      <c r="L177" s="165"/>
      <c r="M177" s="165"/>
      <c r="N177" s="37"/>
      <c r="O177" s="37"/>
      <c r="P177" s="228"/>
      <c r="Q177" s="163"/>
      <c r="R177" s="163"/>
      <c r="S177" s="40"/>
      <c r="T177" s="117"/>
      <c r="U177" s="214"/>
      <c r="V177" s="43"/>
      <c r="W177" s="40"/>
      <c r="X177" s="158"/>
      <c r="Y177" s="158"/>
      <c r="Z177" s="158"/>
      <c r="AA177" s="158"/>
      <c r="AB177" s="158"/>
      <c r="AC177" s="158"/>
      <c r="AD177" s="158"/>
      <c r="AE177" s="74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</row>
    <row r="178" spans="1:45" ht="16.5" customHeight="1">
      <c r="A178" s="224"/>
      <c r="B178" s="224"/>
      <c r="C178" s="223"/>
      <c r="D178" s="225"/>
      <c r="E178" s="225"/>
      <c r="F178" s="225"/>
      <c r="G178" s="198"/>
      <c r="H178" s="198"/>
      <c r="I178" s="181"/>
      <c r="J178" s="181"/>
      <c r="K178" s="155"/>
      <c r="L178" s="165"/>
      <c r="M178" s="165"/>
      <c r="N178" s="37"/>
      <c r="O178" s="37"/>
      <c r="P178" s="228"/>
      <c r="Q178" s="163"/>
      <c r="R178" s="163"/>
      <c r="S178" s="40"/>
      <c r="T178" s="117"/>
      <c r="U178" s="214"/>
      <c r="V178" s="43"/>
      <c r="W178" s="40"/>
      <c r="X178" s="158"/>
      <c r="Y178" s="158"/>
      <c r="Z178" s="158"/>
      <c r="AA178" s="158"/>
      <c r="AB178" s="158"/>
      <c r="AC178" s="158"/>
      <c r="AD178" s="177"/>
      <c r="AE178" s="74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</row>
    <row r="179" spans="1:45" ht="16.5" customHeight="1">
      <c r="A179" s="224"/>
      <c r="B179" s="224"/>
      <c r="C179" s="223"/>
      <c r="D179" s="225"/>
      <c r="E179" s="225"/>
      <c r="F179" s="225"/>
      <c r="G179" s="198"/>
      <c r="H179" s="198"/>
      <c r="I179" s="181"/>
      <c r="J179" s="181"/>
      <c r="K179" s="155"/>
      <c r="L179" s="165"/>
      <c r="M179" s="165"/>
      <c r="N179" s="37"/>
      <c r="O179" s="37"/>
      <c r="P179" s="228"/>
      <c r="Q179" s="163"/>
      <c r="R179" s="163"/>
      <c r="S179" s="40"/>
      <c r="T179" s="117"/>
      <c r="U179" s="214"/>
      <c r="V179" s="43"/>
      <c r="W179" s="40"/>
      <c r="X179" s="158"/>
      <c r="Y179" s="158"/>
      <c r="Z179" s="158"/>
      <c r="AA179" s="158"/>
      <c r="AB179" s="158"/>
      <c r="AC179" s="158"/>
      <c r="AD179" s="177"/>
      <c r="AE179" s="74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</row>
    <row r="180" spans="1:45" ht="16.5" customHeight="1">
      <c r="A180" s="224"/>
      <c r="B180" s="224"/>
      <c r="C180" s="223"/>
      <c r="D180" s="165"/>
      <c r="E180" s="165"/>
      <c r="F180" s="165"/>
      <c r="G180" s="198"/>
      <c r="H180" s="198"/>
      <c r="I180" s="155"/>
      <c r="J180" s="155"/>
      <c r="K180" s="155"/>
      <c r="L180" s="165"/>
      <c r="M180" s="165"/>
      <c r="N180" s="37"/>
      <c r="O180" s="37"/>
      <c r="P180" s="228"/>
      <c r="Q180" s="163"/>
      <c r="R180" s="163"/>
      <c r="S180" s="40"/>
      <c r="T180" s="117"/>
      <c r="U180" s="117"/>
      <c r="V180" s="43"/>
      <c r="W180" s="40"/>
      <c r="X180" s="158"/>
      <c r="Y180" s="158"/>
      <c r="Z180" s="158"/>
      <c r="AA180" s="158"/>
      <c r="AB180" s="158"/>
      <c r="AC180" s="158"/>
      <c r="AD180" s="230"/>
      <c r="AE180" s="74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</row>
    <row r="181" spans="1:45" ht="16.5" customHeight="1">
      <c r="A181" s="224"/>
      <c r="B181" s="224"/>
      <c r="C181" s="223"/>
      <c r="D181" s="165"/>
      <c r="E181" s="165"/>
      <c r="F181" s="165"/>
      <c r="G181" s="198"/>
      <c r="H181" s="198"/>
      <c r="I181" s="155"/>
      <c r="J181" s="155"/>
      <c r="K181" s="155"/>
      <c r="L181" s="155"/>
      <c r="M181" s="155"/>
      <c r="N181" s="37"/>
      <c r="O181" s="37"/>
      <c r="P181" s="199"/>
      <c r="Q181" s="163"/>
      <c r="R181" s="163"/>
      <c r="S181" s="40"/>
      <c r="T181" s="117"/>
      <c r="U181" s="117"/>
      <c r="V181" s="43"/>
      <c r="W181" s="40"/>
      <c r="X181" s="158"/>
      <c r="Y181" s="158"/>
      <c r="Z181" s="158"/>
      <c r="AA181" s="230"/>
      <c r="AB181" s="230"/>
      <c r="AC181" s="230"/>
      <c r="AD181" s="230"/>
      <c r="AE181" s="74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</row>
    <row r="182" spans="1:45" ht="16.5" customHeight="1">
      <c r="A182" s="224"/>
      <c r="B182" s="224"/>
      <c r="C182" s="223"/>
      <c r="D182" s="201"/>
      <c r="E182" s="201"/>
      <c r="F182" s="201"/>
      <c r="G182" s="198"/>
      <c r="H182" s="198"/>
      <c r="I182" s="181"/>
      <c r="J182" s="181"/>
      <c r="K182" s="181"/>
      <c r="L182" s="156"/>
      <c r="M182" s="156"/>
      <c r="N182" s="37"/>
      <c r="O182" s="37"/>
      <c r="P182" s="228"/>
      <c r="Q182" s="163"/>
      <c r="R182" s="163"/>
      <c r="S182" s="40"/>
      <c r="T182" s="117"/>
      <c r="U182" s="214"/>
      <c r="V182" s="43"/>
      <c r="W182" s="40"/>
      <c r="X182" s="158"/>
      <c r="Y182" s="158"/>
      <c r="Z182" s="158"/>
      <c r="AA182" s="230"/>
      <c r="AB182" s="230"/>
      <c r="AC182" s="230"/>
      <c r="AD182" s="230"/>
      <c r="AE182" s="74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</row>
    <row r="183" spans="1:45" ht="16.5" customHeight="1">
      <c r="A183" s="224"/>
      <c r="B183" s="224"/>
      <c r="C183" s="223"/>
      <c r="D183" s="201"/>
      <c r="E183" s="201"/>
      <c r="F183" s="201"/>
      <c r="G183" s="198"/>
      <c r="H183" s="198"/>
      <c r="I183" s="155"/>
      <c r="J183" s="155"/>
      <c r="K183" s="181"/>
      <c r="L183" s="156"/>
      <c r="M183" s="156"/>
      <c r="N183" s="37"/>
      <c r="O183" s="37"/>
      <c r="P183" s="228"/>
      <c r="Q183" s="163"/>
      <c r="R183" s="163"/>
      <c r="S183" s="40"/>
      <c r="T183" s="117"/>
      <c r="U183" s="214"/>
      <c r="V183" s="43"/>
      <c r="W183" s="40"/>
      <c r="X183" s="158"/>
      <c r="Y183" s="158"/>
      <c r="Z183" s="158"/>
      <c r="AA183" s="230"/>
      <c r="AB183" s="230"/>
      <c r="AC183" s="230"/>
      <c r="AD183" s="230"/>
      <c r="AE183" s="74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</row>
    <row r="184" spans="1:45" ht="16.5" customHeight="1">
      <c r="A184" s="224"/>
      <c r="B184" s="224"/>
      <c r="C184" s="61"/>
      <c r="D184" s="167"/>
      <c r="E184" s="167"/>
      <c r="F184" s="167"/>
      <c r="G184" s="64"/>
      <c r="H184" s="64"/>
      <c r="I184" s="167"/>
      <c r="J184" s="167"/>
      <c r="K184" s="231"/>
      <c r="L184" s="231"/>
      <c r="M184" s="231"/>
      <c r="N184" s="67"/>
      <c r="O184" s="67"/>
      <c r="P184" s="232"/>
      <c r="Q184" s="233"/>
      <c r="R184" s="233"/>
      <c r="S184" s="70"/>
      <c r="T184" s="234"/>
      <c r="U184" s="72"/>
      <c r="V184" s="72"/>
      <c r="W184" s="74"/>
      <c r="X184" s="230"/>
      <c r="Y184" s="230"/>
      <c r="Z184" s="70"/>
      <c r="AA184" s="230"/>
      <c r="AB184" s="230"/>
      <c r="AC184" s="230"/>
      <c r="AD184" s="230"/>
      <c r="AE184" s="74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</row>
    <row r="185" spans="1:45" ht="16.5" customHeight="1">
      <c r="A185" s="224"/>
      <c r="B185" s="224"/>
      <c r="C185" s="61"/>
      <c r="D185" s="167"/>
      <c r="E185" s="167"/>
      <c r="F185" s="167"/>
      <c r="G185" s="64"/>
      <c r="H185" s="64"/>
      <c r="I185" s="167"/>
      <c r="J185" s="167"/>
      <c r="K185" s="231"/>
      <c r="L185" s="231"/>
      <c r="M185" s="231"/>
      <c r="N185" s="67"/>
      <c r="O185" s="67"/>
      <c r="P185" s="232"/>
      <c r="Q185" s="233"/>
      <c r="R185" s="233"/>
      <c r="S185" s="70"/>
      <c r="T185" s="234"/>
      <c r="U185" s="72"/>
      <c r="V185" s="72"/>
      <c r="W185" s="74"/>
      <c r="X185" s="230"/>
      <c r="Y185" s="230"/>
      <c r="Z185" s="70"/>
      <c r="AA185" s="230"/>
      <c r="AB185" s="230"/>
      <c r="AC185" s="230"/>
      <c r="AD185" s="230"/>
      <c r="AE185" s="74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</row>
    <row r="186" spans="1:45" ht="16.5" customHeight="1">
      <c r="A186" s="224"/>
      <c r="B186" s="224"/>
      <c r="C186" s="61"/>
      <c r="D186" s="167"/>
      <c r="E186" s="167"/>
      <c r="F186" s="167"/>
      <c r="G186" s="64"/>
      <c r="H186" s="64"/>
      <c r="I186" s="167"/>
      <c r="J186" s="167"/>
      <c r="K186" s="231"/>
      <c r="L186" s="231"/>
      <c r="M186" s="231"/>
      <c r="N186" s="67"/>
      <c r="O186" s="67"/>
      <c r="P186" s="232"/>
      <c r="Q186" s="233"/>
      <c r="R186" s="233"/>
      <c r="S186" s="70"/>
      <c r="T186" s="234"/>
      <c r="U186" s="72"/>
      <c r="V186" s="72"/>
      <c r="W186" s="74"/>
      <c r="X186" s="230"/>
      <c r="Y186" s="230"/>
      <c r="Z186" s="70"/>
      <c r="AA186" s="230"/>
      <c r="AB186" s="230"/>
      <c r="AC186" s="230"/>
      <c r="AD186" s="230"/>
      <c r="AE186" s="74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</row>
    <row r="187" spans="1:45" ht="16.5" customHeight="1">
      <c r="A187" s="224"/>
      <c r="B187" s="224"/>
      <c r="C187" s="61"/>
      <c r="D187" s="167"/>
      <c r="E187" s="167"/>
      <c r="F187" s="167"/>
      <c r="G187" s="64"/>
      <c r="H187" s="64"/>
      <c r="I187" s="167"/>
      <c r="J187" s="167"/>
      <c r="K187" s="231"/>
      <c r="L187" s="231"/>
      <c r="M187" s="231"/>
      <c r="N187" s="67"/>
      <c r="O187" s="67"/>
      <c r="P187" s="232"/>
      <c r="Q187" s="233"/>
      <c r="R187" s="233"/>
      <c r="S187" s="70"/>
      <c r="T187" s="234"/>
      <c r="U187" s="72"/>
      <c r="V187" s="72"/>
      <c r="W187" s="74"/>
      <c r="X187" s="230"/>
      <c r="Y187" s="230"/>
      <c r="Z187" s="70"/>
      <c r="AA187" s="230"/>
      <c r="AB187" s="230"/>
      <c r="AC187" s="230"/>
      <c r="AD187" s="230"/>
      <c r="AE187" s="74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</row>
    <row r="188" spans="1:45" ht="16.5" customHeight="1">
      <c r="A188" s="224"/>
      <c r="B188" s="224"/>
      <c r="C188" s="61"/>
      <c r="D188" s="167"/>
      <c r="E188" s="167"/>
      <c r="F188" s="167"/>
      <c r="G188" s="64"/>
      <c r="H188" s="64"/>
      <c r="I188" s="167"/>
      <c r="J188" s="167"/>
      <c r="K188" s="231"/>
      <c r="L188" s="231"/>
      <c r="M188" s="231"/>
      <c r="N188" s="67"/>
      <c r="O188" s="67"/>
      <c r="P188" s="232"/>
      <c r="Q188" s="233"/>
      <c r="R188" s="233"/>
      <c r="S188" s="70"/>
      <c r="T188" s="234"/>
      <c r="U188" s="72"/>
      <c r="V188" s="72"/>
      <c r="W188" s="74"/>
      <c r="X188" s="230"/>
      <c r="Y188" s="230"/>
      <c r="Z188" s="70"/>
      <c r="AA188" s="230"/>
      <c r="AB188" s="230"/>
      <c r="AC188" s="230"/>
      <c r="AD188" s="230"/>
      <c r="AE188" s="74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</row>
    <row r="189" spans="1:45" ht="16.5" customHeight="1">
      <c r="A189" s="224"/>
      <c r="B189" s="224"/>
      <c r="C189" s="61"/>
      <c r="D189" s="167"/>
      <c r="E189" s="167"/>
      <c r="F189" s="167"/>
      <c r="G189" s="64"/>
      <c r="H189" s="64"/>
      <c r="I189" s="167"/>
      <c r="J189" s="167"/>
      <c r="K189" s="231"/>
      <c r="L189" s="231"/>
      <c r="M189" s="231"/>
      <c r="N189" s="67"/>
      <c r="O189" s="67"/>
      <c r="P189" s="232"/>
      <c r="Q189" s="233"/>
      <c r="R189" s="233"/>
      <c r="S189" s="70"/>
      <c r="T189" s="234"/>
      <c r="U189" s="72"/>
      <c r="V189" s="72"/>
      <c r="W189" s="74"/>
      <c r="X189" s="230"/>
      <c r="Y189" s="230"/>
      <c r="Z189" s="70"/>
      <c r="AA189" s="230"/>
      <c r="AB189" s="230"/>
      <c r="AC189" s="230"/>
      <c r="AD189" s="230"/>
      <c r="AE189" s="74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</row>
    <row r="190" spans="1:45" ht="16.5" customHeight="1">
      <c r="A190" s="224"/>
      <c r="B190" s="224"/>
      <c r="C190" s="61"/>
      <c r="D190" s="167"/>
      <c r="E190" s="167"/>
      <c r="F190" s="167"/>
      <c r="G190" s="64"/>
      <c r="H190" s="64"/>
      <c r="I190" s="167"/>
      <c r="J190" s="167"/>
      <c r="K190" s="231"/>
      <c r="L190" s="231"/>
      <c r="M190" s="231"/>
      <c r="N190" s="67"/>
      <c r="O190" s="67"/>
      <c r="P190" s="232"/>
      <c r="Q190" s="233"/>
      <c r="R190" s="233"/>
      <c r="S190" s="70"/>
      <c r="T190" s="234"/>
      <c r="U190" s="72"/>
      <c r="V190" s="72"/>
      <c r="W190" s="74"/>
      <c r="X190" s="230"/>
      <c r="Y190" s="230"/>
      <c r="Z190" s="70"/>
      <c r="AA190" s="230"/>
      <c r="AB190" s="230"/>
      <c r="AC190" s="230"/>
      <c r="AD190" s="230"/>
      <c r="AE190" s="74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</row>
    <row r="191" spans="1:45" ht="16.5" customHeight="1">
      <c r="A191" s="235"/>
      <c r="B191" s="235"/>
      <c r="C191" s="236"/>
      <c r="D191" s="237"/>
      <c r="E191" s="237"/>
      <c r="F191" s="237"/>
      <c r="G191" s="238"/>
      <c r="H191" s="238"/>
      <c r="I191" s="169"/>
      <c r="J191" s="169"/>
      <c r="K191" s="239"/>
      <c r="L191" s="173"/>
      <c r="M191" s="173"/>
      <c r="N191" s="231"/>
      <c r="O191" s="231"/>
      <c r="P191" s="240"/>
      <c r="Q191" s="213"/>
      <c r="R191" s="213"/>
      <c r="S191" s="70"/>
      <c r="T191" s="234"/>
      <c r="U191" s="241"/>
      <c r="V191" s="242"/>
      <c r="W191" s="74"/>
      <c r="X191" s="243"/>
      <c r="Y191" s="243"/>
      <c r="Z191" s="243"/>
      <c r="AA191" s="243"/>
      <c r="AB191" s="244"/>
      <c r="AC191" s="243"/>
      <c r="AD191" s="243"/>
      <c r="AE191" s="45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</row>
    <row r="192" spans="1:45" ht="16.5" customHeight="1">
      <c r="A192" s="235"/>
      <c r="B192" s="235"/>
      <c r="C192" s="61"/>
      <c r="D192" s="167"/>
      <c r="E192" s="167"/>
      <c r="F192" s="167"/>
      <c r="G192" s="245"/>
      <c r="H192" s="245"/>
      <c r="I192" s="239"/>
      <c r="J192" s="239"/>
      <c r="K192" s="239"/>
      <c r="L192" s="173"/>
      <c r="M192" s="173"/>
      <c r="N192" s="67"/>
      <c r="O192" s="67"/>
      <c r="P192" s="240"/>
      <c r="Q192" s="213"/>
      <c r="R192" s="213"/>
      <c r="S192" s="230"/>
      <c r="T192" s="234"/>
      <c r="U192" s="72"/>
      <c r="V192" s="72"/>
      <c r="W192" s="74"/>
      <c r="X192" s="230"/>
      <c r="Y192" s="230"/>
      <c r="Z192" s="230"/>
      <c r="AA192" s="243"/>
      <c r="AB192" s="230"/>
      <c r="AC192" s="243"/>
      <c r="AD192" s="65"/>
      <c r="AE192" s="45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</row>
    <row r="193" spans="1:45" ht="16.5" customHeight="1">
      <c r="A193" s="235"/>
      <c r="B193" s="235"/>
      <c r="C193" s="61"/>
      <c r="D193" s="167"/>
      <c r="E193" s="167"/>
      <c r="F193" s="167"/>
      <c r="G193" s="238"/>
      <c r="H193" s="238"/>
      <c r="I193" s="239"/>
      <c r="J193" s="239"/>
      <c r="K193" s="239"/>
      <c r="L193" s="173"/>
      <c r="M193" s="173"/>
      <c r="N193" s="67"/>
      <c r="O193" s="67"/>
      <c r="P193" s="240"/>
      <c r="Q193" s="213"/>
      <c r="R193" s="213"/>
      <c r="S193" s="70"/>
      <c r="T193" s="246"/>
      <c r="U193" s="174"/>
      <c r="V193" s="242"/>
      <c r="W193" s="61"/>
      <c r="X193" s="65"/>
      <c r="Y193" s="65"/>
      <c r="Z193" s="230"/>
      <c r="AA193" s="243"/>
      <c r="AB193" s="65"/>
      <c r="AC193" s="243"/>
      <c r="AD193" s="74"/>
      <c r="AE193" s="45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</row>
    <row r="194" spans="1:45" ht="16.5" customHeight="1">
      <c r="A194" s="247"/>
      <c r="B194" s="247"/>
      <c r="C194" s="61"/>
      <c r="D194" s="167"/>
      <c r="E194" s="167"/>
      <c r="F194" s="167"/>
      <c r="G194" s="64"/>
      <c r="H194" s="64"/>
      <c r="I194" s="230"/>
      <c r="J194" s="230"/>
      <c r="K194" s="230"/>
      <c r="L194" s="230"/>
      <c r="M194" s="230"/>
      <c r="N194" s="74"/>
      <c r="O194" s="74"/>
      <c r="P194" s="232"/>
      <c r="Q194" s="246"/>
      <c r="R194" s="246"/>
      <c r="S194" s="61"/>
      <c r="T194" s="246"/>
      <c r="U194" s="246"/>
      <c r="V194" s="246"/>
      <c r="W194" s="61"/>
      <c r="X194" s="61"/>
      <c r="Y194" s="61"/>
      <c r="Z194" s="61"/>
      <c r="AA194" s="61"/>
      <c r="AB194" s="61"/>
      <c r="AC194" s="61"/>
      <c r="AD194" s="230"/>
      <c r="AE194" s="65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</row>
    <row r="195" spans="1:45" ht="16.5" customHeight="1">
      <c r="A195" s="248"/>
      <c r="B195" s="248"/>
      <c r="C195" s="61"/>
      <c r="D195" s="167"/>
      <c r="E195" s="167"/>
      <c r="F195" s="167"/>
      <c r="G195" s="245"/>
      <c r="H195" s="245"/>
      <c r="I195" s="169"/>
      <c r="J195" s="169"/>
      <c r="K195" s="249"/>
      <c r="L195" s="239"/>
      <c r="M195" s="239"/>
      <c r="N195" s="173"/>
      <c r="O195" s="173"/>
      <c r="P195" s="232"/>
      <c r="Q195" s="234"/>
      <c r="R195" s="234"/>
      <c r="S195" s="70"/>
      <c r="T195" s="234"/>
      <c r="U195" s="174"/>
      <c r="V195" s="72"/>
      <c r="W195" s="61"/>
      <c r="X195" s="230"/>
      <c r="Y195" s="230"/>
      <c r="Z195" s="243"/>
      <c r="AA195" s="230"/>
      <c r="AB195" s="45"/>
      <c r="AC195" s="230"/>
      <c r="AD195" s="230"/>
      <c r="AE195" s="74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</row>
    <row r="196" spans="1:45" ht="16.5" customHeight="1">
      <c r="A196" s="248"/>
      <c r="B196" s="248"/>
      <c r="C196" s="61"/>
      <c r="D196" s="167"/>
      <c r="E196" s="167"/>
      <c r="F196" s="167"/>
      <c r="G196" s="245"/>
      <c r="H196" s="245"/>
      <c r="I196" s="167"/>
      <c r="J196" s="167"/>
      <c r="K196" s="231"/>
      <c r="L196" s="67"/>
      <c r="M196" s="67"/>
      <c r="N196" s="67"/>
      <c r="O196" s="67"/>
      <c r="P196" s="232"/>
      <c r="Q196" s="233"/>
      <c r="R196" s="233"/>
      <c r="S196" s="70"/>
      <c r="T196" s="234"/>
      <c r="U196" s="72"/>
      <c r="V196" s="72"/>
      <c r="W196" s="61"/>
      <c r="X196" s="230"/>
      <c r="Y196" s="230"/>
      <c r="Z196" s="70"/>
      <c r="AA196" s="230"/>
      <c r="AB196" s="230"/>
      <c r="AC196" s="230"/>
      <c r="AD196" s="230"/>
      <c r="AE196" s="74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</row>
    <row r="197" spans="1:45" ht="16.5" customHeight="1">
      <c r="A197" s="248"/>
      <c r="B197" s="248"/>
      <c r="C197" s="61"/>
      <c r="D197" s="167"/>
      <c r="E197" s="167"/>
      <c r="F197" s="167"/>
      <c r="G197" s="245"/>
      <c r="H197" s="245"/>
      <c r="I197" s="167"/>
      <c r="J197" s="167"/>
      <c r="K197" s="231"/>
      <c r="L197" s="67"/>
      <c r="M197" s="67"/>
      <c r="N197" s="67"/>
      <c r="O197" s="67"/>
      <c r="P197" s="232"/>
      <c r="Q197" s="250"/>
      <c r="R197" s="250"/>
      <c r="S197" s="70"/>
      <c r="T197" s="234"/>
      <c r="U197" s="174"/>
      <c r="V197" s="242"/>
      <c r="W197" s="61"/>
      <c r="X197" s="65"/>
      <c r="Y197" s="65"/>
      <c r="Z197" s="70"/>
      <c r="AA197" s="65"/>
      <c r="AB197" s="65"/>
      <c r="AC197" s="65"/>
      <c r="AD197" s="65"/>
      <c r="AE197" s="65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</row>
    <row r="198" spans="1:45" ht="16.5" customHeight="1">
      <c r="A198" s="247"/>
      <c r="B198" s="247"/>
      <c r="C198" s="251"/>
      <c r="D198" s="167"/>
      <c r="E198" s="167"/>
      <c r="F198" s="167"/>
      <c r="G198" s="64"/>
      <c r="H198" s="64"/>
      <c r="I198" s="230"/>
      <c r="J198" s="230"/>
      <c r="K198" s="230"/>
      <c r="L198" s="230"/>
      <c r="M198" s="230"/>
      <c r="N198" s="74"/>
      <c r="O198" s="74"/>
      <c r="P198" s="232"/>
      <c r="Q198" s="234"/>
      <c r="R198" s="234"/>
      <c r="S198" s="74"/>
      <c r="T198" s="234"/>
      <c r="U198" s="234"/>
      <c r="V198" s="246"/>
      <c r="W198" s="61"/>
      <c r="X198" s="61"/>
      <c r="Y198" s="61"/>
      <c r="Z198" s="61"/>
      <c r="AA198" s="61"/>
      <c r="AB198" s="61"/>
      <c r="AC198" s="61"/>
      <c r="AD198" s="230"/>
      <c r="AE198" s="74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</row>
    <row r="199" spans="1:45" ht="16.5" customHeight="1">
      <c r="A199" s="212"/>
      <c r="B199" s="212"/>
      <c r="C199" s="92"/>
      <c r="D199" s="252"/>
      <c r="E199" s="252"/>
      <c r="F199" s="252"/>
      <c r="G199" s="64"/>
      <c r="H199" s="64"/>
      <c r="I199" s="230"/>
      <c r="J199" s="230"/>
      <c r="K199" s="253"/>
      <c r="L199" s="230"/>
      <c r="M199" s="230"/>
      <c r="N199" s="74"/>
      <c r="O199" s="74"/>
      <c r="P199" s="68"/>
      <c r="Q199" s="234"/>
      <c r="R199" s="234"/>
      <c r="S199" s="74"/>
      <c r="T199" s="234"/>
      <c r="U199" s="234"/>
      <c r="V199" s="246"/>
      <c r="W199" s="61"/>
      <c r="X199" s="61"/>
      <c r="Y199" s="61"/>
      <c r="Z199" s="61"/>
      <c r="AA199" s="61"/>
      <c r="AB199" s="61"/>
      <c r="AC199" s="61"/>
      <c r="AD199" s="230"/>
      <c r="AE199" s="74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</row>
    <row r="200" spans="1:45" ht="16.5" customHeight="1">
      <c r="A200" s="247"/>
      <c r="B200" s="247"/>
      <c r="C200" s="251"/>
      <c r="D200" s="167"/>
      <c r="E200" s="167"/>
      <c r="F200" s="167"/>
      <c r="G200" s="64"/>
      <c r="H200" s="64"/>
      <c r="I200" s="230"/>
      <c r="J200" s="230"/>
      <c r="K200" s="230"/>
      <c r="L200" s="230"/>
      <c r="M200" s="230"/>
      <c r="N200" s="74"/>
      <c r="O200" s="74"/>
      <c r="P200" s="232"/>
      <c r="Q200" s="234"/>
      <c r="R200" s="234"/>
      <c r="S200" s="74"/>
      <c r="T200" s="234"/>
      <c r="U200" s="234"/>
      <c r="V200" s="246"/>
      <c r="W200" s="61"/>
      <c r="X200" s="61"/>
      <c r="Y200" s="61"/>
      <c r="Z200" s="61"/>
      <c r="AA200" s="61"/>
      <c r="AB200" s="61"/>
      <c r="AC200" s="61"/>
      <c r="AD200" s="230"/>
      <c r="AE200" s="74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</row>
    <row r="201" spans="1:45" ht="16.5" customHeight="1">
      <c r="A201" s="247"/>
      <c r="B201" s="247"/>
      <c r="C201" s="251"/>
      <c r="D201" s="167"/>
      <c r="E201" s="167"/>
      <c r="F201" s="167"/>
      <c r="G201" s="64"/>
      <c r="H201" s="64"/>
      <c r="I201" s="230"/>
      <c r="J201" s="230"/>
      <c r="K201" s="230"/>
      <c r="L201" s="230"/>
      <c r="M201" s="230"/>
      <c r="N201" s="74"/>
      <c r="O201" s="74"/>
      <c r="P201" s="232"/>
      <c r="Q201" s="234"/>
      <c r="R201" s="234"/>
      <c r="S201" s="74"/>
      <c r="T201" s="234"/>
      <c r="U201" s="234"/>
      <c r="V201" s="246"/>
      <c r="W201" s="61"/>
      <c r="X201" s="61"/>
      <c r="Y201" s="61"/>
      <c r="Z201" s="61"/>
      <c r="AA201" s="61"/>
      <c r="AB201" s="61"/>
      <c r="AC201" s="61"/>
      <c r="AD201" s="230"/>
      <c r="AE201" s="74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</row>
    <row r="202" spans="1:45" ht="16.5" customHeight="1">
      <c r="A202" s="224"/>
      <c r="B202" s="224"/>
      <c r="C202" s="251"/>
      <c r="D202" s="167"/>
      <c r="E202" s="167"/>
      <c r="F202" s="167"/>
      <c r="G202" s="64"/>
      <c r="H202" s="64"/>
      <c r="I202" s="230"/>
      <c r="J202" s="230"/>
      <c r="K202" s="230"/>
      <c r="L202" s="230"/>
      <c r="M202" s="230"/>
      <c r="N202" s="74"/>
      <c r="O202" s="74"/>
      <c r="P202" s="232"/>
      <c r="Q202" s="246"/>
      <c r="R202" s="246"/>
      <c r="S202" s="61"/>
      <c r="T202" s="246"/>
      <c r="U202" s="246"/>
      <c r="V202" s="246"/>
      <c r="W202" s="61"/>
      <c r="X202" s="61"/>
      <c r="Y202" s="61"/>
      <c r="Z202" s="61"/>
      <c r="AA202" s="61"/>
      <c r="AB202" s="61"/>
      <c r="AC202" s="61"/>
      <c r="AD202" s="230"/>
      <c r="AE202" s="74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</row>
    <row r="203" spans="1:45" ht="16.5" customHeight="1">
      <c r="A203" s="235"/>
      <c r="B203" s="235"/>
      <c r="C203" s="254"/>
      <c r="D203" s="237"/>
      <c r="E203" s="237"/>
      <c r="F203" s="237"/>
      <c r="G203" s="255"/>
      <c r="H203" s="255"/>
      <c r="I203" s="239"/>
      <c r="J203" s="239"/>
      <c r="K203" s="239"/>
      <c r="L203" s="173"/>
      <c r="M203" s="173"/>
      <c r="N203" s="45"/>
      <c r="O203" s="45"/>
      <c r="P203" s="232"/>
      <c r="Q203" s="246"/>
      <c r="R203" s="246"/>
      <c r="S203" s="61"/>
      <c r="T203" s="246"/>
      <c r="U203" s="246"/>
      <c r="V203" s="246"/>
      <c r="W203" s="61"/>
      <c r="X203" s="61"/>
      <c r="Y203" s="61"/>
      <c r="Z203" s="61"/>
      <c r="AA203" s="61"/>
      <c r="AB203" s="256"/>
      <c r="AC203" s="61"/>
      <c r="AD203" s="230"/>
      <c r="AE203" s="74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</row>
    <row r="204" spans="1:45" ht="16.5" customHeight="1">
      <c r="A204" s="235"/>
      <c r="B204" s="235"/>
      <c r="C204" s="254"/>
      <c r="D204" s="237"/>
      <c r="E204" s="237"/>
      <c r="F204" s="237"/>
      <c r="G204" s="255"/>
      <c r="H204" s="255"/>
      <c r="I204" s="239"/>
      <c r="J204" s="239"/>
      <c r="K204" s="239"/>
      <c r="L204" s="173"/>
      <c r="M204" s="173"/>
      <c r="N204" s="45"/>
      <c r="O204" s="45"/>
      <c r="P204" s="232"/>
      <c r="Q204" s="246"/>
      <c r="R204" s="246"/>
      <c r="S204" s="61"/>
      <c r="T204" s="246"/>
      <c r="U204" s="246"/>
      <c r="V204" s="246"/>
      <c r="W204" s="61"/>
      <c r="X204" s="61"/>
      <c r="Y204" s="61"/>
      <c r="Z204" s="61"/>
      <c r="AA204" s="61"/>
      <c r="AB204" s="256"/>
      <c r="AC204" s="61"/>
      <c r="AD204" s="230"/>
      <c r="AE204" s="74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</row>
    <row r="205" spans="1:45" ht="16.5" customHeight="1">
      <c r="A205" s="216"/>
      <c r="B205" s="216"/>
      <c r="C205" s="217"/>
      <c r="D205" s="176"/>
      <c r="E205" s="176"/>
      <c r="F205" s="176"/>
      <c r="G205" s="162"/>
      <c r="H205" s="162"/>
      <c r="I205" s="218"/>
      <c r="J205" s="218"/>
      <c r="K205" s="219"/>
      <c r="L205" s="219"/>
      <c r="M205" s="219"/>
      <c r="N205" s="45"/>
      <c r="O205" s="45"/>
      <c r="P205" s="38"/>
      <c r="Q205" s="220"/>
      <c r="R205" s="220"/>
      <c r="S205" s="45"/>
      <c r="T205" s="220"/>
      <c r="U205" s="221"/>
      <c r="V205" s="213"/>
      <c r="W205" s="45"/>
      <c r="X205" s="218"/>
      <c r="Y205" s="218"/>
      <c r="Z205" s="218"/>
      <c r="AA205" s="219"/>
      <c r="AB205" s="219"/>
      <c r="AC205" s="219"/>
      <c r="AD205" s="45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</row>
    <row r="206" spans="1:45" ht="16.5" customHeight="1">
      <c r="A206" s="216"/>
      <c r="B206" s="216"/>
      <c r="C206" s="217"/>
      <c r="D206" s="176"/>
      <c r="E206" s="176"/>
      <c r="F206" s="176"/>
      <c r="G206" s="162"/>
      <c r="H206" s="162"/>
      <c r="I206" s="218"/>
      <c r="J206" s="218"/>
      <c r="K206" s="219"/>
      <c r="L206" s="219"/>
      <c r="M206" s="219"/>
      <c r="N206" s="45"/>
      <c r="O206" s="45"/>
      <c r="P206" s="38"/>
      <c r="Q206" s="220"/>
      <c r="R206" s="220"/>
      <c r="S206" s="45"/>
      <c r="T206" s="220"/>
      <c r="U206" s="221"/>
      <c r="V206" s="213"/>
      <c r="W206" s="45"/>
      <c r="X206" s="218"/>
      <c r="Y206" s="218"/>
      <c r="Z206" s="218"/>
      <c r="AA206" s="219"/>
      <c r="AB206" s="219"/>
      <c r="AC206" s="219"/>
      <c r="AD206" s="45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</row>
    <row r="207" spans="1:45" ht="16.5" customHeight="1">
      <c r="A207" s="257"/>
      <c r="B207" s="257"/>
      <c r="C207" s="31"/>
      <c r="D207" s="161"/>
      <c r="E207" s="161"/>
      <c r="F207" s="161"/>
      <c r="G207" s="45"/>
      <c r="H207" s="45"/>
      <c r="I207" s="218"/>
      <c r="J207" s="218"/>
      <c r="K207" s="218"/>
      <c r="L207" s="37"/>
      <c r="M207" s="37"/>
      <c r="N207" s="45"/>
      <c r="O207" s="45"/>
      <c r="P207" s="182"/>
      <c r="Q207" s="221"/>
      <c r="R207" s="221"/>
      <c r="S207" s="45"/>
      <c r="T207" s="221"/>
      <c r="U207" s="221"/>
      <c r="V207" s="213"/>
      <c r="W207" s="45"/>
      <c r="X207" s="31"/>
      <c r="Y207" s="31"/>
      <c r="Z207" s="218"/>
      <c r="AA207" s="45"/>
      <c r="AB207" s="258"/>
      <c r="AC207" s="45"/>
      <c r="AD207" s="45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</row>
    <row r="208" spans="1:45" ht="16.5" customHeight="1">
      <c r="A208" s="259"/>
      <c r="B208" s="259"/>
      <c r="C208" s="260"/>
      <c r="D208" s="261"/>
      <c r="E208" s="261"/>
      <c r="F208" s="261"/>
      <c r="G208" s="262"/>
      <c r="H208" s="262"/>
      <c r="I208" s="263"/>
      <c r="J208" s="263"/>
      <c r="K208" s="263"/>
      <c r="L208" s="264"/>
      <c r="M208" s="264"/>
      <c r="N208" s="45"/>
      <c r="O208" s="45"/>
      <c r="P208" s="265"/>
      <c r="Q208" s="221"/>
      <c r="R208" s="221"/>
      <c r="S208" s="45"/>
      <c r="T208" s="221"/>
      <c r="U208" s="266"/>
      <c r="V208" s="213"/>
      <c r="W208" s="45"/>
      <c r="X208" s="260"/>
      <c r="Y208" s="260"/>
      <c r="Z208" s="218"/>
      <c r="AA208" s="267"/>
      <c r="AB208" s="258"/>
      <c r="AC208" s="267"/>
      <c r="AD208" s="45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</row>
    <row r="209" spans="1:45" ht="16.5" customHeight="1">
      <c r="A209" s="259"/>
      <c r="B209" s="259"/>
      <c r="C209" s="268"/>
      <c r="D209" s="161"/>
      <c r="E209" s="161"/>
      <c r="F209" s="161"/>
      <c r="G209" s="269"/>
      <c r="H209" s="269"/>
      <c r="I209" s="263"/>
      <c r="J209" s="263"/>
      <c r="K209" s="263"/>
      <c r="L209" s="264"/>
      <c r="M209" s="264"/>
      <c r="N209" s="45"/>
      <c r="O209" s="45"/>
      <c r="P209" s="265"/>
      <c r="Q209" s="221"/>
      <c r="R209" s="221"/>
      <c r="S209" s="45"/>
      <c r="T209" s="221"/>
      <c r="U209" s="221"/>
      <c r="V209" s="213"/>
      <c r="W209" s="45"/>
      <c r="X209" s="260"/>
      <c r="Y209" s="260"/>
      <c r="Z209" s="218"/>
      <c r="AA209" s="267"/>
      <c r="AB209" s="258"/>
      <c r="AC209" s="267"/>
      <c r="AD209" s="45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</row>
    <row r="210" spans="1:45" ht="16.5" customHeight="1">
      <c r="A210" s="259"/>
      <c r="B210" s="259"/>
      <c r="C210" s="268"/>
      <c r="D210" s="161"/>
      <c r="E210" s="161"/>
      <c r="F210" s="161"/>
      <c r="G210" s="269"/>
      <c r="H210" s="269"/>
      <c r="I210" s="263"/>
      <c r="J210" s="263"/>
      <c r="K210" s="263"/>
      <c r="L210" s="264"/>
      <c r="M210" s="264"/>
      <c r="N210" s="45"/>
      <c r="O210" s="45"/>
      <c r="P210" s="265"/>
      <c r="Q210" s="221"/>
      <c r="R210" s="221"/>
      <c r="S210" s="45"/>
      <c r="T210" s="221"/>
      <c r="U210" s="221"/>
      <c r="V210" s="213"/>
      <c r="W210" s="45"/>
      <c r="X210" s="260"/>
      <c r="Y210" s="260"/>
      <c r="Z210" s="218"/>
      <c r="AA210" s="45"/>
      <c r="AB210" s="258"/>
      <c r="AC210" s="45"/>
      <c r="AD210" s="45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</row>
    <row r="211" spans="1:45" ht="16.5" customHeight="1">
      <c r="A211" s="270"/>
      <c r="B211" s="270"/>
      <c r="C211" s="217"/>
      <c r="D211" s="176"/>
      <c r="E211" s="176"/>
      <c r="F211" s="176"/>
      <c r="G211" s="45"/>
      <c r="H211" s="45"/>
      <c r="I211" s="218"/>
      <c r="J211" s="218"/>
      <c r="K211" s="219"/>
      <c r="L211" s="33"/>
      <c r="M211" s="33"/>
      <c r="N211" s="45"/>
      <c r="O211" s="45"/>
      <c r="P211" s="38"/>
      <c r="Q211" s="221"/>
      <c r="R211" s="221"/>
      <c r="S211" s="45"/>
      <c r="T211" s="220"/>
      <c r="U211" s="221"/>
      <c r="V211" s="213"/>
      <c r="W211" s="45"/>
      <c r="X211" s="218"/>
      <c r="Y211" s="218"/>
      <c r="Z211" s="218"/>
      <c r="AA211" s="45"/>
      <c r="AB211" s="258"/>
      <c r="AC211" s="45"/>
      <c r="AD211" s="45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</row>
    <row r="212" spans="1:45" ht="16.5" customHeight="1">
      <c r="A212" s="257"/>
      <c r="B212" s="257"/>
      <c r="C212" s="268"/>
      <c r="D212" s="176"/>
      <c r="E212" s="176"/>
      <c r="F212" s="176"/>
      <c r="G212" s="271"/>
      <c r="H212" s="271"/>
      <c r="I212" s="263"/>
      <c r="J212" s="263"/>
      <c r="K212" s="218"/>
      <c r="L212" s="37"/>
      <c r="M212" s="37"/>
      <c r="N212" s="45"/>
      <c r="O212" s="45"/>
      <c r="P212" s="182"/>
      <c r="Q212" s="221"/>
      <c r="R212" s="221"/>
      <c r="S212" s="45"/>
      <c r="T212" s="221"/>
      <c r="U212" s="221"/>
      <c r="V212" s="213"/>
      <c r="W212" s="45"/>
      <c r="X212" s="260"/>
      <c r="Y212" s="260"/>
      <c r="Z212" s="218"/>
      <c r="AA212" s="267"/>
      <c r="AB212" s="258"/>
      <c r="AC212" s="267"/>
      <c r="AD212" s="45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</row>
    <row r="213" spans="1:45" ht="16.5" customHeight="1">
      <c r="A213" s="248"/>
      <c r="B213" s="248"/>
      <c r="C213" s="268"/>
      <c r="D213" s="161"/>
      <c r="E213" s="161"/>
      <c r="F213" s="161"/>
      <c r="G213" s="271"/>
      <c r="H213" s="271"/>
      <c r="I213" s="263"/>
      <c r="J213" s="263"/>
      <c r="K213" s="218"/>
      <c r="L213" s="37"/>
      <c r="M213" s="37"/>
      <c r="N213" s="45"/>
      <c r="O213" s="45"/>
      <c r="P213" s="182"/>
      <c r="Q213" s="221"/>
      <c r="R213" s="221"/>
      <c r="S213" s="45"/>
      <c r="T213" s="221"/>
      <c r="U213" s="221"/>
      <c r="V213" s="213"/>
      <c r="W213" s="45"/>
      <c r="X213" s="260"/>
      <c r="Y213" s="260"/>
      <c r="Z213" s="218"/>
      <c r="AA213" s="267"/>
      <c r="AB213" s="258"/>
      <c r="AC213" s="267"/>
      <c r="AD213" s="45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</row>
    <row r="214" spans="1:45" ht="16.5" customHeight="1">
      <c r="A214" s="248"/>
      <c r="B214" s="248"/>
      <c r="C214" s="268"/>
      <c r="D214" s="161"/>
      <c r="E214" s="161"/>
      <c r="F214" s="161"/>
      <c r="G214" s="271"/>
      <c r="H214" s="271"/>
      <c r="I214" s="263"/>
      <c r="J214" s="263"/>
      <c r="K214" s="218"/>
      <c r="L214" s="37"/>
      <c r="M214" s="37"/>
      <c r="N214" s="45"/>
      <c r="O214" s="45"/>
      <c r="P214" s="182"/>
      <c r="Q214" s="221"/>
      <c r="R214" s="221"/>
      <c r="S214" s="45"/>
      <c r="T214" s="221"/>
      <c r="U214" s="221"/>
      <c r="V214" s="213"/>
      <c r="W214" s="45"/>
      <c r="X214" s="260"/>
      <c r="Y214" s="260"/>
      <c r="Z214" s="218"/>
      <c r="AA214" s="267"/>
      <c r="AB214" s="258"/>
      <c r="AC214" s="267"/>
      <c r="AD214" s="45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</row>
    <row r="215" spans="1:45" ht="16.5" customHeight="1">
      <c r="A215" s="235"/>
      <c r="B215" s="235"/>
      <c r="C215" s="268"/>
      <c r="D215" s="161"/>
      <c r="E215" s="161"/>
      <c r="F215" s="161"/>
      <c r="G215" s="271"/>
      <c r="H215" s="271"/>
      <c r="I215" s="218"/>
      <c r="J215" s="218"/>
      <c r="K215" s="218"/>
      <c r="L215" s="218"/>
      <c r="M215" s="218"/>
      <c r="N215" s="45"/>
      <c r="O215" s="45"/>
      <c r="P215" s="182"/>
      <c r="Q215" s="221"/>
      <c r="R215" s="221"/>
      <c r="S215" s="45"/>
      <c r="T215" s="221"/>
      <c r="U215" s="221"/>
      <c r="V215" s="213"/>
      <c r="W215" s="45"/>
      <c r="X215" s="218"/>
      <c r="Y215" s="218"/>
      <c r="Z215" s="218"/>
      <c r="AA215" s="45"/>
      <c r="AB215" s="258"/>
      <c r="AC215" s="45"/>
      <c r="AD215" s="45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</row>
    <row r="216" spans="1:45" ht="16.5" customHeight="1">
      <c r="A216" s="259"/>
      <c r="B216" s="259"/>
      <c r="C216" s="31"/>
      <c r="D216" s="161"/>
      <c r="E216" s="161"/>
      <c r="F216" s="161"/>
      <c r="G216" s="262"/>
      <c r="H216" s="262"/>
      <c r="I216" s="218"/>
      <c r="J216" s="218"/>
      <c r="K216" s="218"/>
      <c r="L216" s="37"/>
      <c r="M216" s="37"/>
      <c r="N216" s="45"/>
      <c r="O216" s="45"/>
      <c r="P216" s="182"/>
      <c r="Q216" s="221"/>
      <c r="R216" s="221"/>
      <c r="S216" s="45"/>
      <c r="T216" s="221"/>
      <c r="U216" s="221"/>
      <c r="V216" s="213"/>
      <c r="W216" s="45"/>
      <c r="X216" s="31"/>
      <c r="Y216" s="31"/>
      <c r="Z216" s="218"/>
      <c r="AA216" s="45"/>
      <c r="AB216" s="258"/>
      <c r="AC216" s="45"/>
      <c r="AD216" s="45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</row>
    <row r="217" spans="1:45" ht="16.5" customHeight="1">
      <c r="A217" s="216"/>
      <c r="B217" s="216"/>
      <c r="C217" s="217"/>
      <c r="D217" s="176"/>
      <c r="E217" s="176"/>
      <c r="F217" s="176"/>
      <c r="G217" s="162"/>
      <c r="H217" s="162"/>
      <c r="I217" s="218"/>
      <c r="J217" s="218"/>
      <c r="K217" s="219"/>
      <c r="L217" s="219"/>
      <c r="M217" s="219"/>
      <c r="N217" s="45"/>
      <c r="O217" s="45"/>
      <c r="P217" s="38"/>
      <c r="Q217" s="220"/>
      <c r="R217" s="220"/>
      <c r="S217" s="45"/>
      <c r="T217" s="220"/>
      <c r="U217" s="221"/>
      <c r="V217" s="213"/>
      <c r="W217" s="45"/>
      <c r="X217" s="218"/>
      <c r="Y217" s="218"/>
      <c r="Z217" s="218"/>
      <c r="AA217" s="219"/>
      <c r="AB217" s="219"/>
      <c r="AC217" s="219"/>
      <c r="AD217" s="45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</row>
    <row r="218" spans="1:45" ht="16.5" customHeight="1">
      <c r="A218" s="216"/>
      <c r="B218" s="216"/>
      <c r="C218" s="217"/>
      <c r="D218" s="176"/>
      <c r="E218" s="176"/>
      <c r="F218" s="176"/>
      <c r="G218" s="162"/>
      <c r="H218" s="162"/>
      <c r="I218" s="218"/>
      <c r="J218" s="218"/>
      <c r="K218" s="219"/>
      <c r="L218" s="219"/>
      <c r="M218" s="219"/>
      <c r="N218" s="45"/>
      <c r="O218" s="45"/>
      <c r="P218" s="38"/>
      <c r="Q218" s="220"/>
      <c r="R218" s="220"/>
      <c r="S218" s="45"/>
      <c r="T218" s="220"/>
      <c r="U218" s="221"/>
      <c r="V218" s="213"/>
      <c r="W218" s="45"/>
      <c r="X218" s="218"/>
      <c r="Y218" s="218"/>
      <c r="Z218" s="218"/>
      <c r="AA218" s="219"/>
      <c r="AB218" s="219"/>
      <c r="AC218" s="219"/>
      <c r="AD218" s="45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</row>
    <row r="219" spans="1:45" ht="16.5" customHeight="1">
      <c r="A219" s="216"/>
      <c r="B219" s="216"/>
      <c r="C219" s="217"/>
      <c r="D219" s="176"/>
      <c r="E219" s="176"/>
      <c r="F219" s="176"/>
      <c r="G219" s="162"/>
      <c r="H219" s="162"/>
      <c r="I219" s="218"/>
      <c r="J219" s="218"/>
      <c r="K219" s="219"/>
      <c r="L219" s="219"/>
      <c r="M219" s="219"/>
      <c r="N219" s="45"/>
      <c r="O219" s="45"/>
      <c r="P219" s="38"/>
      <c r="Q219" s="220"/>
      <c r="R219" s="220"/>
      <c r="S219" s="45"/>
      <c r="T219" s="220"/>
      <c r="U219" s="221"/>
      <c r="V219" s="213"/>
      <c r="W219" s="45"/>
      <c r="X219" s="218"/>
      <c r="Y219" s="218"/>
      <c r="Z219" s="218"/>
      <c r="AA219" s="219"/>
      <c r="AB219" s="219"/>
      <c r="AC219" s="219"/>
      <c r="AD219" s="45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</row>
    <row r="220" spans="1:45" ht="16.5" customHeight="1">
      <c r="A220" s="216"/>
      <c r="B220" s="216"/>
      <c r="C220" s="217"/>
      <c r="D220" s="176"/>
      <c r="E220" s="176"/>
      <c r="F220" s="176"/>
      <c r="G220" s="162"/>
      <c r="H220" s="162"/>
      <c r="I220" s="218"/>
      <c r="J220" s="218"/>
      <c r="K220" s="219"/>
      <c r="L220" s="219"/>
      <c r="M220" s="219"/>
      <c r="N220" s="45"/>
      <c r="O220" s="45"/>
      <c r="P220" s="38"/>
      <c r="Q220" s="220"/>
      <c r="R220" s="220"/>
      <c r="S220" s="45"/>
      <c r="T220" s="220"/>
      <c r="U220" s="221"/>
      <c r="V220" s="213"/>
      <c r="W220" s="45"/>
      <c r="X220" s="218"/>
      <c r="Y220" s="218"/>
      <c r="Z220" s="218"/>
      <c r="AA220" s="45"/>
      <c r="AB220" s="45"/>
      <c r="AC220" s="45"/>
      <c r="AD220" s="45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</row>
    <row r="221" spans="1:45" ht="16.5" customHeight="1">
      <c r="A221" s="216"/>
      <c r="B221" s="216"/>
      <c r="C221" s="217"/>
      <c r="D221" s="176"/>
      <c r="E221" s="176"/>
      <c r="F221" s="176"/>
      <c r="G221" s="162"/>
      <c r="H221" s="162"/>
      <c r="I221" s="219"/>
      <c r="J221" s="219"/>
      <c r="K221" s="219"/>
      <c r="L221" s="45"/>
      <c r="M221" s="45"/>
      <c r="N221" s="219"/>
      <c r="O221" s="219"/>
      <c r="P221" s="38"/>
      <c r="Q221" s="220"/>
      <c r="R221" s="220"/>
      <c r="S221" s="45"/>
      <c r="T221" s="220"/>
      <c r="U221" s="221"/>
      <c r="V221" s="213"/>
      <c r="W221" s="45"/>
      <c r="X221" s="218"/>
      <c r="Y221" s="218"/>
      <c r="Z221" s="218"/>
      <c r="AA221" s="45"/>
      <c r="AB221" s="45"/>
      <c r="AC221" s="45"/>
      <c r="AD221" s="45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</row>
    <row r="222" spans="1:45" ht="16.5" customHeight="1">
      <c r="A222" s="248"/>
      <c r="B222" s="248"/>
      <c r="C222" s="272"/>
      <c r="D222" s="273"/>
      <c r="E222" s="273"/>
      <c r="F222" s="273"/>
      <c r="G222" s="274"/>
      <c r="H222" s="274"/>
      <c r="I222" s="275"/>
      <c r="J222" s="275"/>
      <c r="K222" s="275"/>
      <c r="L222" s="276"/>
      <c r="M222" s="276"/>
      <c r="N222" s="275"/>
      <c r="O222" s="275"/>
      <c r="P222" s="277"/>
      <c r="Q222" s="278"/>
      <c r="R222" s="278"/>
      <c r="S222" s="272"/>
      <c r="T222" s="278"/>
      <c r="U222" s="278"/>
      <c r="V222" s="279"/>
      <c r="W222" s="280"/>
      <c r="X222" s="275"/>
      <c r="Y222" s="275"/>
      <c r="Z222" s="272"/>
      <c r="AA222" s="281"/>
      <c r="AB222" s="282"/>
      <c r="AC222" s="281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200"/>
      <c r="AP222" s="200"/>
      <c r="AQ222" s="200"/>
      <c r="AR222" s="200"/>
      <c r="AS222" s="200"/>
    </row>
    <row r="223" spans="1:45" ht="16.5" customHeight="1">
      <c r="A223" s="259"/>
      <c r="B223" s="259"/>
      <c r="C223" s="184"/>
      <c r="D223" s="283"/>
      <c r="E223" s="283"/>
      <c r="F223" s="283"/>
      <c r="G223" s="184"/>
      <c r="H223" s="184"/>
      <c r="I223" s="284"/>
      <c r="J223" s="284"/>
      <c r="K223" s="284"/>
      <c r="L223" s="185"/>
      <c r="M223" s="185"/>
      <c r="N223" s="45"/>
      <c r="O223" s="45"/>
      <c r="P223" s="277"/>
      <c r="Q223" s="285"/>
      <c r="R223" s="285"/>
      <c r="S223" s="272"/>
      <c r="T223" s="278"/>
      <c r="U223" s="278"/>
      <c r="V223" s="279"/>
      <c r="W223" s="280"/>
      <c r="X223" s="286"/>
      <c r="Y223" s="286"/>
      <c r="Z223" s="218"/>
      <c r="AA223" s="184"/>
      <c r="AB223" s="287"/>
      <c r="AC223" s="184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200"/>
      <c r="AP223" s="200"/>
      <c r="AQ223" s="200"/>
      <c r="AR223" s="200"/>
      <c r="AS223" s="200"/>
    </row>
    <row r="224" spans="1:45" ht="16.5" customHeight="1">
      <c r="A224" s="259"/>
      <c r="B224" s="259"/>
      <c r="C224" s="288"/>
      <c r="D224" s="273"/>
      <c r="E224" s="273"/>
      <c r="F224" s="273"/>
      <c r="G224" s="184"/>
      <c r="H224" s="184"/>
      <c r="I224" s="284"/>
      <c r="J224" s="284"/>
      <c r="K224" s="284"/>
      <c r="L224" s="185"/>
      <c r="M224" s="185"/>
      <c r="N224" s="218"/>
      <c r="O224" s="218"/>
      <c r="P224" s="277"/>
      <c r="Q224" s="289"/>
      <c r="R224" s="289"/>
      <c r="S224" s="272"/>
      <c r="T224" s="278"/>
      <c r="U224" s="278"/>
      <c r="V224" s="289"/>
      <c r="W224" s="272"/>
      <c r="X224" s="275"/>
      <c r="Y224" s="275"/>
      <c r="Z224" s="218"/>
      <c r="AA224" s="184"/>
      <c r="AB224" s="275"/>
      <c r="AC224" s="184"/>
      <c r="AD224" s="3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200"/>
      <c r="AP224" s="200"/>
      <c r="AQ224" s="200"/>
      <c r="AR224" s="200"/>
      <c r="AS224" s="200"/>
    </row>
    <row r="225" spans="1:45" ht="16.5" customHeight="1">
      <c r="A225" s="259"/>
      <c r="B225" s="259"/>
      <c r="C225" s="288"/>
      <c r="D225" s="273"/>
      <c r="E225" s="273"/>
      <c r="F225" s="273"/>
      <c r="G225" s="184"/>
      <c r="H225" s="184"/>
      <c r="I225" s="284"/>
      <c r="J225" s="284"/>
      <c r="K225" s="284"/>
      <c r="L225" s="185"/>
      <c r="M225" s="185"/>
      <c r="N225" s="45"/>
      <c r="O225" s="45"/>
      <c r="P225" s="277"/>
      <c r="Q225" s="289"/>
      <c r="R225" s="289"/>
      <c r="S225" s="272"/>
      <c r="T225" s="278"/>
      <c r="U225" s="278"/>
      <c r="V225" s="289"/>
      <c r="W225" s="272"/>
      <c r="X225" s="275"/>
      <c r="Y225" s="275"/>
      <c r="Z225" s="218"/>
      <c r="AA225" s="184"/>
      <c r="AB225" s="275"/>
      <c r="AC225" s="184"/>
      <c r="AD225" s="3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200"/>
      <c r="AP225" s="200"/>
      <c r="AQ225" s="200"/>
      <c r="AR225" s="200"/>
      <c r="AS225" s="200"/>
    </row>
    <row r="226" spans="1:45" ht="16.5" customHeight="1">
      <c r="A226" s="247"/>
      <c r="B226" s="247"/>
      <c r="C226" s="288"/>
      <c r="D226" s="273"/>
      <c r="E226" s="273"/>
      <c r="F226" s="273"/>
      <c r="G226" s="273"/>
      <c r="H226" s="273"/>
      <c r="I226" s="274"/>
      <c r="J226" s="274"/>
      <c r="K226" s="275"/>
      <c r="L226" s="275"/>
      <c r="M226" s="275"/>
      <c r="N226" s="276"/>
      <c r="O226" s="276"/>
      <c r="P226" s="277"/>
      <c r="Q226" s="289"/>
      <c r="R226" s="289"/>
      <c r="S226" s="272"/>
      <c r="T226" s="278"/>
      <c r="U226" s="278"/>
      <c r="V226" s="289"/>
      <c r="W226" s="272"/>
      <c r="X226" s="275"/>
      <c r="Y226" s="275"/>
      <c r="Z226" s="218"/>
      <c r="AA226" s="275"/>
      <c r="AB226" s="275"/>
      <c r="AC226" s="275"/>
      <c r="AD226" s="3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200"/>
      <c r="AP226" s="200"/>
      <c r="AQ226" s="200"/>
      <c r="AR226" s="200"/>
      <c r="AS226" s="200"/>
    </row>
    <row r="227" spans="1:45" ht="16.5" customHeight="1">
      <c r="A227" s="248"/>
      <c r="B227" s="248"/>
      <c r="C227" s="31"/>
      <c r="D227" s="161"/>
      <c r="E227" s="161"/>
      <c r="F227" s="161"/>
      <c r="G227" s="186"/>
      <c r="H227" s="186"/>
      <c r="I227" s="284"/>
      <c r="J227" s="284"/>
      <c r="K227" s="218"/>
      <c r="L227" s="275"/>
      <c r="M227" s="275"/>
      <c r="N227" s="276"/>
      <c r="O227" s="276"/>
      <c r="P227" s="277"/>
      <c r="Q227" s="290"/>
      <c r="R227" s="290"/>
      <c r="S227" s="281"/>
      <c r="T227" s="278"/>
      <c r="U227" s="278"/>
      <c r="V227" s="279"/>
      <c r="W227" s="280"/>
      <c r="X227" s="275"/>
      <c r="Y227" s="275"/>
      <c r="Z227" s="218"/>
      <c r="AA227" s="184"/>
      <c r="AB227" s="282"/>
      <c r="AC227" s="184"/>
      <c r="AD227" s="3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200"/>
      <c r="AP227" s="200"/>
      <c r="AQ227" s="200"/>
      <c r="AR227" s="200"/>
      <c r="AS227" s="200"/>
    </row>
    <row r="228" spans="1:45" ht="16.5" customHeight="1">
      <c r="A228" s="235"/>
      <c r="B228" s="235"/>
      <c r="C228" s="268"/>
      <c r="D228" s="161"/>
      <c r="E228" s="161"/>
      <c r="F228" s="161"/>
      <c r="G228" s="186"/>
      <c r="H228" s="186"/>
      <c r="I228" s="275"/>
      <c r="J228" s="275"/>
      <c r="K228" s="218"/>
      <c r="L228" s="275"/>
      <c r="M228" s="275"/>
      <c r="N228" s="275"/>
      <c r="O228" s="275"/>
      <c r="P228" s="277"/>
      <c r="Q228" s="285"/>
      <c r="R228" s="285"/>
      <c r="S228" s="281"/>
      <c r="T228" s="278"/>
      <c r="U228" s="278"/>
      <c r="V228" s="289"/>
      <c r="W228" s="272"/>
      <c r="X228" s="275"/>
      <c r="Y228" s="275"/>
      <c r="Z228" s="275"/>
      <c r="AA228" s="272"/>
      <c r="AB228" s="275"/>
      <c r="AC228" s="272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200"/>
      <c r="AP228" s="200"/>
      <c r="AQ228" s="200"/>
      <c r="AR228" s="200"/>
      <c r="AS228" s="200"/>
    </row>
    <row r="229" spans="1:45" ht="16.5" customHeight="1">
      <c r="A229" s="259"/>
      <c r="B229" s="259"/>
      <c r="C229" s="31"/>
      <c r="D229" s="37"/>
      <c r="E229" s="37"/>
      <c r="F229" s="37"/>
      <c r="G229" s="283"/>
      <c r="H229" s="283"/>
      <c r="I229" s="275"/>
      <c r="J229" s="275"/>
      <c r="K229" s="218"/>
      <c r="L229" s="275"/>
      <c r="M229" s="275"/>
      <c r="N229" s="276"/>
      <c r="O229" s="276"/>
      <c r="P229" s="277"/>
      <c r="Q229" s="285"/>
      <c r="R229" s="285"/>
      <c r="S229" s="281"/>
      <c r="T229" s="278"/>
      <c r="U229" s="278"/>
      <c r="V229" s="289"/>
      <c r="W229" s="272"/>
      <c r="X229" s="275"/>
      <c r="Y229" s="275"/>
      <c r="Z229" s="272"/>
      <c r="AA229" s="272"/>
      <c r="AB229" s="275"/>
      <c r="AC229" s="272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200"/>
      <c r="AP229" s="200"/>
      <c r="AQ229" s="200"/>
      <c r="AR229" s="200"/>
      <c r="AS229" s="200"/>
    </row>
    <row r="230" spans="1:45" ht="16.5" customHeight="1">
      <c r="A230" s="216"/>
      <c r="B230" s="216"/>
      <c r="C230" s="291"/>
      <c r="D230" s="292"/>
      <c r="E230" s="292"/>
      <c r="F230" s="292"/>
      <c r="G230" s="293"/>
      <c r="H230" s="293"/>
      <c r="I230" s="219"/>
      <c r="J230" s="219"/>
      <c r="K230" s="219"/>
      <c r="L230" s="161"/>
      <c r="M230" s="161"/>
      <c r="N230" s="219"/>
      <c r="O230" s="219"/>
      <c r="P230" s="38"/>
      <c r="Q230" s="220"/>
      <c r="R230" s="220"/>
      <c r="S230" s="294"/>
      <c r="T230" s="220"/>
      <c r="U230" s="220"/>
      <c r="V230" s="295"/>
      <c r="W230" s="294"/>
      <c r="X230" s="296"/>
      <c r="Y230" s="296"/>
      <c r="Z230" s="296"/>
      <c r="AA230" s="297"/>
      <c r="AB230" s="298"/>
      <c r="AC230" s="297"/>
      <c r="AD230" s="45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</row>
    <row r="231" spans="1:45" ht="16.5" customHeight="1">
      <c r="A231" s="216"/>
      <c r="B231" s="216"/>
      <c r="C231" s="217"/>
      <c r="D231" s="176"/>
      <c r="E231" s="176"/>
      <c r="F231" s="176"/>
      <c r="G231" s="162"/>
      <c r="H231" s="162"/>
      <c r="I231" s="219"/>
      <c r="J231" s="219"/>
      <c r="K231" s="219"/>
      <c r="L231" s="176"/>
      <c r="M231" s="176"/>
      <c r="N231" s="219"/>
      <c r="O231" s="219"/>
      <c r="P231" s="38"/>
      <c r="Q231" s="220"/>
      <c r="R231" s="220"/>
      <c r="S231" s="45"/>
      <c r="T231" s="220"/>
      <c r="U231" s="221"/>
      <c r="V231" s="213"/>
      <c r="W231" s="45"/>
      <c r="X231" s="218"/>
      <c r="Y231" s="218"/>
      <c r="Z231" s="218"/>
      <c r="AA231" s="45"/>
      <c r="AB231" s="45"/>
      <c r="AC231" s="45"/>
      <c r="AD231" s="45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</row>
    <row r="232" spans="1:45" ht="16.5" customHeight="1">
      <c r="A232" s="216"/>
      <c r="B232" s="216"/>
      <c r="C232" s="217"/>
      <c r="D232" s="176"/>
      <c r="E232" s="176"/>
      <c r="F232" s="176"/>
      <c r="G232" s="162"/>
      <c r="H232" s="162"/>
      <c r="I232" s="299"/>
      <c r="J232" s="299"/>
      <c r="K232" s="219"/>
      <c r="L232" s="176"/>
      <c r="M232" s="176"/>
      <c r="N232" s="219"/>
      <c r="O232" s="219"/>
      <c r="P232" s="38"/>
      <c r="Q232" s="220"/>
      <c r="R232" s="220"/>
      <c r="S232" s="45"/>
      <c r="T232" s="220"/>
      <c r="U232" s="221"/>
      <c r="V232" s="213"/>
      <c r="W232" s="45"/>
      <c r="X232" s="218"/>
      <c r="Y232" s="218"/>
      <c r="Z232" s="218"/>
      <c r="AA232" s="45"/>
      <c r="AB232" s="45"/>
      <c r="AC232" s="45"/>
      <c r="AD232" s="45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</row>
    <row r="233" spans="1:45" ht="16.5" customHeight="1">
      <c r="A233" s="216"/>
      <c r="B233" s="216"/>
      <c r="C233" s="217"/>
      <c r="D233" s="176"/>
      <c r="E233" s="176"/>
      <c r="F233" s="176"/>
      <c r="G233" s="162"/>
      <c r="H233" s="162"/>
      <c r="I233" s="218"/>
      <c r="J233" s="218"/>
      <c r="K233" s="219"/>
      <c r="L233" s="219"/>
      <c r="M233" s="219"/>
      <c r="N233" s="45"/>
      <c r="O233" s="45"/>
      <c r="P233" s="38"/>
      <c r="Q233" s="220"/>
      <c r="R233" s="220"/>
      <c r="S233" s="45"/>
      <c r="T233" s="220"/>
      <c r="U233" s="221"/>
      <c r="V233" s="213"/>
      <c r="W233" s="45"/>
      <c r="X233" s="218"/>
      <c r="Y233" s="218"/>
      <c r="Z233" s="218"/>
      <c r="AA233" s="45"/>
      <c r="AB233" s="45"/>
      <c r="AC233" s="45"/>
      <c r="AD233" s="45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</row>
    <row r="234" spans="1:45" ht="16.5" customHeight="1">
      <c r="A234" s="216"/>
      <c r="B234" s="216"/>
      <c r="C234" s="217"/>
      <c r="D234" s="176"/>
      <c r="E234" s="176"/>
      <c r="F234" s="176"/>
      <c r="G234" s="162"/>
      <c r="H234" s="162"/>
      <c r="I234" s="218"/>
      <c r="J234" s="218"/>
      <c r="K234" s="219"/>
      <c r="L234" s="219"/>
      <c r="M234" s="219"/>
      <c r="N234" s="45"/>
      <c r="O234" s="45"/>
      <c r="P234" s="38"/>
      <c r="Q234" s="220"/>
      <c r="R234" s="220"/>
      <c r="S234" s="45"/>
      <c r="T234" s="220"/>
      <c r="U234" s="221"/>
      <c r="V234" s="213"/>
      <c r="W234" s="45"/>
      <c r="X234" s="218"/>
      <c r="Y234" s="218"/>
      <c r="Z234" s="218"/>
      <c r="AA234" s="45"/>
      <c r="AB234" s="45"/>
      <c r="AC234" s="45"/>
      <c r="AD234" s="45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</row>
    <row r="235" spans="1:45" ht="16.5" customHeight="1">
      <c r="A235" s="216"/>
      <c r="B235" s="216"/>
      <c r="C235" s="217"/>
      <c r="D235" s="176"/>
      <c r="E235" s="176"/>
      <c r="F235" s="176"/>
      <c r="G235" s="162"/>
      <c r="H235" s="162"/>
      <c r="I235" s="218"/>
      <c r="J235" s="218"/>
      <c r="K235" s="219"/>
      <c r="L235" s="219"/>
      <c r="M235" s="219"/>
      <c r="N235" s="45"/>
      <c r="O235" s="45"/>
      <c r="P235" s="38"/>
      <c r="Q235" s="220"/>
      <c r="R235" s="220"/>
      <c r="S235" s="45"/>
      <c r="T235" s="220"/>
      <c r="U235" s="221"/>
      <c r="V235" s="213"/>
      <c r="W235" s="45"/>
      <c r="X235" s="218"/>
      <c r="Y235" s="218"/>
      <c r="Z235" s="218"/>
      <c r="AA235" s="45"/>
      <c r="AB235" s="45"/>
      <c r="AC235" s="45"/>
      <c r="AD235" s="45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</row>
    <row r="236" spans="1:45" ht="16.5" customHeight="1">
      <c r="A236" s="270"/>
      <c r="B236" s="270"/>
      <c r="C236" s="300"/>
      <c r="D236" s="300"/>
      <c r="E236" s="300"/>
      <c r="F236" s="300"/>
      <c r="G236" s="301"/>
      <c r="H236" s="301"/>
      <c r="I236" s="302"/>
      <c r="J236" s="302"/>
      <c r="K236" s="219"/>
      <c r="L236" s="219"/>
      <c r="M236" s="219"/>
      <c r="N236" s="45"/>
      <c r="O236" s="45"/>
      <c r="P236" s="38"/>
      <c r="Q236" s="220"/>
      <c r="R236" s="220"/>
      <c r="S236" s="45"/>
      <c r="T236" s="303"/>
      <c r="U236" s="221"/>
      <c r="V236" s="213"/>
      <c r="W236" s="45"/>
      <c r="X236" s="218"/>
      <c r="Y236" s="218"/>
      <c r="Z236" s="218"/>
      <c r="AA236" s="45"/>
      <c r="AB236" s="45"/>
      <c r="AC236" s="45"/>
      <c r="AD236" s="45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</row>
    <row r="237" spans="1:45" ht="16.5" customHeight="1">
      <c r="A237" s="212"/>
      <c r="B237" s="212"/>
      <c r="C237" s="162"/>
      <c r="D237" s="176"/>
      <c r="E237" s="176"/>
      <c r="F237" s="176"/>
      <c r="G237" s="217"/>
      <c r="H237" s="217"/>
      <c r="I237" s="161"/>
      <c r="J237" s="161"/>
      <c r="K237" s="219"/>
      <c r="L237" s="33"/>
      <c r="M237" s="33"/>
      <c r="N237" s="45"/>
      <c r="O237" s="45"/>
      <c r="P237" s="38"/>
      <c r="Q237" s="221"/>
      <c r="R237" s="221"/>
      <c r="S237" s="45"/>
      <c r="T237" s="304"/>
      <c r="U237" s="305"/>
      <c r="V237" s="213"/>
      <c r="W237" s="45"/>
      <c r="X237" s="219"/>
      <c r="Y237" s="219"/>
      <c r="Z237" s="219"/>
      <c r="AA237" s="45"/>
      <c r="AB237" s="306"/>
      <c r="AC237" s="45"/>
      <c r="AD237" s="45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</row>
    <row r="238" spans="1:45" ht="16.5" customHeight="1">
      <c r="A238" s="212"/>
      <c r="B238" s="212"/>
      <c r="C238" s="162"/>
      <c r="D238" s="176"/>
      <c r="E238" s="176"/>
      <c r="F238" s="176"/>
      <c r="G238" s="217"/>
      <c r="H238" s="217"/>
      <c r="I238" s="161"/>
      <c r="J238" s="161"/>
      <c r="K238" s="219"/>
      <c r="L238" s="33"/>
      <c r="M238" s="33"/>
      <c r="N238" s="45"/>
      <c r="O238" s="45"/>
      <c r="P238" s="38"/>
      <c r="Q238" s="221"/>
      <c r="R238" s="221"/>
      <c r="S238" s="45"/>
      <c r="T238" s="220"/>
      <c r="U238" s="221"/>
      <c r="V238" s="213"/>
      <c r="W238" s="45"/>
      <c r="X238" s="218"/>
      <c r="Y238" s="218"/>
      <c r="Z238" s="218"/>
      <c r="AA238" s="45"/>
      <c r="AB238" s="258"/>
      <c r="AC238" s="45"/>
      <c r="AD238" s="45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</row>
    <row r="239" spans="1:45" ht="16.5" customHeight="1">
      <c r="A239" s="307"/>
      <c r="B239" s="307"/>
      <c r="C239" s="217"/>
      <c r="D239" s="176"/>
      <c r="E239" s="176"/>
      <c r="F239" s="176"/>
      <c r="G239" s="162"/>
      <c r="H239" s="162"/>
      <c r="I239" s="218"/>
      <c r="J239" s="218"/>
      <c r="K239" s="219"/>
      <c r="L239" s="219"/>
      <c r="M239" s="219"/>
      <c r="N239" s="45"/>
      <c r="O239" s="45"/>
      <c r="P239" s="38"/>
      <c r="Q239" s="220"/>
      <c r="R239" s="220"/>
      <c r="S239" s="45"/>
      <c r="T239" s="220"/>
      <c r="U239" s="221"/>
      <c r="V239" s="213"/>
      <c r="W239" s="45"/>
      <c r="X239" s="218"/>
      <c r="Y239" s="218"/>
      <c r="Z239" s="218"/>
      <c r="AA239" s="45"/>
      <c r="AB239" s="258"/>
      <c r="AC239" s="45"/>
      <c r="AD239" s="45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</row>
    <row r="240" spans="1:45" ht="16.5" customHeight="1">
      <c r="A240" s="307"/>
      <c r="B240" s="307"/>
      <c r="C240" s="217"/>
      <c r="D240" s="176"/>
      <c r="E240" s="176"/>
      <c r="F240" s="176"/>
      <c r="G240" s="162"/>
      <c r="H240" s="162"/>
      <c r="I240" s="218"/>
      <c r="J240" s="218"/>
      <c r="K240" s="219"/>
      <c r="L240" s="219"/>
      <c r="M240" s="219"/>
      <c r="N240" s="45"/>
      <c r="O240" s="45"/>
      <c r="P240" s="38"/>
      <c r="Q240" s="220"/>
      <c r="R240" s="220"/>
      <c r="S240" s="45"/>
      <c r="T240" s="220"/>
      <c r="U240" s="221"/>
      <c r="V240" s="213"/>
      <c r="W240" s="45"/>
      <c r="X240" s="218"/>
      <c r="Y240" s="218"/>
      <c r="Z240" s="218"/>
      <c r="AA240" s="45"/>
      <c r="AB240" s="45"/>
      <c r="AC240" s="45"/>
      <c r="AD240" s="45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</row>
    <row r="241" spans="1:45" ht="16.5" customHeight="1">
      <c r="A241" s="270"/>
      <c r="B241" s="270"/>
      <c r="C241" s="45"/>
      <c r="D241" s="45"/>
      <c r="E241" s="45"/>
      <c r="F241" s="45"/>
      <c r="G241" s="291"/>
      <c r="H241" s="291"/>
      <c r="I241" s="218"/>
      <c r="J241" s="218"/>
      <c r="K241" s="219"/>
      <c r="L241" s="33"/>
      <c r="M241" s="33"/>
      <c r="N241" s="45"/>
      <c r="O241" s="45"/>
      <c r="P241" s="38"/>
      <c r="Q241" s="213"/>
      <c r="R241" s="213"/>
      <c r="S241" s="45"/>
      <c r="T241" s="213"/>
      <c r="U241" s="213"/>
      <c r="V241" s="213"/>
      <c r="W241" s="45"/>
      <c r="X241" s="218"/>
      <c r="Y241" s="218"/>
      <c r="Z241" s="218"/>
      <c r="AA241" s="31"/>
      <c r="AB241" s="31"/>
      <c r="AC241" s="31"/>
      <c r="AD241" s="31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</row>
    <row r="242" spans="1:45" ht="16.5" customHeight="1">
      <c r="A242" s="216"/>
      <c r="B242" s="216"/>
      <c r="C242" s="45"/>
      <c r="D242" s="45"/>
      <c r="E242" s="45"/>
      <c r="F242" s="45"/>
      <c r="G242" s="217"/>
      <c r="H242" s="217"/>
      <c r="I242" s="45"/>
      <c r="J242" s="45"/>
      <c r="K242" s="219"/>
      <c r="L242" s="45"/>
      <c r="M242" s="45"/>
      <c r="N242" s="219"/>
      <c r="O242" s="219"/>
      <c r="P242" s="38"/>
      <c r="Q242" s="213"/>
      <c r="R242" s="213"/>
      <c r="S242" s="45"/>
      <c r="T242" s="213"/>
      <c r="U242" s="213"/>
      <c r="V242" s="213"/>
      <c r="W242" s="45"/>
      <c r="X242" s="45"/>
      <c r="Y242" s="45"/>
      <c r="Z242" s="45"/>
      <c r="AA242" s="45"/>
      <c r="AB242" s="45"/>
      <c r="AC242" s="45"/>
      <c r="AD242" s="45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</row>
    <row r="243" spans="1:45" ht="16.5" customHeight="1">
      <c r="A243" s="216"/>
      <c r="B243" s="216"/>
      <c r="C243" s="45"/>
      <c r="D243" s="45"/>
      <c r="E243" s="45"/>
      <c r="F243" s="45"/>
      <c r="G243" s="308"/>
      <c r="H243" s="308"/>
      <c r="I243" s="45"/>
      <c r="J243" s="45"/>
      <c r="K243" s="219"/>
      <c r="L243" s="45"/>
      <c r="M243" s="45"/>
      <c r="N243" s="219"/>
      <c r="O243" s="219"/>
      <c r="P243" s="38"/>
      <c r="Q243" s="213"/>
      <c r="R243" s="213"/>
      <c r="S243" s="45"/>
      <c r="T243" s="213"/>
      <c r="U243" s="213"/>
      <c r="V243" s="213"/>
      <c r="W243" s="45"/>
      <c r="X243" s="218"/>
      <c r="Y243" s="218"/>
      <c r="Z243" s="218"/>
      <c r="AA243" s="45"/>
      <c r="AB243" s="45"/>
      <c r="AC243" s="45"/>
      <c r="AD243" s="45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</row>
    <row r="244" spans="1:45" ht="16.5" customHeight="1">
      <c r="A244" s="270"/>
      <c r="B244" s="270"/>
      <c r="C244" s="45"/>
      <c r="D244" s="45"/>
      <c r="E244" s="45"/>
      <c r="F244" s="45"/>
      <c r="G244" s="308"/>
      <c r="H244" s="308"/>
      <c r="I244" s="45"/>
      <c r="J244" s="45"/>
      <c r="K244" s="219"/>
      <c r="L244" s="45"/>
      <c r="M244" s="45"/>
      <c r="N244" s="219"/>
      <c r="O244" s="219"/>
      <c r="P244" s="38"/>
      <c r="Q244" s="213"/>
      <c r="R244" s="213"/>
      <c r="S244" s="45"/>
      <c r="T244" s="213"/>
      <c r="U244" s="213"/>
      <c r="V244" s="213"/>
      <c r="W244" s="45"/>
      <c r="X244" s="218"/>
      <c r="Y244" s="218"/>
      <c r="Z244" s="218"/>
      <c r="AA244" s="45"/>
      <c r="AB244" s="45"/>
      <c r="AC244" s="45"/>
      <c r="AD244" s="45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</row>
    <row r="245" spans="1:45" ht="16.5" customHeight="1">
      <c r="A245" s="216"/>
      <c r="B245" s="216"/>
      <c r="C245" s="309"/>
      <c r="D245" s="310"/>
      <c r="E245" s="310"/>
      <c r="F245" s="310"/>
      <c r="G245" s="311"/>
      <c r="H245" s="311"/>
      <c r="I245" s="263"/>
      <c r="J245" s="263"/>
      <c r="K245" s="312"/>
      <c r="L245" s="312"/>
      <c r="M245" s="312"/>
      <c r="N245" s="269"/>
      <c r="O245" s="269"/>
      <c r="P245" s="313"/>
      <c r="Q245" s="213"/>
      <c r="R245" s="213"/>
      <c r="S245" s="309"/>
      <c r="T245" s="220"/>
      <c r="U245" s="220"/>
      <c r="V245" s="213"/>
      <c r="W245" s="269"/>
      <c r="X245" s="263"/>
      <c r="Y245" s="263"/>
      <c r="Z245" s="263"/>
      <c r="AA245" s="269"/>
      <c r="AB245" s="269"/>
      <c r="AC245" s="269"/>
      <c r="AD245" s="269"/>
      <c r="AE245" s="314"/>
      <c r="AF245" s="314"/>
      <c r="AG245" s="314"/>
      <c r="AH245" s="314"/>
      <c r="AI245" s="314"/>
      <c r="AJ245" s="314"/>
      <c r="AK245" s="314"/>
      <c r="AL245" s="314"/>
      <c r="AM245" s="314"/>
      <c r="AN245" s="314"/>
      <c r="AO245" s="314"/>
      <c r="AP245" s="314"/>
      <c r="AQ245" s="314"/>
      <c r="AR245" s="314"/>
      <c r="AS245" s="314"/>
    </row>
    <row r="246" spans="1:45" ht="16.5" customHeight="1">
      <c r="A246" s="216"/>
      <c r="B246" s="216"/>
      <c r="C246" s="217"/>
      <c r="D246" s="176"/>
      <c r="E246" s="176"/>
      <c r="F246" s="176"/>
      <c r="G246" s="291"/>
      <c r="H246" s="291"/>
      <c r="I246" s="45"/>
      <c r="J246" s="45"/>
      <c r="K246" s="219"/>
      <c r="L246" s="33"/>
      <c r="M246" s="33"/>
      <c r="N246" s="219"/>
      <c r="O246" s="219"/>
      <c r="P246" s="38"/>
      <c r="Q246" s="213"/>
      <c r="R246" s="213"/>
      <c r="S246" s="45"/>
      <c r="T246" s="213"/>
      <c r="U246" s="213"/>
      <c r="V246" s="213"/>
      <c r="W246" s="45"/>
      <c r="X246" s="218"/>
      <c r="Y246" s="218"/>
      <c r="Z246" s="218"/>
      <c r="AA246" s="31"/>
      <c r="AB246" s="31"/>
      <c r="AC246" s="31"/>
      <c r="AD246" s="31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</row>
    <row r="247" spans="1:45" ht="16.5" customHeight="1">
      <c r="A247" s="216"/>
      <c r="B247" s="216"/>
      <c r="C247" s="217"/>
      <c r="D247" s="176"/>
      <c r="E247" s="176"/>
      <c r="F247" s="176"/>
      <c r="G247" s="315"/>
      <c r="H247" s="315"/>
      <c r="I247" s="45"/>
      <c r="J247" s="45"/>
      <c r="K247" s="219"/>
      <c r="L247" s="33"/>
      <c r="M247" s="33"/>
      <c r="N247" s="219"/>
      <c r="O247" s="219"/>
      <c r="P247" s="38"/>
      <c r="Q247" s="213"/>
      <c r="R247" s="213"/>
      <c r="S247" s="217"/>
      <c r="T247" s="220"/>
      <c r="U247" s="221"/>
      <c r="V247" s="213"/>
      <c r="W247" s="45"/>
      <c r="X247" s="45"/>
      <c r="Y247" s="45"/>
      <c r="Z247" s="45"/>
      <c r="AA247" s="45"/>
      <c r="AB247" s="45"/>
      <c r="AC247" s="45"/>
      <c r="AD247" s="45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</row>
    <row r="248" spans="1:45" ht="16.5" customHeight="1">
      <c r="A248" s="316"/>
      <c r="B248" s="316"/>
      <c r="C248" s="217"/>
      <c r="D248" s="176"/>
      <c r="E248" s="176"/>
      <c r="F248" s="176"/>
      <c r="G248" s="45"/>
      <c r="H248" s="45"/>
      <c r="I248" s="218"/>
      <c r="J248" s="218"/>
      <c r="K248" s="219"/>
      <c r="L248" s="219"/>
      <c r="M248" s="219"/>
      <c r="N248" s="37"/>
      <c r="O248" s="37"/>
      <c r="P248" s="38"/>
      <c r="Q248" s="213"/>
      <c r="R248" s="213"/>
      <c r="S248" s="45"/>
      <c r="T248" s="220"/>
      <c r="U248" s="221"/>
      <c r="V248" s="213"/>
      <c r="W248" s="45"/>
      <c r="X248" s="45"/>
      <c r="Y248" s="45"/>
      <c r="Z248" s="45"/>
      <c r="AA248" s="45"/>
      <c r="AB248" s="45"/>
      <c r="AC248" s="45"/>
      <c r="AD248" s="45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</row>
    <row r="249" spans="1:45" ht="16.5" customHeight="1">
      <c r="A249" s="316"/>
      <c r="B249" s="316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182"/>
      <c r="Q249" s="213"/>
      <c r="R249" s="213"/>
      <c r="S249" s="45"/>
      <c r="T249" s="213"/>
      <c r="U249" s="213"/>
      <c r="V249" s="213"/>
      <c r="W249" s="45"/>
      <c r="X249" s="45"/>
      <c r="Y249" s="45"/>
      <c r="Z249" s="45"/>
      <c r="AA249" s="45"/>
      <c r="AB249" s="45"/>
      <c r="AC249" s="45"/>
      <c r="AD249" s="45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</row>
    <row r="250" spans="1:45" ht="16.5" customHeight="1">
      <c r="A250" s="257"/>
      <c r="B250" s="257"/>
      <c r="C250" s="74"/>
      <c r="D250" s="167"/>
      <c r="E250" s="167"/>
      <c r="F250" s="167"/>
      <c r="G250" s="64"/>
      <c r="H250" s="64"/>
      <c r="I250" s="251"/>
      <c r="J250" s="251"/>
      <c r="K250" s="74"/>
      <c r="L250" s="74"/>
      <c r="M250" s="74"/>
      <c r="N250" s="74"/>
      <c r="O250" s="74"/>
      <c r="P250" s="232"/>
      <c r="Q250" s="317"/>
      <c r="R250" s="317"/>
      <c r="S250" s="74"/>
      <c r="T250" s="317"/>
      <c r="U250" s="318"/>
      <c r="V250" s="318"/>
      <c r="W250" s="74"/>
      <c r="X250" s="251"/>
      <c r="Y250" s="251"/>
      <c r="Z250" s="251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</row>
    <row r="251" spans="1:45" ht="16.5" customHeight="1">
      <c r="A251" s="257"/>
      <c r="B251" s="257"/>
      <c r="C251" s="319"/>
      <c r="D251" s="320"/>
      <c r="E251" s="320"/>
      <c r="F251" s="320"/>
      <c r="G251" s="321"/>
      <c r="H251" s="321"/>
      <c r="I251" s="321"/>
      <c r="J251" s="321"/>
      <c r="K251" s="321"/>
      <c r="L251" s="45"/>
      <c r="M251" s="45"/>
      <c r="N251" s="45"/>
      <c r="O251" s="45"/>
      <c r="P251" s="322"/>
      <c r="Q251" s="73"/>
      <c r="R251" s="73"/>
      <c r="S251" s="45"/>
      <c r="T251" s="323"/>
      <c r="U251" s="318"/>
      <c r="V251" s="318"/>
      <c r="W251" s="45"/>
      <c r="X251" s="45"/>
      <c r="Y251" s="45"/>
      <c r="Z251" s="45"/>
      <c r="AA251" s="219"/>
      <c r="AB251" s="219"/>
      <c r="AC251" s="219"/>
      <c r="AD251" s="74"/>
      <c r="AE251" s="45"/>
      <c r="AF251" s="45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</row>
    <row r="252" spans="1:45" ht="16.5" customHeight="1">
      <c r="A252" s="257"/>
      <c r="B252" s="257"/>
      <c r="C252" s="74"/>
      <c r="D252" s="251"/>
      <c r="E252" s="251"/>
      <c r="F252" s="251"/>
      <c r="G252" s="324"/>
      <c r="H252" s="324"/>
      <c r="I252" s="325"/>
      <c r="J252" s="325"/>
      <c r="K252" s="324"/>
      <c r="L252" s="45"/>
      <c r="M252" s="45"/>
      <c r="N252" s="45"/>
      <c r="O252" s="45"/>
      <c r="P252" s="322"/>
      <c r="Q252" s="317"/>
      <c r="R252" s="317"/>
      <c r="S252" s="45"/>
      <c r="T252" s="317"/>
      <c r="U252" s="318"/>
      <c r="V252" s="318"/>
      <c r="W252" s="74"/>
      <c r="X252" s="45"/>
      <c r="Y252" s="45"/>
      <c r="Z252" s="45"/>
      <c r="AA252" s="219"/>
      <c r="AB252" s="74"/>
      <c r="AC252" s="219"/>
      <c r="AD252" s="74"/>
      <c r="AE252" s="45"/>
      <c r="AF252" s="45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</row>
    <row r="253" spans="1:45" ht="16.5" customHeight="1">
      <c r="A253" s="257"/>
      <c r="B253" s="257"/>
      <c r="C253" s="74"/>
      <c r="D253" s="251"/>
      <c r="E253" s="251"/>
      <c r="F253" s="251"/>
      <c r="G253" s="325"/>
      <c r="H253" s="325"/>
      <c r="I253" s="325"/>
      <c r="J253" s="325"/>
      <c r="K253" s="325"/>
      <c r="L253" s="45"/>
      <c r="M253" s="45"/>
      <c r="N253" s="45"/>
      <c r="O253" s="45"/>
      <c r="P253" s="322"/>
      <c r="Q253" s="317"/>
      <c r="R253" s="317"/>
      <c r="S253" s="45"/>
      <c r="T253" s="317"/>
      <c r="U253" s="318"/>
      <c r="V253" s="318"/>
      <c r="W253" s="74"/>
      <c r="X253" s="45"/>
      <c r="Y253" s="45"/>
      <c r="Z253" s="45"/>
      <c r="AA253" s="219"/>
      <c r="AB253" s="74"/>
      <c r="AC253" s="219"/>
      <c r="AD253" s="74"/>
      <c r="AE253" s="45"/>
      <c r="AF253" s="45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</row>
    <row r="254" spans="1:45" ht="16.5" customHeight="1">
      <c r="A254" s="307"/>
      <c r="B254" s="307"/>
      <c r="C254" s="74"/>
      <c r="D254" s="167"/>
      <c r="E254" s="167"/>
      <c r="F254" s="167"/>
      <c r="G254" s="326"/>
      <c r="H254" s="326"/>
      <c r="I254" s="167"/>
      <c r="J254" s="167"/>
      <c r="K254" s="251"/>
      <c r="L254" s="74"/>
      <c r="M254" s="74"/>
      <c r="N254" s="251"/>
      <c r="O254" s="251"/>
      <c r="P254" s="232"/>
      <c r="Q254" s="317"/>
      <c r="R254" s="317"/>
      <c r="S254" s="74"/>
      <c r="T254" s="317"/>
      <c r="U254" s="318"/>
      <c r="V254" s="318"/>
      <c r="W254" s="74"/>
      <c r="X254" s="74"/>
      <c r="Y254" s="74"/>
      <c r="Z254" s="74"/>
      <c r="AA254" s="327"/>
      <c r="AB254" s="74"/>
      <c r="AC254" s="327"/>
      <c r="AD254" s="74"/>
      <c r="AE254" s="45"/>
      <c r="AF254" s="45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</row>
    <row r="255" spans="1:45" ht="16.5" customHeight="1">
      <c r="A255" s="328"/>
      <c r="B255" s="328"/>
      <c r="C255" s="74"/>
      <c r="D255" s="167"/>
      <c r="E255" s="167"/>
      <c r="F255" s="167"/>
      <c r="G255" s="329"/>
      <c r="H255" s="329"/>
      <c r="I255" s="321"/>
      <c r="J255" s="321"/>
      <c r="K255" s="324"/>
      <c r="L255" s="45"/>
      <c r="M255" s="45"/>
      <c r="N255" s="45"/>
      <c r="O255" s="45"/>
      <c r="P255" s="322"/>
      <c r="Q255" s="317"/>
      <c r="R255" s="317"/>
      <c r="S255" s="45"/>
      <c r="T255" s="317"/>
      <c r="U255" s="318"/>
      <c r="V255" s="318"/>
      <c r="W255" s="74"/>
      <c r="X255" s="45"/>
      <c r="Y255" s="45"/>
      <c r="Z255" s="45"/>
      <c r="AA255" s="219"/>
      <c r="AB255" s="74"/>
      <c r="AC255" s="219"/>
      <c r="AD255" s="74"/>
      <c r="AE255" s="45"/>
      <c r="AF255" s="45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</row>
    <row r="256" spans="1:45" ht="16.5" customHeight="1">
      <c r="A256" s="257"/>
      <c r="B256" s="257"/>
      <c r="C256" s="74"/>
      <c r="D256" s="252"/>
      <c r="E256" s="252"/>
      <c r="F256" s="252"/>
      <c r="G256" s="330"/>
      <c r="H256" s="330"/>
      <c r="I256" s="321"/>
      <c r="J256" s="321"/>
      <c r="K256" s="321"/>
      <c r="L256" s="45"/>
      <c r="M256" s="45"/>
      <c r="N256" s="45"/>
      <c r="O256" s="45"/>
      <c r="P256" s="322"/>
      <c r="Q256" s="317"/>
      <c r="R256" s="317"/>
      <c r="S256" s="45"/>
      <c r="T256" s="317"/>
      <c r="U256" s="241"/>
      <c r="V256" s="318"/>
      <c r="W256" s="74"/>
      <c r="X256" s="45"/>
      <c r="Y256" s="45"/>
      <c r="Z256" s="45"/>
      <c r="AA256" s="219"/>
      <c r="AB256" s="74"/>
      <c r="AC256" s="219"/>
      <c r="AD256" s="74"/>
      <c r="AE256" s="45"/>
      <c r="AF256" s="45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</row>
    <row r="257" spans="1:45" ht="16.5" customHeight="1">
      <c r="A257" s="257"/>
      <c r="B257" s="257"/>
      <c r="C257" s="74"/>
      <c r="D257" s="167"/>
      <c r="E257" s="167"/>
      <c r="F257" s="167"/>
      <c r="G257" s="319"/>
      <c r="H257" s="319"/>
      <c r="I257" s="321"/>
      <c r="J257" s="321"/>
      <c r="K257" s="45"/>
      <c r="L257" s="67"/>
      <c r="M257" s="67"/>
      <c r="N257" s="251"/>
      <c r="O257" s="251"/>
      <c r="P257" s="232"/>
      <c r="Q257" s="317"/>
      <c r="R257" s="317"/>
      <c r="S257" s="74"/>
      <c r="T257" s="317"/>
      <c r="U257" s="318"/>
      <c r="V257" s="318"/>
      <c r="W257" s="74"/>
      <c r="X257" s="251"/>
      <c r="Y257" s="251"/>
      <c r="Z257" s="251"/>
      <c r="AA257" s="219"/>
      <c r="AB257" s="74"/>
      <c r="AC257" s="219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</row>
    <row r="258" spans="1:45" ht="16.5" customHeight="1">
      <c r="A258" s="257"/>
      <c r="B258" s="257"/>
      <c r="C258" s="74"/>
      <c r="D258" s="167"/>
      <c r="E258" s="167"/>
      <c r="F258" s="167"/>
      <c r="G258" s="238"/>
      <c r="H258" s="238"/>
      <c r="I258" s="321"/>
      <c r="J258" s="321"/>
      <c r="K258" s="45"/>
      <c r="L258" s="67"/>
      <c r="M258" s="67"/>
      <c r="N258" s="251"/>
      <c r="O258" s="251"/>
      <c r="P258" s="232"/>
      <c r="Q258" s="317"/>
      <c r="R258" s="317"/>
      <c r="S258" s="74"/>
      <c r="T258" s="317"/>
      <c r="U258" s="318"/>
      <c r="V258" s="318"/>
      <c r="W258" s="74"/>
      <c r="X258" s="251"/>
      <c r="Y258" s="251"/>
      <c r="Z258" s="251"/>
      <c r="AA258" s="219"/>
      <c r="AB258" s="74"/>
      <c r="AC258" s="219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</row>
    <row r="259" spans="1:45" ht="16.5" customHeight="1">
      <c r="A259" s="316"/>
      <c r="B259" s="316"/>
      <c r="C259" s="331"/>
      <c r="D259" s="292"/>
      <c r="E259" s="292"/>
      <c r="F259" s="292"/>
      <c r="G259" s="293"/>
      <c r="H259" s="293"/>
      <c r="I259" s="296"/>
      <c r="J259" s="296"/>
      <c r="K259" s="331"/>
      <c r="L259" s="331"/>
      <c r="M259" s="331"/>
      <c r="N259" s="298"/>
      <c r="O259" s="298"/>
      <c r="P259" s="332"/>
      <c r="Q259" s="333"/>
      <c r="R259" s="333"/>
      <c r="S259" s="294"/>
      <c r="T259" s="334"/>
      <c r="U259" s="333"/>
      <c r="V259" s="295"/>
      <c r="W259" s="294"/>
      <c r="X259" s="296"/>
      <c r="Y259" s="296"/>
      <c r="Z259" s="296"/>
      <c r="AA259" s="294"/>
      <c r="AB259" s="294"/>
      <c r="AC259" s="294"/>
      <c r="AD259" s="294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</row>
    <row r="260" spans="1:45" ht="16.5" customHeight="1">
      <c r="A260" s="216"/>
      <c r="B260" s="216"/>
      <c r="C260" s="291"/>
      <c r="D260" s="292"/>
      <c r="E260" s="292"/>
      <c r="F260" s="292"/>
      <c r="G260" s="293"/>
      <c r="H260" s="293"/>
      <c r="I260" s="219"/>
      <c r="J260" s="219"/>
      <c r="K260" s="219"/>
      <c r="L260" s="219"/>
      <c r="M260" s="219"/>
      <c r="N260" s="298"/>
      <c r="O260" s="298"/>
      <c r="P260" s="335"/>
      <c r="Q260" s="220"/>
      <c r="R260" s="220"/>
      <c r="S260" s="294"/>
      <c r="T260" s="220"/>
      <c r="U260" s="220"/>
      <c r="V260" s="295"/>
      <c r="W260" s="294"/>
      <c r="X260" s="296"/>
      <c r="Y260" s="296"/>
      <c r="Z260" s="296"/>
      <c r="AA260" s="297"/>
      <c r="AB260" s="298"/>
      <c r="AC260" s="297"/>
      <c r="AD260" s="294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200"/>
      <c r="AQ260" s="200"/>
      <c r="AR260" s="200"/>
      <c r="AS260" s="200"/>
    </row>
    <row r="261" spans="1:45" ht="16.5" customHeight="1">
      <c r="A261" s="316"/>
      <c r="B261" s="316"/>
      <c r="C261" s="291"/>
      <c r="D261" s="336"/>
      <c r="E261" s="336"/>
      <c r="F261" s="336"/>
      <c r="G261" s="293"/>
      <c r="H261" s="293"/>
      <c r="I261" s="219"/>
      <c r="J261" s="219"/>
      <c r="K261" s="219"/>
      <c r="L261" s="219"/>
      <c r="M261" s="219"/>
      <c r="N261" s="298"/>
      <c r="O261" s="298"/>
      <c r="P261" s="335"/>
      <c r="Q261" s="220"/>
      <c r="R261" s="220"/>
      <c r="S261" s="294"/>
      <c r="T261" s="334"/>
      <c r="U261" s="220"/>
      <c r="V261" s="295"/>
      <c r="W261" s="294"/>
      <c r="X261" s="296"/>
      <c r="Y261" s="296"/>
      <c r="Z261" s="296"/>
      <c r="AA261" s="297"/>
      <c r="AB261" s="298"/>
      <c r="AC261" s="297"/>
      <c r="AD261" s="294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200"/>
      <c r="AQ261" s="200"/>
      <c r="AR261" s="200"/>
      <c r="AS261" s="200"/>
    </row>
    <row r="262" spans="1:45" ht="16.5" customHeight="1">
      <c r="A262" s="257"/>
      <c r="B262" s="257"/>
      <c r="C262" s="331"/>
      <c r="D262" s="292"/>
      <c r="E262" s="292"/>
      <c r="F262" s="292"/>
      <c r="G262" s="293"/>
      <c r="H262" s="293"/>
      <c r="I262" s="219"/>
      <c r="J262" s="219"/>
      <c r="K262" s="219"/>
      <c r="L262" s="219"/>
      <c r="M262" s="219"/>
      <c r="N262" s="298"/>
      <c r="O262" s="298"/>
      <c r="P262" s="335"/>
      <c r="Q262" s="220"/>
      <c r="R262" s="220"/>
      <c r="S262" s="294"/>
      <c r="T262" s="333"/>
      <c r="U262" s="295"/>
      <c r="V262" s="295"/>
      <c r="W262" s="294"/>
      <c r="X262" s="296"/>
      <c r="Y262" s="296"/>
      <c r="Z262" s="296"/>
      <c r="AA262" s="219"/>
      <c r="AB262" s="294"/>
      <c r="AC262" s="219"/>
      <c r="AD262" s="294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200"/>
      <c r="AQ262" s="200"/>
      <c r="AR262" s="200"/>
      <c r="AS262" s="200"/>
    </row>
    <row r="263" spans="1:45" ht="16.5" customHeight="1">
      <c r="A263" s="316"/>
      <c r="B263" s="316"/>
      <c r="C263" s="331"/>
      <c r="D263" s="292"/>
      <c r="E263" s="292"/>
      <c r="F263" s="292"/>
      <c r="G263" s="293"/>
      <c r="H263" s="293"/>
      <c r="I263" s="296"/>
      <c r="J263" s="296"/>
      <c r="K263" s="331"/>
      <c r="L263" s="331"/>
      <c r="M263" s="331"/>
      <c r="N263" s="294"/>
      <c r="O263" s="294"/>
      <c r="P263" s="332"/>
      <c r="Q263" s="333"/>
      <c r="R263" s="333"/>
      <c r="S263" s="294"/>
      <c r="T263" s="333"/>
      <c r="U263" s="295"/>
      <c r="V263" s="295"/>
      <c r="W263" s="294"/>
      <c r="X263" s="296"/>
      <c r="Y263" s="296"/>
      <c r="Z263" s="296"/>
      <c r="AA263" s="294"/>
      <c r="AB263" s="294"/>
      <c r="AC263" s="294"/>
      <c r="AD263" s="294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200"/>
      <c r="AQ263" s="200"/>
      <c r="AR263" s="200"/>
      <c r="AS263" s="200"/>
    </row>
    <row r="264" spans="1:45" ht="16.5" customHeight="1">
      <c r="A264" s="316"/>
      <c r="B264" s="316"/>
      <c r="C264" s="291"/>
      <c r="D264" s="336"/>
      <c r="E264" s="336"/>
      <c r="F264" s="336"/>
      <c r="G264" s="293"/>
      <c r="H264" s="293"/>
      <c r="I264" s="219"/>
      <c r="J264" s="219"/>
      <c r="K264" s="219"/>
      <c r="L264" s="219"/>
      <c r="M264" s="219"/>
      <c r="N264" s="298"/>
      <c r="O264" s="298"/>
      <c r="P264" s="335"/>
      <c r="Q264" s="220"/>
      <c r="R264" s="220"/>
      <c r="S264" s="294"/>
      <c r="T264" s="220"/>
      <c r="U264" s="220"/>
      <c r="V264" s="295"/>
      <c r="W264" s="294"/>
      <c r="X264" s="296"/>
      <c r="Y264" s="296"/>
      <c r="Z264" s="296"/>
      <c r="AA264" s="297"/>
      <c r="AB264" s="298"/>
      <c r="AC264" s="297"/>
      <c r="AD264" s="294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  <c r="AS264" s="200"/>
    </row>
    <row r="265" spans="1:45" ht="16.5" customHeight="1">
      <c r="A265" s="316"/>
      <c r="B265" s="316"/>
      <c r="C265" s="331"/>
      <c r="D265" s="292"/>
      <c r="E265" s="292"/>
      <c r="F265" s="292"/>
      <c r="G265" s="293"/>
      <c r="H265" s="293"/>
      <c r="I265" s="296"/>
      <c r="J265" s="296"/>
      <c r="K265" s="331"/>
      <c r="L265" s="331"/>
      <c r="M265" s="331"/>
      <c r="N265" s="294"/>
      <c r="O265" s="294"/>
      <c r="P265" s="332"/>
      <c r="Q265" s="333"/>
      <c r="R265" s="333"/>
      <c r="S265" s="294"/>
      <c r="T265" s="333"/>
      <c r="U265" s="295"/>
      <c r="V265" s="295"/>
      <c r="W265" s="294"/>
      <c r="X265" s="296"/>
      <c r="Y265" s="296"/>
      <c r="Z265" s="296"/>
      <c r="AA265" s="294"/>
      <c r="AB265" s="294"/>
      <c r="AC265" s="294"/>
      <c r="AD265" s="294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  <c r="AS265" s="200"/>
    </row>
    <row r="266" spans="1:45" ht="16.5" customHeight="1">
      <c r="A266" s="316"/>
      <c r="B266" s="316"/>
      <c r="C266" s="331"/>
      <c r="D266" s="336"/>
      <c r="E266" s="336"/>
      <c r="F266" s="336"/>
      <c r="G266" s="293"/>
      <c r="H266" s="293"/>
      <c r="I266" s="296"/>
      <c r="J266" s="296"/>
      <c r="K266" s="331"/>
      <c r="L266" s="331"/>
      <c r="M266" s="331"/>
      <c r="N266" s="294"/>
      <c r="O266" s="294"/>
      <c r="P266" s="332"/>
      <c r="Q266" s="333"/>
      <c r="R266" s="333"/>
      <c r="S266" s="294"/>
      <c r="T266" s="333"/>
      <c r="U266" s="295"/>
      <c r="V266" s="295"/>
      <c r="W266" s="294"/>
      <c r="X266" s="296"/>
      <c r="Y266" s="296"/>
      <c r="Z266" s="296"/>
      <c r="AA266" s="294"/>
      <c r="AB266" s="294"/>
      <c r="AC266" s="294"/>
      <c r="AD266" s="294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  <c r="AS266" s="200"/>
    </row>
    <row r="267" spans="1:45" ht="16.5" customHeight="1">
      <c r="A267" s="316"/>
      <c r="B267" s="316"/>
      <c r="C267" s="331"/>
      <c r="D267" s="292"/>
      <c r="E267" s="292"/>
      <c r="F267" s="292"/>
      <c r="G267" s="293"/>
      <c r="H267" s="293"/>
      <c r="I267" s="296"/>
      <c r="J267" s="296"/>
      <c r="K267" s="331"/>
      <c r="L267" s="331"/>
      <c r="M267" s="331"/>
      <c r="N267" s="294"/>
      <c r="O267" s="294"/>
      <c r="P267" s="332"/>
      <c r="Q267" s="333"/>
      <c r="R267" s="333"/>
      <c r="S267" s="294"/>
      <c r="T267" s="333"/>
      <c r="U267" s="295"/>
      <c r="V267" s="295"/>
      <c r="W267" s="294"/>
      <c r="X267" s="296"/>
      <c r="Y267" s="296"/>
      <c r="Z267" s="296"/>
      <c r="AA267" s="294"/>
      <c r="AB267" s="294"/>
      <c r="AC267" s="294"/>
      <c r="AD267" s="294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  <c r="AS267" s="200"/>
    </row>
    <row r="268" spans="1:45" ht="16.5" customHeight="1">
      <c r="A268" s="316"/>
      <c r="B268" s="316"/>
      <c r="C268" s="331"/>
      <c r="D268" s="292"/>
      <c r="E268" s="292"/>
      <c r="F268" s="292"/>
      <c r="G268" s="293"/>
      <c r="H268" s="293"/>
      <c r="I268" s="296"/>
      <c r="J268" s="296"/>
      <c r="K268" s="331"/>
      <c r="L268" s="331"/>
      <c r="M268" s="331"/>
      <c r="N268" s="294"/>
      <c r="O268" s="294"/>
      <c r="P268" s="332"/>
      <c r="Q268" s="333"/>
      <c r="R268" s="333"/>
      <c r="S268" s="294"/>
      <c r="T268" s="333"/>
      <c r="U268" s="295"/>
      <c r="V268" s="295"/>
      <c r="W268" s="294"/>
      <c r="X268" s="296"/>
      <c r="Y268" s="296"/>
      <c r="Z268" s="296"/>
      <c r="AA268" s="294"/>
      <c r="AB268" s="294"/>
      <c r="AC268" s="294"/>
      <c r="AD268" s="294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  <c r="AS268" s="200"/>
    </row>
    <row r="269" spans="1:45" ht="16.5" customHeight="1">
      <c r="A269" s="316"/>
      <c r="B269" s="316"/>
      <c r="C269" s="331"/>
      <c r="D269" s="292"/>
      <c r="E269" s="292"/>
      <c r="F269" s="292"/>
      <c r="G269" s="293"/>
      <c r="H269" s="293"/>
      <c r="I269" s="296"/>
      <c r="J269" s="296"/>
      <c r="K269" s="331"/>
      <c r="L269" s="331"/>
      <c r="M269" s="331"/>
      <c r="N269" s="294"/>
      <c r="O269" s="294"/>
      <c r="P269" s="332"/>
      <c r="Q269" s="333"/>
      <c r="R269" s="333"/>
      <c r="S269" s="294"/>
      <c r="T269" s="333"/>
      <c r="U269" s="295"/>
      <c r="V269" s="295"/>
      <c r="W269" s="294"/>
      <c r="X269" s="296"/>
      <c r="Y269" s="296"/>
      <c r="Z269" s="296"/>
      <c r="AA269" s="294"/>
      <c r="AB269" s="294"/>
      <c r="AC269" s="294"/>
      <c r="AD269" s="294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</row>
    <row r="270" spans="1:45" ht="16.5" customHeight="1">
      <c r="A270" s="316"/>
      <c r="B270" s="316"/>
      <c r="C270" s="331"/>
      <c r="D270" s="292"/>
      <c r="E270" s="292"/>
      <c r="F270" s="292"/>
      <c r="G270" s="293"/>
      <c r="H270" s="293"/>
      <c r="I270" s="296"/>
      <c r="J270" s="296"/>
      <c r="K270" s="331"/>
      <c r="L270" s="331"/>
      <c r="M270" s="331"/>
      <c r="N270" s="294"/>
      <c r="O270" s="294"/>
      <c r="P270" s="332"/>
      <c r="Q270" s="333"/>
      <c r="R270" s="333"/>
      <c r="S270" s="294"/>
      <c r="T270" s="333"/>
      <c r="U270" s="295"/>
      <c r="V270" s="295"/>
      <c r="W270" s="294"/>
      <c r="X270" s="296"/>
      <c r="Y270" s="296"/>
      <c r="Z270" s="296"/>
      <c r="AA270" s="294"/>
      <c r="AB270" s="294"/>
      <c r="AC270" s="294"/>
      <c r="AD270" s="294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</row>
    <row r="271" spans="1:45" ht="16.5" customHeight="1">
      <c r="A271" s="337"/>
      <c r="B271" s="337"/>
      <c r="C271" s="74"/>
      <c r="D271" s="167"/>
      <c r="E271" s="167"/>
      <c r="F271" s="167"/>
      <c r="G271" s="64"/>
      <c r="H271" s="64"/>
      <c r="I271" s="243"/>
      <c r="J271" s="243"/>
      <c r="K271" s="244"/>
      <c r="L271" s="173"/>
      <c r="M271" s="173"/>
      <c r="N271" s="173"/>
      <c r="O271" s="173"/>
      <c r="P271" s="338"/>
      <c r="Q271" s="213"/>
      <c r="R271" s="213"/>
      <c r="S271" s="45"/>
      <c r="T271" s="339"/>
      <c r="U271" s="318"/>
      <c r="V271" s="318"/>
      <c r="W271" s="74"/>
      <c r="X271" s="45"/>
      <c r="Y271" s="45"/>
      <c r="Z271" s="45"/>
      <c r="AA271" s="294"/>
      <c r="AB271" s="294"/>
      <c r="AC271" s="294"/>
      <c r="AD271" s="294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</row>
    <row r="272" spans="1:45" ht="16.5" customHeight="1">
      <c r="A272" s="270"/>
      <c r="B272" s="270"/>
      <c r="C272" s="61"/>
      <c r="D272" s="167"/>
      <c r="E272" s="167"/>
      <c r="F272" s="167"/>
      <c r="G272" s="64"/>
      <c r="H272" s="64"/>
      <c r="I272" s="243"/>
      <c r="J272" s="243"/>
      <c r="K272" s="244"/>
      <c r="L272" s="244"/>
      <c r="M272" s="244"/>
      <c r="N272" s="173"/>
      <c r="O272" s="173"/>
      <c r="P272" s="338"/>
      <c r="Q272" s="213"/>
      <c r="R272" s="213"/>
      <c r="S272" s="45"/>
      <c r="T272" s="317"/>
      <c r="U272" s="318"/>
      <c r="V272" s="318"/>
      <c r="W272" s="340"/>
      <c r="X272" s="45"/>
      <c r="Y272" s="45"/>
      <c r="Z272" s="45"/>
      <c r="AA272" s="294"/>
      <c r="AB272" s="294"/>
      <c r="AC272" s="294"/>
      <c r="AD272" s="294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</row>
    <row r="273" spans="1:45" ht="16.5" customHeight="1">
      <c r="A273" s="270"/>
      <c r="B273" s="270"/>
      <c r="C273" s="61"/>
      <c r="D273" s="167"/>
      <c r="E273" s="167"/>
      <c r="F273" s="167"/>
      <c r="G273" s="64"/>
      <c r="H273" s="64"/>
      <c r="I273" s="243"/>
      <c r="J273" s="243"/>
      <c r="K273" s="244"/>
      <c r="L273" s="45"/>
      <c r="M273" s="45"/>
      <c r="N273" s="244"/>
      <c r="O273" s="244"/>
      <c r="P273" s="338"/>
      <c r="Q273" s="213"/>
      <c r="R273" s="213"/>
      <c r="S273" s="45"/>
      <c r="T273" s="317"/>
      <c r="U273" s="318"/>
      <c r="V273" s="318"/>
      <c r="W273" s="340"/>
      <c r="X273" s="45"/>
      <c r="Y273" s="45"/>
      <c r="Z273" s="45"/>
      <c r="AA273" s="294"/>
      <c r="AB273" s="294"/>
      <c r="AC273" s="294"/>
      <c r="AD273" s="294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</row>
    <row r="274" spans="1:45" ht="16.5" customHeight="1">
      <c r="A274" s="270"/>
      <c r="B274" s="270"/>
      <c r="C274" s="61"/>
      <c r="D274" s="167"/>
      <c r="E274" s="167"/>
      <c r="F274" s="167"/>
      <c r="G274" s="64"/>
      <c r="H274" s="64"/>
      <c r="I274" s="243"/>
      <c r="J274" s="243"/>
      <c r="K274" s="244"/>
      <c r="L274" s="33"/>
      <c r="M274" s="33"/>
      <c r="N274" s="244"/>
      <c r="O274" s="244"/>
      <c r="P274" s="338"/>
      <c r="Q274" s="213"/>
      <c r="R274" s="213"/>
      <c r="S274" s="45"/>
      <c r="T274" s="317"/>
      <c r="U274" s="318"/>
      <c r="V274" s="318"/>
      <c r="W274" s="340"/>
      <c r="X274" s="45"/>
      <c r="Y274" s="45"/>
      <c r="Z274" s="45"/>
      <c r="AA274" s="294"/>
      <c r="AB274" s="294"/>
      <c r="AC274" s="294"/>
      <c r="AD274" s="294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</row>
    <row r="275" spans="1:45" ht="16.5" customHeight="1">
      <c r="A275" s="337"/>
      <c r="B275" s="337"/>
      <c r="C275" s="61"/>
      <c r="D275" s="167"/>
      <c r="E275" s="167"/>
      <c r="F275" s="167"/>
      <c r="G275" s="64"/>
      <c r="H275" s="64"/>
      <c r="I275" s="254"/>
      <c r="J275" s="254"/>
      <c r="K275" s="254"/>
      <c r="L275" s="173"/>
      <c r="M275" s="173"/>
      <c r="N275" s="67"/>
      <c r="O275" s="67"/>
      <c r="P275" s="240"/>
      <c r="Q275" s="213"/>
      <c r="R275" s="213"/>
      <c r="S275" s="45"/>
      <c r="T275" s="317"/>
      <c r="U275" s="318"/>
      <c r="V275" s="318"/>
      <c r="W275" s="340"/>
      <c r="X275" s="45"/>
      <c r="Y275" s="45"/>
      <c r="Z275" s="45"/>
      <c r="AA275" s="294"/>
      <c r="AB275" s="294"/>
      <c r="AC275" s="294"/>
      <c r="AD275" s="294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</row>
    <row r="276" spans="1:45" ht="16.5" customHeight="1">
      <c r="A276" s="337"/>
      <c r="B276" s="337"/>
      <c r="C276" s="61"/>
      <c r="D276" s="167"/>
      <c r="E276" s="167"/>
      <c r="F276" s="167"/>
      <c r="G276" s="64"/>
      <c r="H276" s="64"/>
      <c r="I276" s="254"/>
      <c r="J276" s="254"/>
      <c r="K276" s="254"/>
      <c r="L276" s="173"/>
      <c r="M276" s="173"/>
      <c r="N276" s="67"/>
      <c r="O276" s="67"/>
      <c r="P276" s="240"/>
      <c r="Q276" s="213"/>
      <c r="R276" s="213"/>
      <c r="S276" s="45"/>
      <c r="T276" s="317"/>
      <c r="U276" s="318"/>
      <c r="V276" s="318"/>
      <c r="W276" s="340"/>
      <c r="X276" s="45"/>
      <c r="Y276" s="45"/>
      <c r="Z276" s="45"/>
      <c r="AA276" s="294"/>
      <c r="AB276" s="294"/>
      <c r="AC276" s="294"/>
      <c r="AD276" s="294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</row>
    <row r="277" spans="1:45" ht="16.5" customHeight="1">
      <c r="A277" s="307"/>
      <c r="B277" s="307"/>
      <c r="C277" s="74"/>
      <c r="D277" s="167"/>
      <c r="E277" s="167"/>
      <c r="F277" s="167"/>
      <c r="G277" s="64"/>
      <c r="H277" s="64"/>
      <c r="I277" s="254"/>
      <c r="J277" s="254"/>
      <c r="K277" s="254"/>
      <c r="L277" s="173"/>
      <c r="M277" s="173"/>
      <c r="N277" s="67"/>
      <c r="O277" s="67"/>
      <c r="P277" s="240"/>
      <c r="Q277" s="213"/>
      <c r="R277" s="213"/>
      <c r="S277" s="45"/>
      <c r="T277" s="317"/>
      <c r="U277" s="318"/>
      <c r="V277" s="318"/>
      <c r="W277" s="74"/>
      <c r="X277" s="45"/>
      <c r="Y277" s="45"/>
      <c r="Z277" s="45"/>
      <c r="AA277" s="294"/>
      <c r="AB277" s="294"/>
      <c r="AC277" s="294"/>
      <c r="AD277" s="294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</row>
    <row r="278" spans="1:45" ht="16.5" customHeight="1">
      <c r="A278" s="307"/>
      <c r="B278" s="307"/>
      <c r="C278" s="74"/>
      <c r="D278" s="167"/>
      <c r="E278" s="167"/>
      <c r="F278" s="167"/>
      <c r="G278" s="64"/>
      <c r="H278" s="64"/>
      <c r="I278" s="74"/>
      <c r="J278" s="74"/>
      <c r="K278" s="74"/>
      <c r="L278" s="74"/>
      <c r="M278" s="74"/>
      <c r="N278" s="74"/>
      <c r="O278" s="74"/>
      <c r="P278" s="232"/>
      <c r="Q278" s="213"/>
      <c r="R278" s="213"/>
      <c r="S278" s="45"/>
      <c r="T278" s="317"/>
      <c r="U278" s="318"/>
      <c r="V278" s="318"/>
      <c r="W278" s="74"/>
      <c r="X278" s="45"/>
      <c r="Y278" s="45"/>
      <c r="Z278" s="45"/>
      <c r="AA278" s="294"/>
      <c r="AB278" s="294"/>
      <c r="AC278" s="294"/>
      <c r="AD278" s="294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</row>
    <row r="279" spans="1:45" ht="16.5" customHeight="1">
      <c r="A279" s="337"/>
      <c r="B279" s="337"/>
      <c r="C279" s="74"/>
      <c r="D279" s="167"/>
      <c r="E279" s="167"/>
      <c r="F279" s="167"/>
      <c r="G279" s="64"/>
      <c r="H279" s="64"/>
      <c r="I279" s="255"/>
      <c r="J279" s="255"/>
      <c r="K279" s="254"/>
      <c r="L279" s="67"/>
      <c r="M279" s="67"/>
      <c r="N279" s="67"/>
      <c r="O279" s="67"/>
      <c r="P279" s="240"/>
      <c r="Q279" s="213"/>
      <c r="R279" s="213"/>
      <c r="S279" s="45"/>
      <c r="T279" s="317"/>
      <c r="U279" s="318"/>
      <c r="V279" s="318"/>
      <c r="W279" s="341"/>
      <c r="X279" s="45"/>
      <c r="Y279" s="45"/>
      <c r="Z279" s="45"/>
      <c r="AA279" s="294"/>
      <c r="AB279" s="294"/>
      <c r="AC279" s="294"/>
      <c r="AD279" s="294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</row>
    <row r="280" spans="1:45" ht="16.5" customHeight="1">
      <c r="A280" s="307"/>
      <c r="B280" s="307"/>
      <c r="C280" s="74"/>
      <c r="D280" s="167"/>
      <c r="E280" s="167"/>
      <c r="F280" s="167"/>
      <c r="G280" s="64"/>
      <c r="H280" s="64"/>
      <c r="I280" s="74"/>
      <c r="J280" s="74"/>
      <c r="K280" s="340"/>
      <c r="L280" s="67"/>
      <c r="M280" s="67"/>
      <c r="N280" s="74"/>
      <c r="O280" s="74"/>
      <c r="P280" s="232"/>
      <c r="Q280" s="213"/>
      <c r="R280" s="213"/>
      <c r="S280" s="45"/>
      <c r="T280" s="317"/>
      <c r="U280" s="318"/>
      <c r="V280" s="318"/>
      <c r="W280" s="74"/>
      <c r="X280" s="45"/>
      <c r="Y280" s="45"/>
      <c r="Z280" s="45"/>
      <c r="AA280" s="294"/>
      <c r="AB280" s="294"/>
      <c r="AC280" s="294"/>
      <c r="AD280" s="294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</row>
    <row r="281" spans="1:45" ht="16.5" customHeight="1">
      <c r="A281" s="337"/>
      <c r="B281" s="337"/>
      <c r="C281" s="74"/>
      <c r="D281" s="167"/>
      <c r="E281" s="167"/>
      <c r="F281" s="167"/>
      <c r="G281" s="64"/>
      <c r="H281" s="64"/>
      <c r="I281" s="255"/>
      <c r="J281" s="255"/>
      <c r="K281" s="342"/>
      <c r="L281" s="254"/>
      <c r="M281" s="254"/>
      <c r="N281" s="342"/>
      <c r="O281" s="342"/>
      <c r="P281" s="240"/>
      <c r="Q281" s="213"/>
      <c r="R281" s="213"/>
      <c r="S281" s="45"/>
      <c r="T281" s="317"/>
      <c r="U281" s="318"/>
      <c r="V281" s="318"/>
      <c r="W281" s="341"/>
      <c r="X281" s="45"/>
      <c r="Y281" s="45"/>
      <c r="Z281" s="45"/>
      <c r="AA281" s="294"/>
      <c r="AB281" s="294"/>
      <c r="AC281" s="294"/>
      <c r="AD281" s="294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</row>
    <row r="282" spans="1:45" ht="16.5" customHeight="1">
      <c r="A282" s="307"/>
      <c r="B282" s="307"/>
      <c r="C282" s="74"/>
      <c r="D282" s="167"/>
      <c r="E282" s="167"/>
      <c r="F282" s="167"/>
      <c r="G282" s="64"/>
      <c r="H282" s="64"/>
      <c r="I282" s="340"/>
      <c r="J282" s="340"/>
      <c r="K282" s="340"/>
      <c r="L282" s="67"/>
      <c r="M282" s="67"/>
      <c r="N282" s="74"/>
      <c r="O282" s="74"/>
      <c r="P282" s="232"/>
      <c r="Q282" s="213"/>
      <c r="R282" s="213"/>
      <c r="S282" s="45"/>
      <c r="T282" s="317"/>
      <c r="U282" s="343"/>
      <c r="V282" s="318"/>
      <c r="W282" s="341"/>
      <c r="X282" s="45"/>
      <c r="Y282" s="45"/>
      <c r="Z282" s="45"/>
      <c r="AA282" s="294"/>
      <c r="AB282" s="294"/>
      <c r="AC282" s="294"/>
      <c r="AD282" s="294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</row>
    <row r="283" spans="1:45" ht="16.5" customHeight="1">
      <c r="A283" s="337"/>
      <c r="B283" s="337"/>
      <c r="C283" s="74"/>
      <c r="D283" s="167"/>
      <c r="E283" s="167"/>
      <c r="F283" s="167"/>
      <c r="G283" s="64"/>
      <c r="H283" s="64"/>
      <c r="I283" s="344"/>
      <c r="J283" s="344"/>
      <c r="K283" s="344"/>
      <c r="L283" s="61"/>
      <c r="M283" s="61"/>
      <c r="N283" s="61"/>
      <c r="O283" s="61"/>
      <c r="P283" s="240"/>
      <c r="Q283" s="213"/>
      <c r="R283" s="213"/>
      <c r="S283" s="45"/>
      <c r="T283" s="317"/>
      <c r="U283" s="345"/>
      <c r="V283" s="318"/>
      <c r="W283" s="341"/>
      <c r="X283" s="45"/>
      <c r="Y283" s="45"/>
      <c r="Z283" s="45"/>
      <c r="AA283" s="294"/>
      <c r="AB283" s="294"/>
      <c r="AC283" s="294"/>
      <c r="AD283" s="294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</row>
    <row r="284" spans="1:45" ht="16.5" customHeight="1">
      <c r="A284" s="307"/>
      <c r="B284" s="307"/>
      <c r="C284" s="74"/>
      <c r="D284" s="167"/>
      <c r="E284" s="167"/>
      <c r="F284" s="167"/>
      <c r="G284" s="64"/>
      <c r="H284" s="64"/>
      <c r="I284" s="344"/>
      <c r="J284" s="344"/>
      <c r="K284" s="344"/>
      <c r="L284" s="61"/>
      <c r="M284" s="61"/>
      <c r="N284" s="61"/>
      <c r="O284" s="61"/>
      <c r="P284" s="240"/>
      <c r="Q284" s="213"/>
      <c r="R284" s="213"/>
      <c r="S284" s="45"/>
      <c r="T284" s="317"/>
      <c r="U284" s="345"/>
      <c r="V284" s="318"/>
      <c r="W284" s="74"/>
      <c r="X284" s="45"/>
      <c r="Y284" s="45"/>
      <c r="Z284" s="45"/>
      <c r="AA284" s="294"/>
      <c r="AB284" s="294"/>
      <c r="AC284" s="294"/>
      <c r="AD284" s="294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</row>
    <row r="285" spans="1:45" ht="16.5" customHeight="1">
      <c r="A285" s="307"/>
      <c r="B285" s="307"/>
      <c r="C285" s="74"/>
      <c r="D285" s="167"/>
      <c r="E285" s="167"/>
      <c r="F285" s="167"/>
      <c r="G285" s="64"/>
      <c r="H285" s="64"/>
      <c r="I285" s="61"/>
      <c r="J285" s="61"/>
      <c r="K285" s="61"/>
      <c r="L285" s="61"/>
      <c r="M285" s="61"/>
      <c r="N285" s="61"/>
      <c r="O285" s="61"/>
      <c r="P285" s="232"/>
      <c r="Q285" s="213"/>
      <c r="R285" s="213"/>
      <c r="S285" s="45"/>
      <c r="T285" s="317"/>
      <c r="U285" s="318"/>
      <c r="V285" s="318"/>
      <c r="W285" s="74"/>
      <c r="X285" s="45"/>
      <c r="Y285" s="45"/>
      <c r="Z285" s="45"/>
      <c r="AA285" s="294"/>
      <c r="AB285" s="294"/>
      <c r="AC285" s="294"/>
      <c r="AD285" s="294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</row>
    <row r="286" spans="1:45" ht="16.5" customHeight="1">
      <c r="A286" s="307"/>
      <c r="B286" s="307"/>
      <c r="C286" s="74"/>
      <c r="D286" s="167"/>
      <c r="E286" s="167"/>
      <c r="F286" s="167"/>
      <c r="G286" s="64"/>
      <c r="H286" s="64"/>
      <c r="I286" s="254"/>
      <c r="J286" s="254"/>
      <c r="K286" s="254"/>
      <c r="L286" s="61"/>
      <c r="M286" s="61"/>
      <c r="N286" s="61"/>
      <c r="O286" s="61"/>
      <c r="P286" s="240"/>
      <c r="Q286" s="213"/>
      <c r="R286" s="213"/>
      <c r="S286" s="45"/>
      <c r="T286" s="317"/>
      <c r="U286" s="318"/>
      <c r="V286" s="318"/>
      <c r="W286" s="74"/>
      <c r="X286" s="45"/>
      <c r="Y286" s="45"/>
      <c r="Z286" s="45"/>
      <c r="AA286" s="294"/>
      <c r="AB286" s="294"/>
      <c r="AC286" s="294"/>
      <c r="AD286" s="294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</row>
    <row r="287" spans="1:45" ht="16.5" customHeight="1">
      <c r="A287" s="307"/>
      <c r="B287" s="307"/>
      <c r="C287" s="74"/>
      <c r="D287" s="167"/>
      <c r="E287" s="167"/>
      <c r="F287" s="167"/>
      <c r="G287" s="64"/>
      <c r="H287" s="64"/>
      <c r="I287" s="254"/>
      <c r="J287" s="254"/>
      <c r="K287" s="342"/>
      <c r="L287" s="74"/>
      <c r="M287" s="74"/>
      <c r="N287" s="74"/>
      <c r="O287" s="74"/>
      <c r="P287" s="240"/>
      <c r="Q287" s="213"/>
      <c r="R287" s="213"/>
      <c r="S287" s="45"/>
      <c r="T287" s="317"/>
      <c r="U287" s="318"/>
      <c r="V287" s="318"/>
      <c r="W287" s="74"/>
      <c r="X287" s="45"/>
      <c r="Y287" s="45"/>
      <c r="Z287" s="45"/>
      <c r="AA287" s="294"/>
      <c r="AB287" s="294"/>
      <c r="AC287" s="294"/>
      <c r="AD287" s="294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</row>
    <row r="288" spans="1:45" ht="16.5" customHeight="1">
      <c r="A288" s="307"/>
      <c r="B288" s="307"/>
      <c r="C288" s="74"/>
      <c r="D288" s="167"/>
      <c r="E288" s="167"/>
      <c r="F288" s="167"/>
      <c r="G288" s="64"/>
      <c r="H288" s="64"/>
      <c r="I288" s="254"/>
      <c r="J288" s="254"/>
      <c r="K288" s="342"/>
      <c r="L288" s="74"/>
      <c r="M288" s="74"/>
      <c r="N288" s="74"/>
      <c r="O288" s="74"/>
      <c r="P288" s="240"/>
      <c r="Q288" s="213"/>
      <c r="R288" s="213"/>
      <c r="S288" s="45"/>
      <c r="T288" s="317"/>
      <c r="U288" s="318"/>
      <c r="V288" s="318"/>
      <c r="W288" s="74"/>
      <c r="X288" s="45"/>
      <c r="Y288" s="45"/>
      <c r="Z288" s="45"/>
      <c r="AA288" s="294"/>
      <c r="AB288" s="294"/>
      <c r="AC288" s="294"/>
      <c r="AD288" s="294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</row>
    <row r="289" spans="1:45" ht="16.5" customHeight="1">
      <c r="A289" s="316"/>
      <c r="B289" s="316"/>
      <c r="C289" s="331"/>
      <c r="D289" s="292"/>
      <c r="E289" s="292"/>
      <c r="F289" s="292"/>
      <c r="G289" s="293"/>
      <c r="H289" s="293"/>
      <c r="I289" s="296"/>
      <c r="J289" s="296"/>
      <c r="K289" s="331"/>
      <c r="L289" s="331"/>
      <c r="M289" s="331"/>
      <c r="N289" s="294"/>
      <c r="O289" s="294"/>
      <c r="P289" s="332"/>
      <c r="Q289" s="333"/>
      <c r="R289" s="333"/>
      <c r="S289" s="294"/>
      <c r="T289" s="333"/>
      <c r="U289" s="295"/>
      <c r="V289" s="295"/>
      <c r="W289" s="294"/>
      <c r="X289" s="296"/>
      <c r="Y289" s="296"/>
      <c r="Z289" s="296"/>
      <c r="AA289" s="294"/>
      <c r="AB289" s="294"/>
      <c r="AC289" s="294"/>
      <c r="AD289" s="294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</row>
    <row r="290" spans="1:45" ht="16.5" customHeight="1">
      <c r="A290" s="316"/>
      <c r="B290" s="316"/>
      <c r="C290" s="331"/>
      <c r="D290" s="292"/>
      <c r="E290" s="292"/>
      <c r="F290" s="292"/>
      <c r="G290" s="293"/>
      <c r="H290" s="293"/>
      <c r="I290" s="296"/>
      <c r="J290" s="296"/>
      <c r="K290" s="331"/>
      <c r="L290" s="331"/>
      <c r="M290" s="331"/>
      <c r="N290" s="294"/>
      <c r="O290" s="294"/>
      <c r="P290" s="332"/>
      <c r="Q290" s="333"/>
      <c r="R290" s="333"/>
      <c r="S290" s="294"/>
      <c r="T290" s="333"/>
      <c r="U290" s="295"/>
      <c r="V290" s="295"/>
      <c r="W290" s="294"/>
      <c r="X290" s="296"/>
      <c r="Y290" s="296"/>
      <c r="Z290" s="296"/>
      <c r="AA290" s="294"/>
      <c r="AB290" s="294"/>
      <c r="AC290" s="294"/>
      <c r="AD290" s="294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</row>
    <row r="291" spans="1:45" ht="16.5" customHeight="1">
      <c r="A291" s="316"/>
      <c r="B291" s="316"/>
      <c r="C291" s="331"/>
      <c r="D291" s="292"/>
      <c r="E291" s="292"/>
      <c r="F291" s="292"/>
      <c r="G291" s="293"/>
      <c r="H291" s="293"/>
      <c r="I291" s="296"/>
      <c r="J291" s="296"/>
      <c r="K291" s="331"/>
      <c r="L291" s="331"/>
      <c r="M291" s="331"/>
      <c r="N291" s="294"/>
      <c r="O291" s="294"/>
      <c r="P291" s="332"/>
      <c r="Q291" s="333"/>
      <c r="R291" s="333"/>
      <c r="S291" s="294"/>
      <c r="T291" s="333"/>
      <c r="U291" s="295"/>
      <c r="V291" s="295"/>
      <c r="W291" s="294"/>
      <c r="X291" s="296"/>
      <c r="Y291" s="296"/>
      <c r="Z291" s="296"/>
      <c r="AA291" s="294"/>
      <c r="AB291" s="294"/>
      <c r="AC291" s="294"/>
      <c r="AD291" s="294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200"/>
      <c r="AQ291" s="200"/>
      <c r="AR291" s="200"/>
      <c r="AS291" s="200"/>
    </row>
    <row r="292" spans="1:45" ht="16.5" customHeight="1">
      <c r="A292" s="316"/>
      <c r="B292" s="316"/>
      <c r="C292" s="331"/>
      <c r="D292" s="292"/>
      <c r="E292" s="292"/>
      <c r="F292" s="292"/>
      <c r="G292" s="293"/>
      <c r="H292" s="293"/>
      <c r="I292" s="296"/>
      <c r="J292" s="296"/>
      <c r="K292" s="331"/>
      <c r="L292" s="331"/>
      <c r="M292" s="331"/>
      <c r="N292" s="294"/>
      <c r="O292" s="294"/>
      <c r="P292" s="332"/>
      <c r="Q292" s="333"/>
      <c r="R292" s="333"/>
      <c r="S292" s="294"/>
      <c r="T292" s="333"/>
      <c r="U292" s="295"/>
      <c r="V292" s="295"/>
      <c r="W292" s="294"/>
      <c r="X292" s="296"/>
      <c r="Y292" s="296"/>
      <c r="Z292" s="296"/>
      <c r="AA292" s="294"/>
      <c r="AB292" s="294"/>
      <c r="AC292" s="294"/>
      <c r="AD292" s="294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</row>
    <row r="293" spans="1:45" ht="16.5" customHeight="1">
      <c r="A293" s="316"/>
      <c r="B293" s="316"/>
      <c r="C293" s="331"/>
      <c r="D293" s="292"/>
      <c r="E293" s="292"/>
      <c r="F293" s="292"/>
      <c r="G293" s="293"/>
      <c r="H293" s="293"/>
      <c r="I293" s="296"/>
      <c r="J293" s="296"/>
      <c r="K293" s="331"/>
      <c r="L293" s="331"/>
      <c r="M293" s="331"/>
      <c r="N293" s="294"/>
      <c r="O293" s="294"/>
      <c r="P293" s="332"/>
      <c r="Q293" s="333"/>
      <c r="R293" s="333"/>
      <c r="S293" s="294"/>
      <c r="T293" s="333"/>
      <c r="U293" s="295"/>
      <c r="V293" s="295"/>
      <c r="W293" s="294"/>
      <c r="X293" s="296"/>
      <c r="Y293" s="296"/>
      <c r="Z293" s="296"/>
      <c r="AA293" s="294"/>
      <c r="AB293" s="294"/>
      <c r="AC293" s="294"/>
      <c r="AD293" s="294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200"/>
      <c r="AQ293" s="200"/>
      <c r="AR293" s="200"/>
      <c r="AS293" s="200"/>
    </row>
    <row r="294" spans="1:45" ht="16.5" customHeight="1">
      <c r="A294" s="316"/>
      <c r="B294" s="316"/>
      <c r="C294" s="331"/>
      <c r="D294" s="292"/>
      <c r="E294" s="292"/>
      <c r="F294" s="292"/>
      <c r="G294" s="293"/>
      <c r="H294" s="293"/>
      <c r="I294" s="296"/>
      <c r="J294" s="296"/>
      <c r="K294" s="331"/>
      <c r="L294" s="331"/>
      <c r="M294" s="331"/>
      <c r="N294" s="294"/>
      <c r="O294" s="294"/>
      <c r="P294" s="332"/>
      <c r="Q294" s="333"/>
      <c r="R294" s="333"/>
      <c r="S294" s="294"/>
      <c r="T294" s="333"/>
      <c r="U294" s="295"/>
      <c r="V294" s="295"/>
      <c r="W294" s="294"/>
      <c r="X294" s="296"/>
      <c r="Y294" s="296"/>
      <c r="Z294" s="296"/>
      <c r="AA294" s="294"/>
      <c r="AB294" s="294"/>
      <c r="AC294" s="294"/>
      <c r="AD294" s="294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200"/>
      <c r="AQ294" s="200"/>
      <c r="AR294" s="200"/>
      <c r="AS294" s="200"/>
    </row>
    <row r="295" spans="1:45" ht="16.5" customHeight="1">
      <c r="A295" s="316"/>
      <c r="B295" s="316"/>
      <c r="C295" s="331"/>
      <c r="D295" s="292"/>
      <c r="E295" s="292"/>
      <c r="F295" s="292"/>
      <c r="G295" s="293"/>
      <c r="H295" s="293"/>
      <c r="I295" s="296"/>
      <c r="J295" s="296"/>
      <c r="K295" s="331"/>
      <c r="L295" s="331"/>
      <c r="M295" s="331"/>
      <c r="N295" s="294"/>
      <c r="O295" s="294"/>
      <c r="P295" s="332"/>
      <c r="Q295" s="333"/>
      <c r="R295" s="333"/>
      <c r="S295" s="294"/>
      <c r="T295" s="333"/>
      <c r="U295" s="295"/>
      <c r="V295" s="295"/>
      <c r="W295" s="294"/>
      <c r="X295" s="296"/>
      <c r="Y295" s="296"/>
      <c r="Z295" s="296"/>
      <c r="AA295" s="294"/>
      <c r="AB295" s="294"/>
      <c r="AC295" s="294"/>
      <c r="AD295" s="294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200"/>
      <c r="AQ295" s="200"/>
      <c r="AR295" s="200"/>
      <c r="AS295" s="200"/>
    </row>
    <row r="296" spans="1:45" ht="16.5" customHeight="1">
      <c r="A296" s="316"/>
      <c r="B296" s="316"/>
      <c r="C296" s="331"/>
      <c r="D296" s="292"/>
      <c r="E296" s="292"/>
      <c r="F296" s="292"/>
      <c r="G296" s="293"/>
      <c r="H296" s="293"/>
      <c r="I296" s="296"/>
      <c r="J296" s="296"/>
      <c r="K296" s="331"/>
      <c r="L296" s="331"/>
      <c r="M296" s="331"/>
      <c r="N296" s="294"/>
      <c r="O296" s="294"/>
      <c r="P296" s="332"/>
      <c r="Q296" s="333"/>
      <c r="R296" s="333"/>
      <c r="S296" s="294"/>
      <c r="T296" s="333"/>
      <c r="U296" s="295"/>
      <c r="V296" s="295"/>
      <c r="W296" s="294"/>
      <c r="X296" s="296"/>
      <c r="Y296" s="296"/>
      <c r="Z296" s="296"/>
      <c r="AA296" s="294"/>
      <c r="AB296" s="294"/>
      <c r="AC296" s="294"/>
      <c r="AD296" s="294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</row>
    <row r="297" spans="1:45" ht="16.5" customHeight="1">
      <c r="A297" s="316"/>
      <c r="B297" s="316"/>
      <c r="C297" s="331"/>
      <c r="D297" s="292"/>
      <c r="E297" s="292"/>
      <c r="F297" s="292"/>
      <c r="G297" s="293"/>
      <c r="H297" s="293"/>
      <c r="I297" s="296"/>
      <c r="J297" s="296"/>
      <c r="K297" s="331"/>
      <c r="L297" s="331"/>
      <c r="M297" s="331"/>
      <c r="N297" s="294"/>
      <c r="O297" s="294"/>
      <c r="P297" s="332"/>
      <c r="Q297" s="333"/>
      <c r="R297" s="333"/>
      <c r="S297" s="294"/>
      <c r="T297" s="333"/>
      <c r="U297" s="295"/>
      <c r="V297" s="295"/>
      <c r="W297" s="294"/>
      <c r="X297" s="296"/>
      <c r="Y297" s="296"/>
      <c r="Z297" s="296"/>
      <c r="AA297" s="294"/>
      <c r="AB297" s="294"/>
      <c r="AC297" s="294"/>
      <c r="AD297" s="294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</row>
    <row r="298" spans="1:45" ht="16.5" customHeight="1">
      <c r="A298" s="316"/>
      <c r="B298" s="316"/>
      <c r="C298" s="331"/>
      <c r="D298" s="292"/>
      <c r="E298" s="292"/>
      <c r="F298" s="292"/>
      <c r="G298" s="293"/>
      <c r="H298" s="293"/>
      <c r="I298" s="296"/>
      <c r="J298" s="296"/>
      <c r="K298" s="331"/>
      <c r="L298" s="331"/>
      <c r="M298" s="331"/>
      <c r="N298" s="294"/>
      <c r="O298" s="294"/>
      <c r="P298" s="332"/>
      <c r="Q298" s="333"/>
      <c r="R298" s="333"/>
      <c r="S298" s="294"/>
      <c r="T298" s="333"/>
      <c r="U298" s="295"/>
      <c r="V298" s="295"/>
      <c r="W298" s="294"/>
      <c r="X298" s="296"/>
      <c r="Y298" s="296"/>
      <c r="Z298" s="296"/>
      <c r="AA298" s="294"/>
      <c r="AB298" s="294"/>
      <c r="AC298" s="294"/>
      <c r="AD298" s="294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200"/>
      <c r="AQ298" s="200"/>
      <c r="AR298" s="200"/>
      <c r="AS298" s="200"/>
    </row>
    <row r="299" spans="1:45" ht="16.5" customHeight="1">
      <c r="A299" s="316"/>
      <c r="B299" s="316"/>
      <c r="C299" s="331"/>
      <c r="D299" s="292"/>
      <c r="E299" s="292"/>
      <c r="F299" s="292"/>
      <c r="G299" s="293"/>
      <c r="H299" s="293"/>
      <c r="I299" s="296"/>
      <c r="J299" s="296"/>
      <c r="K299" s="331"/>
      <c r="L299" s="331"/>
      <c r="M299" s="331"/>
      <c r="N299" s="294"/>
      <c r="O299" s="294"/>
      <c r="P299" s="332"/>
      <c r="Q299" s="333"/>
      <c r="R299" s="333"/>
      <c r="S299" s="294"/>
      <c r="T299" s="333"/>
      <c r="U299" s="295"/>
      <c r="V299" s="295"/>
      <c r="W299" s="294"/>
      <c r="X299" s="296"/>
      <c r="Y299" s="296"/>
      <c r="Z299" s="296"/>
      <c r="AA299" s="294"/>
      <c r="AB299" s="294"/>
      <c r="AC299" s="294"/>
      <c r="AD299" s="294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</row>
    <row r="300" spans="1:45" ht="16.5" customHeight="1">
      <c r="A300" s="316"/>
      <c r="B300" s="316"/>
      <c r="C300" s="331"/>
      <c r="D300" s="292"/>
      <c r="E300" s="292"/>
      <c r="F300" s="292"/>
      <c r="G300" s="293"/>
      <c r="H300" s="293"/>
      <c r="I300" s="296"/>
      <c r="J300" s="296"/>
      <c r="K300" s="331"/>
      <c r="L300" s="331"/>
      <c r="M300" s="331"/>
      <c r="N300" s="294"/>
      <c r="O300" s="294"/>
      <c r="P300" s="332"/>
      <c r="Q300" s="333"/>
      <c r="R300" s="333"/>
      <c r="S300" s="294"/>
      <c r="T300" s="333"/>
      <c r="U300" s="295"/>
      <c r="V300" s="295"/>
      <c r="W300" s="294"/>
      <c r="X300" s="296"/>
      <c r="Y300" s="296"/>
      <c r="Z300" s="296"/>
      <c r="AA300" s="294"/>
      <c r="AB300" s="294"/>
      <c r="AC300" s="294"/>
      <c r="AD300" s="294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</row>
    <row r="301" spans="1:45" ht="16.5" customHeight="1">
      <c r="A301" s="316"/>
      <c r="B301" s="316"/>
      <c r="C301" s="331"/>
      <c r="D301" s="292"/>
      <c r="E301" s="292"/>
      <c r="F301" s="292"/>
      <c r="G301" s="293"/>
      <c r="H301" s="293"/>
      <c r="I301" s="296"/>
      <c r="J301" s="296"/>
      <c r="K301" s="331"/>
      <c r="L301" s="331"/>
      <c r="M301" s="331"/>
      <c r="N301" s="294"/>
      <c r="O301" s="294"/>
      <c r="P301" s="332"/>
      <c r="Q301" s="333"/>
      <c r="R301" s="333"/>
      <c r="S301" s="294"/>
      <c r="T301" s="333"/>
      <c r="U301" s="295"/>
      <c r="V301" s="295"/>
      <c r="W301" s="294"/>
      <c r="X301" s="296"/>
      <c r="Y301" s="296"/>
      <c r="Z301" s="296"/>
      <c r="AA301" s="294"/>
      <c r="AB301" s="294"/>
      <c r="AC301" s="294"/>
      <c r="AD301" s="294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</row>
    <row r="302" spans="1:45" ht="16.5" customHeight="1">
      <c r="A302" s="270"/>
      <c r="B302" s="270"/>
      <c r="C302" s="293"/>
      <c r="D302" s="292"/>
      <c r="E302" s="292"/>
      <c r="F302" s="292"/>
      <c r="G302" s="346"/>
      <c r="H302" s="346"/>
      <c r="I302" s="296"/>
      <c r="J302" s="296"/>
      <c r="K302" s="331"/>
      <c r="L302" s="331"/>
      <c r="M302" s="331"/>
      <c r="N302" s="294"/>
      <c r="O302" s="294"/>
      <c r="P302" s="332"/>
      <c r="Q302" s="333"/>
      <c r="R302" s="333"/>
      <c r="S302" s="294"/>
      <c r="T302" s="333"/>
      <c r="U302" s="295"/>
      <c r="V302" s="295"/>
      <c r="W302" s="294"/>
      <c r="X302" s="296"/>
      <c r="Y302" s="296"/>
      <c r="Z302" s="296"/>
      <c r="AA302" s="294"/>
      <c r="AB302" s="294"/>
      <c r="AC302" s="294"/>
      <c r="AD302" s="294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</row>
    <row r="303" spans="1:45" ht="16.5" customHeight="1">
      <c r="A303" s="316"/>
      <c r="B303" s="316"/>
      <c r="C303" s="331"/>
      <c r="D303" s="292"/>
      <c r="E303" s="292"/>
      <c r="F303" s="292"/>
      <c r="G303" s="293"/>
      <c r="H303" s="293"/>
      <c r="I303" s="296"/>
      <c r="J303" s="296"/>
      <c r="K303" s="331"/>
      <c r="L303" s="331"/>
      <c r="M303" s="331"/>
      <c r="N303" s="294"/>
      <c r="O303" s="294"/>
      <c r="P303" s="332"/>
      <c r="Q303" s="333"/>
      <c r="R303" s="333"/>
      <c r="S303" s="294"/>
      <c r="T303" s="333"/>
      <c r="U303" s="295"/>
      <c r="V303" s="295"/>
      <c r="W303" s="294"/>
      <c r="X303" s="296"/>
      <c r="Y303" s="296"/>
      <c r="Z303" s="296"/>
      <c r="AA303" s="294"/>
      <c r="AB303" s="294"/>
      <c r="AC303" s="294"/>
      <c r="AD303" s="294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</row>
    <row r="304" spans="1:45" ht="16.5" customHeight="1">
      <c r="A304" s="216"/>
      <c r="B304" s="216"/>
      <c r="C304" s="293"/>
      <c r="D304" s="336"/>
      <c r="E304" s="336"/>
      <c r="F304" s="336"/>
      <c r="G304" s="293"/>
      <c r="H304" s="293"/>
      <c r="I304" s="296"/>
      <c r="J304" s="296"/>
      <c r="K304" s="291"/>
      <c r="L304" s="347"/>
      <c r="M304" s="347"/>
      <c r="N304" s="294"/>
      <c r="O304" s="294"/>
      <c r="P304" s="348"/>
      <c r="Q304" s="333"/>
      <c r="R304" s="333"/>
      <c r="S304" s="294"/>
      <c r="T304" s="333"/>
      <c r="U304" s="295"/>
      <c r="V304" s="295"/>
      <c r="W304" s="294"/>
      <c r="X304" s="45"/>
      <c r="Y304" s="45"/>
      <c r="Z304" s="349"/>
      <c r="AA304" s="294"/>
      <c r="AB304" s="294"/>
      <c r="AC304" s="294"/>
      <c r="AD304" s="294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</row>
    <row r="305" spans="1:45" ht="16.5" customHeight="1">
      <c r="A305" s="316"/>
      <c r="B305" s="316"/>
      <c r="C305" s="331"/>
      <c r="D305" s="292"/>
      <c r="E305" s="292"/>
      <c r="F305" s="292"/>
      <c r="G305" s="293"/>
      <c r="H305" s="293"/>
      <c r="I305" s="296"/>
      <c r="J305" s="296"/>
      <c r="K305" s="331"/>
      <c r="L305" s="331"/>
      <c r="M305" s="331"/>
      <c r="N305" s="294"/>
      <c r="O305" s="294"/>
      <c r="P305" s="332"/>
      <c r="Q305" s="333"/>
      <c r="R305" s="333"/>
      <c r="S305" s="294"/>
      <c r="T305" s="333"/>
      <c r="U305" s="295"/>
      <c r="V305" s="295"/>
      <c r="W305" s="294"/>
      <c r="X305" s="296"/>
      <c r="Y305" s="296"/>
      <c r="Z305" s="296"/>
      <c r="AA305" s="294"/>
      <c r="AB305" s="294"/>
      <c r="AC305" s="294"/>
      <c r="AD305" s="294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200"/>
      <c r="AQ305" s="200"/>
      <c r="AR305" s="200"/>
      <c r="AS305" s="200"/>
    </row>
    <row r="306" spans="1:45" ht="16.5" customHeight="1">
      <c r="A306" s="316"/>
      <c r="B306" s="316"/>
      <c r="C306" s="331"/>
      <c r="D306" s="292"/>
      <c r="E306" s="292"/>
      <c r="F306" s="292"/>
      <c r="G306" s="293"/>
      <c r="H306" s="293"/>
      <c r="I306" s="296"/>
      <c r="J306" s="296"/>
      <c r="K306" s="331"/>
      <c r="L306" s="331"/>
      <c r="M306" s="331"/>
      <c r="N306" s="294"/>
      <c r="O306" s="294"/>
      <c r="P306" s="332"/>
      <c r="Q306" s="333"/>
      <c r="R306" s="333"/>
      <c r="S306" s="294"/>
      <c r="T306" s="333"/>
      <c r="U306" s="295"/>
      <c r="V306" s="295"/>
      <c r="W306" s="294"/>
      <c r="X306" s="296"/>
      <c r="Y306" s="296"/>
      <c r="Z306" s="296"/>
      <c r="AA306" s="294"/>
      <c r="AB306" s="294"/>
      <c r="AC306" s="294"/>
      <c r="AD306" s="294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</row>
    <row r="307" spans="1:45" ht="16.5" customHeight="1">
      <c r="A307" s="316"/>
      <c r="B307" s="316"/>
      <c r="C307" s="331"/>
      <c r="D307" s="292"/>
      <c r="E307" s="292"/>
      <c r="F307" s="292"/>
      <c r="G307" s="293"/>
      <c r="H307" s="293"/>
      <c r="I307" s="296"/>
      <c r="J307" s="296"/>
      <c r="K307" s="331"/>
      <c r="L307" s="331"/>
      <c r="M307" s="331"/>
      <c r="N307" s="294"/>
      <c r="O307" s="294"/>
      <c r="P307" s="332"/>
      <c r="Q307" s="333"/>
      <c r="R307" s="333"/>
      <c r="S307" s="294"/>
      <c r="T307" s="333"/>
      <c r="U307" s="295"/>
      <c r="V307" s="295"/>
      <c r="W307" s="294"/>
      <c r="X307" s="296"/>
      <c r="Y307" s="296"/>
      <c r="Z307" s="296"/>
      <c r="AA307" s="294"/>
      <c r="AB307" s="294"/>
      <c r="AC307" s="294"/>
      <c r="AD307" s="294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200"/>
      <c r="AQ307" s="200"/>
      <c r="AR307" s="200"/>
      <c r="AS307" s="200"/>
    </row>
    <row r="308" spans="1:45" ht="16.5" customHeight="1">
      <c r="A308" s="316"/>
      <c r="B308" s="316"/>
      <c r="C308" s="331"/>
      <c r="D308" s="292"/>
      <c r="E308" s="292"/>
      <c r="F308" s="292"/>
      <c r="G308" s="293"/>
      <c r="H308" s="293"/>
      <c r="I308" s="296"/>
      <c r="J308" s="296"/>
      <c r="K308" s="331"/>
      <c r="L308" s="331"/>
      <c r="M308" s="331"/>
      <c r="N308" s="294"/>
      <c r="O308" s="294"/>
      <c r="P308" s="332"/>
      <c r="Q308" s="333"/>
      <c r="R308" s="333"/>
      <c r="S308" s="294"/>
      <c r="T308" s="333"/>
      <c r="U308" s="295"/>
      <c r="V308" s="295"/>
      <c r="W308" s="294"/>
      <c r="X308" s="296"/>
      <c r="Y308" s="296"/>
      <c r="Z308" s="296"/>
      <c r="AA308" s="294"/>
      <c r="AB308" s="294"/>
      <c r="AC308" s="294"/>
      <c r="AD308" s="294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</row>
    <row r="309" spans="1:45" ht="16.5" customHeight="1">
      <c r="A309" s="316"/>
      <c r="B309" s="316"/>
      <c r="C309" s="331"/>
      <c r="D309" s="292"/>
      <c r="E309" s="292"/>
      <c r="F309" s="292"/>
      <c r="G309" s="293"/>
      <c r="H309" s="293"/>
      <c r="I309" s="296"/>
      <c r="J309" s="296"/>
      <c r="K309" s="331"/>
      <c r="L309" s="331"/>
      <c r="M309" s="331"/>
      <c r="N309" s="294"/>
      <c r="O309" s="294"/>
      <c r="P309" s="332"/>
      <c r="Q309" s="333"/>
      <c r="R309" s="333"/>
      <c r="S309" s="294"/>
      <c r="T309" s="333"/>
      <c r="U309" s="295"/>
      <c r="V309" s="295"/>
      <c r="W309" s="294"/>
      <c r="X309" s="296"/>
      <c r="Y309" s="296"/>
      <c r="Z309" s="296"/>
      <c r="AA309" s="294"/>
      <c r="AB309" s="294"/>
      <c r="AC309" s="294"/>
      <c r="AD309" s="294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</row>
    <row r="310" spans="1:45" ht="16.5" customHeight="1">
      <c r="A310" s="307"/>
      <c r="B310" s="307"/>
      <c r="C310" s="291"/>
      <c r="D310" s="291"/>
      <c r="E310" s="291"/>
      <c r="F310" s="291"/>
      <c r="G310" s="293"/>
      <c r="H310" s="293"/>
      <c r="I310" s="296"/>
      <c r="J310" s="296"/>
      <c r="K310" s="291"/>
      <c r="L310" s="291"/>
      <c r="M310" s="291"/>
      <c r="N310" s="294"/>
      <c r="O310" s="294"/>
      <c r="P310" s="348"/>
      <c r="Q310" s="350"/>
      <c r="R310" s="350"/>
      <c r="S310" s="294"/>
      <c r="T310" s="350"/>
      <c r="U310" s="295"/>
      <c r="V310" s="295"/>
      <c r="W310" s="298"/>
      <c r="X310" s="351"/>
      <c r="Y310" s="351"/>
      <c r="Z310" s="351"/>
      <c r="AA310" s="294"/>
      <c r="AB310" s="294"/>
      <c r="AC310" s="294"/>
      <c r="AD310" s="298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</row>
    <row r="311" spans="1:45" ht="16.5" customHeight="1">
      <c r="A311" s="216"/>
      <c r="B311" s="216"/>
      <c r="C311" s="217"/>
      <c r="D311" s="176"/>
      <c r="E311" s="176"/>
      <c r="F311" s="176"/>
      <c r="G311" s="162"/>
      <c r="H311" s="162"/>
      <c r="I311" s="218"/>
      <c r="J311" s="218"/>
      <c r="K311" s="219"/>
      <c r="L311" s="219"/>
      <c r="M311" s="219"/>
      <c r="N311" s="45"/>
      <c r="O311" s="45"/>
      <c r="P311" s="38"/>
      <c r="Q311" s="220"/>
      <c r="R311" s="220"/>
      <c r="S311" s="45"/>
      <c r="T311" s="220"/>
      <c r="U311" s="221"/>
      <c r="V311" s="213"/>
      <c r="W311" s="45"/>
      <c r="X311" s="218"/>
      <c r="Y311" s="218"/>
      <c r="Z311" s="218"/>
      <c r="AA311" s="219"/>
      <c r="AB311" s="219"/>
      <c r="AC311" s="219"/>
      <c r="AD311" s="45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200"/>
      <c r="AQ311" s="200"/>
      <c r="AR311" s="200"/>
      <c r="AS311" s="200"/>
    </row>
    <row r="312" spans="1:45" ht="16.5" customHeight="1">
      <c r="A312" s="212"/>
      <c r="B312" s="212"/>
      <c r="C312" s="217"/>
      <c r="D312" s="176"/>
      <c r="E312" s="176"/>
      <c r="F312" s="176"/>
      <c r="G312" s="162"/>
      <c r="H312" s="162"/>
      <c r="I312" s="218"/>
      <c r="J312" s="218"/>
      <c r="K312" s="219"/>
      <c r="L312" s="219"/>
      <c r="M312" s="219"/>
      <c r="N312" s="45"/>
      <c r="O312" s="45"/>
      <c r="P312" s="38"/>
      <c r="Q312" s="352"/>
      <c r="R312" s="352"/>
      <c r="S312" s="200"/>
      <c r="T312" s="220"/>
      <c r="U312" s="221"/>
      <c r="V312" s="353"/>
      <c r="W312" s="200"/>
      <c r="X312" s="218"/>
      <c r="Y312" s="218"/>
      <c r="Z312" s="200"/>
      <c r="AA312" s="219"/>
      <c r="AB312" s="219"/>
      <c r="AC312" s="219"/>
      <c r="AD312" s="200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200"/>
      <c r="AQ312" s="200"/>
      <c r="AR312" s="200"/>
      <c r="AS312" s="200"/>
    </row>
    <row r="313" spans="1:45" ht="16.5" customHeight="1">
      <c r="A313" s="307"/>
      <c r="B313" s="307"/>
      <c r="C313" s="217"/>
      <c r="D313" s="176"/>
      <c r="E313" s="176"/>
      <c r="F313" s="176"/>
      <c r="G313" s="162"/>
      <c r="H313" s="162"/>
      <c r="I313" s="218"/>
      <c r="J313" s="218"/>
      <c r="K313" s="219"/>
      <c r="L313" s="219"/>
      <c r="M313" s="219"/>
      <c r="N313" s="45"/>
      <c r="O313" s="45"/>
      <c r="P313" s="38"/>
      <c r="Q313" s="352"/>
      <c r="R313" s="352"/>
      <c r="S313" s="200"/>
      <c r="T313" s="220"/>
      <c r="U313" s="221"/>
      <c r="V313" s="353"/>
      <c r="W313" s="200"/>
      <c r="X313" s="218"/>
      <c r="Y313" s="218"/>
      <c r="Z313" s="200"/>
      <c r="AA313" s="354"/>
      <c r="AB313" s="200"/>
      <c r="AC313" s="354"/>
      <c r="AD313" s="200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200"/>
      <c r="AQ313" s="200"/>
      <c r="AR313" s="200"/>
      <c r="AS313" s="200"/>
    </row>
    <row r="314" spans="1:45" ht="16.5" customHeight="1">
      <c r="A314" s="307"/>
      <c r="B314" s="307"/>
      <c r="C314" s="217"/>
      <c r="D314" s="176"/>
      <c r="E314" s="176"/>
      <c r="F314" s="176"/>
      <c r="G314" s="162"/>
      <c r="H314" s="162"/>
      <c r="I314" s="218"/>
      <c r="J314" s="218"/>
      <c r="K314" s="219"/>
      <c r="L314" s="219"/>
      <c r="M314" s="219"/>
      <c r="N314" s="45"/>
      <c r="O314" s="45"/>
      <c r="P314" s="38"/>
      <c r="Q314" s="352"/>
      <c r="R314" s="352"/>
      <c r="S314" s="200"/>
      <c r="T314" s="220"/>
      <c r="U314" s="221"/>
      <c r="V314" s="353"/>
      <c r="W314" s="200"/>
      <c r="X314" s="218"/>
      <c r="Y314" s="218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200"/>
      <c r="AQ314" s="200"/>
      <c r="AR314" s="200"/>
      <c r="AS314" s="200"/>
    </row>
    <row r="315" spans="1:45" ht="16.5" customHeight="1">
      <c r="A315" s="307"/>
      <c r="B315" s="307"/>
      <c r="C315" s="355"/>
      <c r="D315" s="356"/>
      <c r="E315" s="356"/>
      <c r="F315" s="356"/>
      <c r="G315" s="357"/>
      <c r="H315" s="357"/>
      <c r="I315" s="200"/>
      <c r="J315" s="200"/>
      <c r="K315" s="355"/>
      <c r="L315" s="355"/>
      <c r="M315" s="355"/>
      <c r="N315" s="200"/>
      <c r="O315" s="200"/>
      <c r="P315" s="358"/>
      <c r="Q315" s="352"/>
      <c r="R315" s="352"/>
      <c r="S315" s="200"/>
      <c r="T315" s="352"/>
      <c r="U315" s="353"/>
      <c r="V315" s="353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200"/>
      <c r="AQ315" s="200"/>
      <c r="AR315" s="200"/>
      <c r="AS315" s="200"/>
    </row>
    <row r="316" spans="1:45" ht="16.5" customHeight="1">
      <c r="A316" s="307"/>
      <c r="B316" s="307"/>
      <c r="C316" s="355"/>
      <c r="D316" s="356"/>
      <c r="E316" s="356"/>
      <c r="F316" s="356"/>
      <c r="G316" s="357"/>
      <c r="H316" s="357"/>
      <c r="I316" s="200"/>
      <c r="J316" s="200"/>
      <c r="K316" s="355"/>
      <c r="L316" s="355"/>
      <c r="M316" s="355"/>
      <c r="N316" s="200"/>
      <c r="O316" s="200"/>
      <c r="P316" s="358"/>
      <c r="Q316" s="352"/>
      <c r="R316" s="352"/>
      <c r="S316" s="200"/>
      <c r="T316" s="352"/>
      <c r="U316" s="353"/>
      <c r="V316" s="353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</row>
    <row r="317" spans="1:45" ht="16.5" customHeight="1">
      <c r="A317" s="307"/>
      <c r="B317" s="307"/>
      <c r="C317" s="355"/>
      <c r="D317" s="356"/>
      <c r="E317" s="356"/>
      <c r="F317" s="356"/>
      <c r="G317" s="357"/>
      <c r="H317" s="357"/>
      <c r="I317" s="200"/>
      <c r="J317" s="200"/>
      <c r="K317" s="355"/>
      <c r="L317" s="355"/>
      <c r="M317" s="355"/>
      <c r="N317" s="200"/>
      <c r="O317" s="200"/>
      <c r="P317" s="358"/>
      <c r="Q317" s="352"/>
      <c r="R317" s="352"/>
      <c r="S317" s="200"/>
      <c r="T317" s="352"/>
      <c r="U317" s="353"/>
      <c r="V317" s="353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200"/>
      <c r="AQ317" s="200"/>
      <c r="AR317" s="200"/>
      <c r="AS317" s="200"/>
    </row>
    <row r="318" spans="1:45" ht="16.5" customHeight="1">
      <c r="A318" s="307"/>
      <c r="B318" s="307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359"/>
      <c r="Q318" s="353"/>
      <c r="R318" s="353"/>
      <c r="S318" s="200"/>
      <c r="T318" s="353"/>
      <c r="U318" s="353"/>
      <c r="V318" s="353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200"/>
      <c r="AQ318" s="200"/>
      <c r="AR318" s="200"/>
      <c r="AS318" s="200"/>
    </row>
    <row r="319" spans="1:45" ht="16.5" customHeight="1">
      <c r="A319" s="195"/>
      <c r="B319" s="195"/>
      <c r="C319" s="217"/>
      <c r="D319" s="176"/>
      <c r="E319" s="176"/>
      <c r="F319" s="176"/>
      <c r="G319" s="162"/>
      <c r="H319" s="162"/>
      <c r="I319" s="218"/>
      <c r="J319" s="218"/>
      <c r="K319" s="219"/>
      <c r="L319" s="33"/>
      <c r="M319" s="33"/>
      <c r="N319" s="45"/>
      <c r="O319" s="45"/>
      <c r="P319" s="38"/>
      <c r="Q319" s="220"/>
      <c r="R319" s="220"/>
      <c r="S319" s="45"/>
      <c r="T319" s="220"/>
      <c r="U319" s="221"/>
      <c r="V319" s="213"/>
      <c r="W319" s="45"/>
      <c r="X319" s="218"/>
      <c r="Y319" s="218"/>
      <c r="Z319" s="218"/>
      <c r="AA319" s="219"/>
      <c r="AB319" s="219"/>
      <c r="AC319" s="219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200"/>
      <c r="AQ319" s="200"/>
      <c r="AR319" s="200"/>
      <c r="AS319" s="200"/>
    </row>
    <row r="320" spans="1:45" ht="16.5" customHeight="1">
      <c r="A320" s="195"/>
      <c r="B320" s="195"/>
      <c r="C320" s="217"/>
      <c r="D320" s="176"/>
      <c r="E320" s="176"/>
      <c r="F320" s="176"/>
      <c r="G320" s="162"/>
      <c r="H320" s="162"/>
      <c r="I320" s="219"/>
      <c r="J320" s="219"/>
      <c r="K320" s="219"/>
      <c r="L320" s="33"/>
      <c r="M320" s="33"/>
      <c r="N320" s="45"/>
      <c r="O320" s="45"/>
      <c r="P320" s="38"/>
      <c r="Q320" s="352"/>
      <c r="R320" s="352"/>
      <c r="S320" s="200"/>
      <c r="T320" s="220"/>
      <c r="U320" s="221"/>
      <c r="V320" s="213"/>
      <c r="W320" s="45"/>
      <c r="X320" s="218"/>
      <c r="Y320" s="218"/>
      <c r="Z320" s="200"/>
      <c r="AA320" s="219"/>
      <c r="AB320" s="219"/>
      <c r="AC320" s="219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</row>
    <row r="321" spans="1:45" ht="16.5" customHeight="1">
      <c r="A321" s="307"/>
      <c r="B321" s="307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359"/>
      <c r="Q321" s="353"/>
      <c r="R321" s="353"/>
      <c r="S321" s="200"/>
      <c r="T321" s="353"/>
      <c r="U321" s="353"/>
      <c r="V321" s="353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200"/>
      <c r="AQ321" s="200"/>
      <c r="AR321" s="200"/>
      <c r="AS321" s="200"/>
    </row>
    <row r="322" spans="1:45" ht="16.5" customHeight="1">
      <c r="A322" s="307"/>
      <c r="B322" s="307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359"/>
      <c r="Q322" s="353"/>
      <c r="R322" s="353"/>
      <c r="S322" s="200"/>
      <c r="T322" s="353"/>
      <c r="U322" s="353"/>
      <c r="V322" s="353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200"/>
      <c r="AQ322" s="200"/>
      <c r="AR322" s="200"/>
      <c r="AS322" s="200"/>
    </row>
    <row r="323" spans="1:45" ht="16.5" customHeight="1">
      <c r="A323" s="307"/>
      <c r="B323" s="307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359"/>
      <c r="Q323" s="353"/>
      <c r="R323" s="353"/>
      <c r="S323" s="200"/>
      <c r="T323" s="353"/>
      <c r="U323" s="353"/>
      <c r="V323" s="353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</row>
    <row r="324" spans="1:45" ht="16.5" customHeight="1">
      <c r="A324" s="307"/>
      <c r="B324" s="307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359"/>
      <c r="Q324" s="353"/>
      <c r="R324" s="353"/>
      <c r="S324" s="200"/>
      <c r="T324" s="353"/>
      <c r="U324" s="353"/>
      <c r="V324" s="353"/>
      <c r="W324" s="200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200"/>
      <c r="AQ324" s="200"/>
      <c r="AR324" s="200"/>
      <c r="AS324" s="200"/>
    </row>
    <row r="325" spans="1:45" ht="16.5" customHeight="1">
      <c r="A325" s="270"/>
      <c r="B325" s="270"/>
      <c r="C325" s="291"/>
      <c r="D325" s="347"/>
      <c r="E325" s="347"/>
      <c r="F325" s="347"/>
      <c r="G325" s="346"/>
      <c r="H325" s="346"/>
      <c r="I325" s="296"/>
      <c r="J325" s="296"/>
      <c r="K325" s="291"/>
      <c r="L325" s="291"/>
      <c r="M325" s="291"/>
      <c r="N325" s="298"/>
      <c r="O325" s="298"/>
      <c r="P325" s="348"/>
      <c r="Q325" s="350"/>
      <c r="R325" s="350"/>
      <c r="S325" s="294"/>
      <c r="T325" s="350"/>
      <c r="U325" s="295"/>
      <c r="V325" s="295"/>
      <c r="W325" s="298"/>
      <c r="X325" s="351"/>
      <c r="Y325" s="351"/>
      <c r="Z325" s="351"/>
      <c r="AA325" s="294"/>
      <c r="AB325" s="298"/>
      <c r="AC325" s="294"/>
      <c r="AD325" s="298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200"/>
      <c r="AQ325" s="200"/>
      <c r="AR325" s="200"/>
      <c r="AS325" s="200"/>
    </row>
    <row r="326" spans="1:45" ht="16.5" customHeight="1">
      <c r="A326" s="307"/>
      <c r="B326" s="307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359"/>
      <c r="Q326" s="353"/>
      <c r="R326" s="353"/>
      <c r="S326" s="200"/>
      <c r="T326" s="353"/>
      <c r="U326" s="353"/>
      <c r="V326" s="353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</row>
    <row r="327" spans="1:45" ht="16.5" customHeight="1">
      <c r="A327" s="307"/>
      <c r="B327" s="307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359"/>
      <c r="Q327" s="353"/>
      <c r="R327" s="353"/>
      <c r="S327" s="200"/>
      <c r="T327" s="353"/>
      <c r="U327" s="353"/>
      <c r="V327" s="353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</row>
    <row r="328" spans="1:45" ht="16.5" customHeight="1">
      <c r="A328" s="307"/>
      <c r="B328" s="307"/>
      <c r="C328" s="355"/>
      <c r="D328" s="360"/>
      <c r="E328" s="360"/>
      <c r="F328" s="360"/>
      <c r="G328" s="200"/>
      <c r="H328" s="200"/>
      <c r="I328" s="217"/>
      <c r="J328" s="217"/>
      <c r="K328" s="355"/>
      <c r="L328" s="200"/>
      <c r="M328" s="200"/>
      <c r="N328" s="200"/>
      <c r="O328" s="200"/>
      <c r="P328" s="358"/>
      <c r="Q328" s="353"/>
      <c r="R328" s="353"/>
      <c r="S328" s="200"/>
      <c r="T328" s="353"/>
      <c r="U328" s="361"/>
      <c r="V328" s="353"/>
      <c r="W328" s="200"/>
      <c r="X328" s="200"/>
      <c r="Y328" s="200"/>
      <c r="Z328" s="200"/>
      <c r="AA328" s="200"/>
      <c r="AB328" s="355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200"/>
      <c r="AQ328" s="200"/>
      <c r="AR328" s="200"/>
      <c r="AS328" s="200"/>
    </row>
    <row r="329" spans="1:45" ht="16.5" customHeight="1">
      <c r="A329" s="307"/>
      <c r="B329" s="307"/>
      <c r="C329" s="355"/>
      <c r="D329" s="176"/>
      <c r="E329" s="176"/>
      <c r="F329" s="176"/>
      <c r="G329" s="355"/>
      <c r="H329" s="355"/>
      <c r="I329" s="200"/>
      <c r="J329" s="200"/>
      <c r="K329" s="355"/>
      <c r="L329" s="200"/>
      <c r="M329" s="200"/>
      <c r="N329" s="200"/>
      <c r="O329" s="200"/>
      <c r="P329" s="358"/>
      <c r="Q329" s="353"/>
      <c r="R329" s="353"/>
      <c r="S329" s="200"/>
      <c r="T329" s="353"/>
      <c r="U329" s="361"/>
      <c r="V329" s="353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200"/>
      <c r="AQ329" s="200"/>
      <c r="AR329" s="200"/>
      <c r="AS329" s="200"/>
    </row>
    <row r="330" spans="1:45" ht="16.5" customHeight="1">
      <c r="A330" s="307"/>
      <c r="B330" s="307"/>
      <c r="C330" s="200"/>
      <c r="D330" s="360"/>
      <c r="E330" s="360"/>
      <c r="F330" s="360"/>
      <c r="G330" s="200"/>
      <c r="H330" s="200"/>
      <c r="I330" s="200"/>
      <c r="J330" s="200"/>
      <c r="K330" s="355"/>
      <c r="L330" s="200"/>
      <c r="M330" s="200"/>
      <c r="N330" s="200"/>
      <c r="O330" s="200"/>
      <c r="P330" s="358"/>
      <c r="Q330" s="353"/>
      <c r="R330" s="353"/>
      <c r="S330" s="200"/>
      <c r="T330" s="353"/>
      <c r="U330" s="361"/>
      <c r="V330" s="353"/>
      <c r="W330" s="200"/>
      <c r="X330" s="200"/>
      <c r="Y330" s="200"/>
      <c r="Z330" s="200"/>
      <c r="AA330" s="200"/>
      <c r="AB330" s="45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</row>
    <row r="331" spans="1:45" ht="16.5" customHeight="1">
      <c r="A331" s="307"/>
      <c r="B331" s="307"/>
      <c r="C331" s="200"/>
      <c r="D331" s="360"/>
      <c r="E331" s="360"/>
      <c r="F331" s="360"/>
      <c r="G331" s="200"/>
      <c r="H331" s="200"/>
      <c r="I331" s="355"/>
      <c r="J331" s="355"/>
      <c r="K331" s="355"/>
      <c r="L331" s="360"/>
      <c r="M331" s="360"/>
      <c r="N331" s="200"/>
      <c r="O331" s="200"/>
      <c r="P331" s="358"/>
      <c r="Q331" s="352"/>
      <c r="R331" s="352"/>
      <c r="S331" s="200"/>
      <c r="T331" s="352"/>
      <c r="U331" s="362"/>
      <c r="V331" s="353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200"/>
      <c r="AQ331" s="200"/>
      <c r="AR331" s="200"/>
      <c r="AS331" s="200"/>
    </row>
    <row r="332" spans="1:45" ht="16.5" customHeight="1">
      <c r="A332" s="307"/>
      <c r="B332" s="307"/>
      <c r="C332" s="200"/>
      <c r="D332" s="363"/>
      <c r="E332" s="363"/>
      <c r="F332" s="363"/>
      <c r="G332" s="200"/>
      <c r="H332" s="200"/>
      <c r="I332" s="200"/>
      <c r="J332" s="200"/>
      <c r="K332" s="200"/>
      <c r="L332" s="200"/>
      <c r="M332" s="200"/>
      <c r="N332" s="200"/>
      <c r="O332" s="200"/>
      <c r="P332" s="359"/>
      <c r="Q332" s="353"/>
      <c r="R332" s="353"/>
      <c r="S332" s="200"/>
      <c r="T332" s="353"/>
      <c r="U332" s="353"/>
      <c r="V332" s="353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200"/>
      <c r="AQ332" s="200"/>
      <c r="AR332" s="200"/>
      <c r="AS332" s="200"/>
    </row>
    <row r="333" spans="1:45" ht="16.5" customHeight="1">
      <c r="A333" s="212"/>
      <c r="B333" s="212"/>
      <c r="C333" s="357"/>
      <c r="D333" s="356"/>
      <c r="E333" s="356"/>
      <c r="F333" s="356"/>
      <c r="G333" s="357"/>
      <c r="H333" s="357"/>
      <c r="I333" s="200"/>
      <c r="J333" s="200"/>
      <c r="K333" s="217"/>
      <c r="L333" s="360"/>
      <c r="M333" s="360"/>
      <c r="N333" s="200"/>
      <c r="O333" s="200"/>
      <c r="P333" s="358"/>
      <c r="Q333" s="353"/>
      <c r="R333" s="353"/>
      <c r="S333" s="200"/>
      <c r="T333" s="353"/>
      <c r="U333" s="353"/>
      <c r="V333" s="353"/>
      <c r="W333" s="200"/>
      <c r="X333" s="200"/>
      <c r="Y333" s="200"/>
      <c r="Z333" s="200"/>
      <c r="AA333" s="354"/>
      <c r="AB333" s="200"/>
      <c r="AC333" s="354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200"/>
      <c r="AQ333" s="200"/>
      <c r="AR333" s="200"/>
      <c r="AS333" s="200"/>
    </row>
    <row r="334" spans="1:45" ht="16.5" customHeight="1">
      <c r="A334" s="307"/>
      <c r="B334" s="307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359"/>
      <c r="Q334" s="353"/>
      <c r="R334" s="353"/>
      <c r="S334" s="200"/>
      <c r="T334" s="353"/>
      <c r="U334" s="353"/>
      <c r="V334" s="353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200"/>
      <c r="AQ334" s="200"/>
      <c r="AR334" s="200"/>
      <c r="AS334" s="200"/>
    </row>
    <row r="335" spans="1:45" ht="16.5" customHeight="1">
      <c r="A335" s="212"/>
      <c r="B335" s="212"/>
      <c r="C335" s="45"/>
      <c r="D335" s="364"/>
      <c r="E335" s="364"/>
      <c r="F335" s="364"/>
      <c r="G335" s="355"/>
      <c r="H335" s="355"/>
      <c r="I335" s="200"/>
      <c r="J335" s="200"/>
      <c r="K335" s="217"/>
      <c r="L335" s="363"/>
      <c r="M335" s="363"/>
      <c r="N335" s="200"/>
      <c r="O335" s="200"/>
      <c r="P335" s="358"/>
      <c r="Q335" s="353"/>
      <c r="R335" s="353"/>
      <c r="S335" s="200"/>
      <c r="T335" s="353"/>
      <c r="U335" s="353"/>
      <c r="V335" s="353"/>
      <c r="W335" s="200"/>
      <c r="X335" s="200"/>
      <c r="Y335" s="200"/>
      <c r="Z335" s="200"/>
      <c r="AA335" s="354"/>
      <c r="AB335" s="355"/>
      <c r="AC335" s="354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</row>
    <row r="336" spans="1:45" ht="16.5" customHeight="1">
      <c r="A336" s="212"/>
      <c r="B336" s="212"/>
      <c r="C336" s="200"/>
      <c r="D336" s="200"/>
      <c r="E336" s="200"/>
      <c r="F336" s="200"/>
      <c r="G336" s="355"/>
      <c r="H336" s="355"/>
      <c r="I336" s="355"/>
      <c r="J336" s="355"/>
      <c r="K336" s="355"/>
      <c r="L336" s="200"/>
      <c r="M336" s="200"/>
      <c r="N336" s="200"/>
      <c r="O336" s="200"/>
      <c r="P336" s="358"/>
      <c r="Q336" s="353"/>
      <c r="R336" s="353"/>
      <c r="S336" s="200"/>
      <c r="T336" s="353"/>
      <c r="U336" s="353"/>
      <c r="V336" s="353"/>
      <c r="W336" s="200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</row>
    <row r="337" spans="1:45" ht="16.5" customHeight="1">
      <c r="A337" s="212"/>
      <c r="B337" s="212"/>
      <c r="C337" s="200"/>
      <c r="D337" s="200"/>
      <c r="E337" s="200"/>
      <c r="F337" s="200"/>
      <c r="G337" s="355"/>
      <c r="H337" s="355"/>
      <c r="I337" s="200"/>
      <c r="J337" s="200"/>
      <c r="K337" s="355"/>
      <c r="L337" s="200"/>
      <c r="M337" s="200"/>
      <c r="N337" s="200"/>
      <c r="O337" s="200"/>
      <c r="P337" s="359"/>
      <c r="Q337" s="353"/>
      <c r="R337" s="353"/>
      <c r="S337" s="200"/>
      <c r="T337" s="353"/>
      <c r="U337" s="353"/>
      <c r="V337" s="353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200"/>
      <c r="AQ337" s="200"/>
      <c r="AR337" s="200"/>
      <c r="AS337" s="200"/>
    </row>
    <row r="338" spans="1:45" ht="16.5" customHeight="1">
      <c r="A338" s="307"/>
      <c r="B338" s="307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359"/>
      <c r="Q338" s="353"/>
      <c r="R338" s="353"/>
      <c r="S338" s="200"/>
      <c r="T338" s="353"/>
      <c r="U338" s="353"/>
      <c r="V338" s="353"/>
      <c r="W338" s="200"/>
      <c r="X338" s="365"/>
      <c r="Y338" s="365"/>
      <c r="Z338" s="365"/>
      <c r="AA338" s="45"/>
      <c r="AB338" s="200"/>
      <c r="AC338" s="45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</row>
    <row r="339" spans="1:45" ht="16.5" customHeight="1">
      <c r="A339" s="307"/>
      <c r="B339" s="307"/>
      <c r="C339" s="200"/>
      <c r="D339" s="200"/>
      <c r="E339" s="200"/>
      <c r="F339" s="200"/>
      <c r="G339" s="357"/>
      <c r="H339" s="357"/>
      <c r="I339" s="200"/>
      <c r="J339" s="200"/>
      <c r="K339" s="200"/>
      <c r="L339" s="200"/>
      <c r="M339" s="200"/>
      <c r="N339" s="200"/>
      <c r="O339" s="200"/>
      <c r="P339" s="359"/>
      <c r="Q339" s="353"/>
      <c r="R339" s="353"/>
      <c r="S339" s="200"/>
      <c r="T339" s="353"/>
      <c r="U339" s="353"/>
      <c r="V339" s="353"/>
      <c r="W339" s="200"/>
      <c r="X339" s="200"/>
      <c r="Y339" s="200"/>
      <c r="Z339" s="200"/>
      <c r="AA339" s="354"/>
      <c r="AB339" s="200"/>
      <c r="AC339" s="354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200"/>
      <c r="AQ339" s="200"/>
      <c r="AR339" s="200"/>
      <c r="AS339" s="200"/>
    </row>
    <row r="340" spans="1:45" ht="16.5" customHeight="1">
      <c r="A340" s="307"/>
      <c r="B340" s="307"/>
      <c r="C340" s="355"/>
      <c r="D340" s="360"/>
      <c r="E340" s="360"/>
      <c r="F340" s="360"/>
      <c r="G340" s="200"/>
      <c r="H340" s="200"/>
      <c r="I340" s="200"/>
      <c r="J340" s="200"/>
      <c r="K340" s="355"/>
      <c r="L340" s="200"/>
      <c r="M340" s="200"/>
      <c r="N340" s="200"/>
      <c r="O340" s="200"/>
      <c r="P340" s="358"/>
      <c r="Q340" s="353"/>
      <c r="R340" s="353"/>
      <c r="S340" s="200"/>
      <c r="T340" s="353"/>
      <c r="U340" s="353"/>
      <c r="V340" s="353"/>
      <c r="W340" s="200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200"/>
      <c r="AQ340" s="200"/>
      <c r="AR340" s="200"/>
      <c r="AS340" s="200"/>
    </row>
    <row r="341" spans="1:45" ht="16.5" customHeight="1">
      <c r="A341" s="307"/>
      <c r="B341" s="307"/>
      <c r="C341" s="355"/>
      <c r="D341" s="360"/>
      <c r="E341" s="360"/>
      <c r="F341" s="360"/>
      <c r="G341" s="200"/>
      <c r="H341" s="200"/>
      <c r="I341" s="200"/>
      <c r="J341" s="200"/>
      <c r="K341" s="355"/>
      <c r="L341" s="200"/>
      <c r="M341" s="200"/>
      <c r="N341" s="200"/>
      <c r="O341" s="200"/>
      <c r="P341" s="358"/>
      <c r="Q341" s="353"/>
      <c r="R341" s="353"/>
      <c r="S341" s="200"/>
      <c r="T341" s="353"/>
      <c r="U341" s="353"/>
      <c r="V341" s="353"/>
      <c r="W341" s="200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</row>
    <row r="342" spans="1:45" ht="16.5" customHeight="1">
      <c r="A342" s="307"/>
      <c r="B342" s="307"/>
      <c r="C342" s="355"/>
      <c r="D342" s="360"/>
      <c r="E342" s="360"/>
      <c r="F342" s="360"/>
      <c r="G342" s="200"/>
      <c r="H342" s="200"/>
      <c r="I342" s="200"/>
      <c r="J342" s="200"/>
      <c r="K342" s="355"/>
      <c r="L342" s="200"/>
      <c r="M342" s="200"/>
      <c r="N342" s="360"/>
      <c r="O342" s="360"/>
      <c r="P342" s="358"/>
      <c r="Q342" s="353"/>
      <c r="R342" s="353"/>
      <c r="S342" s="200"/>
      <c r="T342" s="353"/>
      <c r="U342" s="353"/>
      <c r="V342" s="353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200"/>
      <c r="AQ342" s="200"/>
      <c r="AR342" s="200"/>
      <c r="AS342" s="200"/>
    </row>
    <row r="343" spans="1:45" ht="16.5" customHeight="1">
      <c r="A343" s="307"/>
      <c r="B343" s="307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358"/>
      <c r="Q343" s="353"/>
      <c r="R343" s="353"/>
      <c r="S343" s="200"/>
      <c r="T343" s="353"/>
      <c r="U343" s="353"/>
      <c r="V343" s="353"/>
      <c r="W343" s="200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200"/>
      <c r="AQ343" s="200"/>
      <c r="AR343" s="200"/>
      <c r="AS343" s="200"/>
    </row>
    <row r="344" spans="1:45" ht="16.5" customHeight="1">
      <c r="A344" s="212"/>
      <c r="B344" s="212"/>
      <c r="C344" s="357"/>
      <c r="D344" s="356"/>
      <c r="E344" s="356"/>
      <c r="F344" s="356"/>
      <c r="G344" s="357"/>
      <c r="H344" s="357"/>
      <c r="I344" s="200"/>
      <c r="J344" s="200"/>
      <c r="K344" s="217"/>
      <c r="L344" s="360"/>
      <c r="M344" s="360"/>
      <c r="N344" s="200"/>
      <c r="O344" s="200"/>
      <c r="P344" s="358"/>
      <c r="Q344" s="353"/>
      <c r="R344" s="353"/>
      <c r="S344" s="200"/>
      <c r="T344" s="353"/>
      <c r="U344" s="353"/>
      <c r="V344" s="353"/>
      <c r="W344" s="200"/>
      <c r="X344" s="200"/>
      <c r="Y344" s="200"/>
      <c r="Z344" s="200"/>
      <c r="AA344" s="354"/>
      <c r="AB344" s="200"/>
      <c r="AC344" s="354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200"/>
      <c r="AQ344" s="200"/>
      <c r="AR344" s="200"/>
      <c r="AS344" s="200"/>
    </row>
    <row r="345" spans="1:45" ht="16.5" customHeight="1">
      <c r="A345" s="307"/>
      <c r="B345" s="307"/>
      <c r="C345" s="200"/>
      <c r="D345" s="360"/>
      <c r="E345" s="360"/>
      <c r="F345" s="360"/>
      <c r="G345" s="200"/>
      <c r="H345" s="200"/>
      <c r="I345" s="45"/>
      <c r="J345" s="45"/>
      <c r="K345" s="355"/>
      <c r="L345" s="200"/>
      <c r="M345" s="200"/>
      <c r="N345" s="355"/>
      <c r="O345" s="355"/>
      <c r="P345" s="358"/>
      <c r="Q345" s="353"/>
      <c r="R345" s="353"/>
      <c r="S345" s="200"/>
      <c r="T345" s="353"/>
      <c r="U345" s="353"/>
      <c r="V345" s="353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200"/>
      <c r="AQ345" s="200"/>
      <c r="AR345" s="200"/>
      <c r="AS345" s="200"/>
    </row>
    <row r="346" spans="1:45" ht="16.5" customHeight="1">
      <c r="A346" s="307"/>
      <c r="B346" s="307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359"/>
      <c r="Q346" s="353"/>
      <c r="R346" s="353"/>
      <c r="S346" s="200"/>
      <c r="T346" s="353"/>
      <c r="U346" s="353"/>
      <c r="V346" s="353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200"/>
      <c r="AQ346" s="200"/>
      <c r="AR346" s="200"/>
      <c r="AS346" s="200"/>
    </row>
    <row r="347" spans="1:45" ht="16.5" customHeight="1">
      <c r="A347" s="307"/>
      <c r="B347" s="307"/>
      <c r="C347" s="200"/>
      <c r="D347" s="360"/>
      <c r="E347" s="360"/>
      <c r="F347" s="360"/>
      <c r="G347" s="200"/>
      <c r="H347" s="200"/>
      <c r="I347" s="200"/>
      <c r="J347" s="200"/>
      <c r="K347" s="355"/>
      <c r="L347" s="200"/>
      <c r="M347" s="200"/>
      <c r="N347" s="200"/>
      <c r="O347" s="200"/>
      <c r="P347" s="358"/>
      <c r="Q347" s="353"/>
      <c r="R347" s="353"/>
      <c r="S347" s="200"/>
      <c r="T347" s="353"/>
      <c r="U347" s="353"/>
      <c r="V347" s="353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</row>
    <row r="348" spans="1:45" ht="16.5" customHeight="1">
      <c r="A348" s="307"/>
      <c r="B348" s="307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359"/>
      <c r="Q348" s="353"/>
      <c r="R348" s="353"/>
      <c r="S348" s="200"/>
      <c r="T348" s="353"/>
      <c r="U348" s="353"/>
      <c r="V348" s="353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200"/>
      <c r="AQ348" s="200"/>
      <c r="AR348" s="200"/>
      <c r="AS348" s="200"/>
    </row>
    <row r="349" spans="1:45" ht="16.5" customHeight="1">
      <c r="A349" s="212"/>
      <c r="B349" s="212"/>
      <c r="C349" s="355"/>
      <c r="D349" s="360"/>
      <c r="E349" s="360"/>
      <c r="F349" s="360"/>
      <c r="G349" s="200"/>
      <c r="H349" s="200"/>
      <c r="I349" s="200"/>
      <c r="J349" s="200"/>
      <c r="K349" s="355"/>
      <c r="L349" s="200"/>
      <c r="M349" s="200"/>
      <c r="N349" s="200"/>
      <c r="O349" s="200"/>
      <c r="P349" s="358"/>
      <c r="Q349" s="353"/>
      <c r="R349" s="353"/>
      <c r="S349" s="200"/>
      <c r="T349" s="353"/>
      <c r="U349" s="353"/>
      <c r="V349" s="353"/>
      <c r="W349" s="200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200"/>
      <c r="AQ349" s="200"/>
      <c r="AR349" s="200"/>
      <c r="AS349" s="200"/>
    </row>
    <row r="350" spans="1:45" ht="16.5" customHeight="1">
      <c r="A350" s="212"/>
      <c r="B350" s="212"/>
      <c r="C350" s="45"/>
      <c r="D350" s="45"/>
      <c r="E350" s="45"/>
      <c r="F350" s="45"/>
      <c r="G350" s="217"/>
      <c r="H350" s="217"/>
      <c r="I350" s="200"/>
      <c r="J350" s="200"/>
      <c r="K350" s="355"/>
      <c r="L350" s="200"/>
      <c r="M350" s="200"/>
      <c r="N350" s="200"/>
      <c r="O350" s="200"/>
      <c r="P350" s="358"/>
      <c r="Q350" s="353"/>
      <c r="R350" s="353"/>
      <c r="S350" s="200"/>
      <c r="T350" s="353"/>
      <c r="U350" s="353"/>
      <c r="V350" s="353"/>
      <c r="W350" s="200"/>
      <c r="X350" s="200"/>
      <c r="Y350" s="200"/>
      <c r="Z350" s="200"/>
      <c r="AA350" s="200"/>
      <c r="AB350" s="45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200"/>
      <c r="AQ350" s="200"/>
      <c r="AR350" s="200"/>
      <c r="AS350" s="200"/>
    </row>
    <row r="351" spans="1:45" ht="16.5" customHeight="1">
      <c r="A351" s="212"/>
      <c r="B351" s="212"/>
      <c r="C351" s="354"/>
      <c r="D351" s="360"/>
      <c r="E351" s="360"/>
      <c r="F351" s="360"/>
      <c r="G351" s="355"/>
      <c r="H351" s="355"/>
      <c r="I351" s="200"/>
      <c r="J351" s="200"/>
      <c r="K351" s="200"/>
      <c r="L351" s="200"/>
      <c r="M351" s="200"/>
      <c r="N351" s="200"/>
      <c r="O351" s="200"/>
      <c r="P351" s="359"/>
      <c r="Q351" s="366"/>
      <c r="R351" s="366"/>
      <c r="S351" s="200"/>
      <c r="T351" s="366"/>
      <c r="U351" s="353"/>
      <c r="V351" s="353"/>
      <c r="W351" s="200"/>
      <c r="X351" s="200"/>
      <c r="Y351" s="200"/>
      <c r="Z351" s="200"/>
      <c r="AA351" s="200"/>
      <c r="AB351" s="355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200"/>
      <c r="AQ351" s="200"/>
      <c r="AR351" s="200"/>
      <c r="AS351" s="200"/>
    </row>
    <row r="352" spans="1:45" ht="16.5" customHeight="1">
      <c r="A352" s="307"/>
      <c r="B352" s="307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359"/>
      <c r="Q352" s="353"/>
      <c r="R352" s="353"/>
      <c r="S352" s="200"/>
      <c r="T352" s="353"/>
      <c r="U352" s="353"/>
      <c r="V352" s="353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200"/>
      <c r="AQ352" s="200"/>
      <c r="AR352" s="200"/>
      <c r="AS352" s="200"/>
    </row>
    <row r="353" spans="1:45" ht="16.5" customHeight="1">
      <c r="A353" s="307"/>
      <c r="B353" s="307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359"/>
      <c r="Q353" s="353"/>
      <c r="R353" s="353"/>
      <c r="S353" s="200"/>
      <c r="T353" s="353"/>
      <c r="U353" s="353"/>
      <c r="V353" s="353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200"/>
      <c r="AQ353" s="200"/>
      <c r="AR353" s="200"/>
      <c r="AS353" s="200"/>
    </row>
    <row r="354" spans="1:45" ht="16.5" customHeight="1">
      <c r="A354" s="212"/>
      <c r="B354" s="212"/>
      <c r="C354" s="355"/>
      <c r="D354" s="360"/>
      <c r="E354" s="360"/>
      <c r="F354" s="360"/>
      <c r="G354" s="200"/>
      <c r="H354" s="200"/>
      <c r="I354" s="200"/>
      <c r="J354" s="200"/>
      <c r="K354" s="355"/>
      <c r="L354" s="200"/>
      <c r="M354" s="200"/>
      <c r="N354" s="200"/>
      <c r="O354" s="200"/>
      <c r="P354" s="358"/>
      <c r="Q354" s="353"/>
      <c r="R354" s="353"/>
      <c r="S354" s="200"/>
      <c r="T354" s="353"/>
      <c r="U354" s="353"/>
      <c r="V354" s="353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</row>
    <row r="355" spans="1:45" ht="16.5" customHeight="1">
      <c r="A355" s="307"/>
      <c r="B355" s="307"/>
      <c r="C355" s="355"/>
      <c r="D355" s="360"/>
      <c r="E355" s="360"/>
      <c r="F355" s="360"/>
      <c r="G355" s="200"/>
      <c r="H355" s="200"/>
      <c r="I355" s="355"/>
      <c r="J355" s="355"/>
      <c r="K355" s="200"/>
      <c r="L355" s="200"/>
      <c r="M355" s="200"/>
      <c r="N355" s="200"/>
      <c r="O355" s="200"/>
      <c r="P355" s="359"/>
      <c r="Q355" s="353"/>
      <c r="R355" s="353"/>
      <c r="S355" s="200"/>
      <c r="T355" s="353"/>
      <c r="U355" s="353"/>
      <c r="V355" s="353"/>
      <c r="W355" s="200"/>
      <c r="X355" s="200"/>
      <c r="Y355" s="200"/>
      <c r="Z355" s="200"/>
      <c r="AA355" s="200"/>
      <c r="AB355" s="355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200"/>
      <c r="AQ355" s="200"/>
      <c r="AR355" s="200"/>
      <c r="AS355" s="200"/>
    </row>
    <row r="356" spans="1:45" ht="16.5" customHeight="1">
      <c r="A356" s="307"/>
      <c r="B356" s="307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182"/>
      <c r="Q356" s="213"/>
      <c r="R356" s="213"/>
      <c r="S356" s="45"/>
      <c r="T356" s="213"/>
      <c r="U356" s="213"/>
      <c r="V356" s="213"/>
      <c r="W356" s="45"/>
      <c r="X356" s="45"/>
      <c r="Y356" s="45"/>
      <c r="Z356" s="45"/>
      <c r="AA356" s="45"/>
      <c r="AB356" s="45"/>
      <c r="AC356" s="45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</row>
    <row r="357" spans="1:45" ht="16.5" customHeight="1">
      <c r="A357" s="307"/>
      <c r="B357" s="307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359"/>
      <c r="Q357" s="353"/>
      <c r="R357" s="353"/>
      <c r="S357" s="200"/>
      <c r="T357" s="353"/>
      <c r="U357" s="353"/>
      <c r="V357" s="353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200"/>
      <c r="AQ357" s="200"/>
      <c r="AR357" s="200"/>
      <c r="AS357" s="200"/>
    </row>
    <row r="358" spans="1:45" ht="16.5" customHeight="1">
      <c r="A358" s="307"/>
      <c r="B358" s="307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359"/>
      <c r="Q358" s="353"/>
      <c r="R358" s="353"/>
      <c r="S358" s="200"/>
      <c r="T358" s="353"/>
      <c r="U358" s="353"/>
      <c r="V358" s="353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200"/>
      <c r="AQ358" s="200"/>
      <c r="AR358" s="200"/>
      <c r="AS358" s="200"/>
    </row>
    <row r="359" spans="1:45" ht="16.5" customHeight="1">
      <c r="A359" s="212"/>
      <c r="B359" s="212"/>
      <c r="C359" s="357"/>
      <c r="D359" s="360"/>
      <c r="E359" s="360"/>
      <c r="F359" s="360"/>
      <c r="G359" s="355"/>
      <c r="H359" s="355"/>
      <c r="I359" s="200"/>
      <c r="J359" s="200"/>
      <c r="K359" s="355"/>
      <c r="L359" s="360"/>
      <c r="M359" s="360"/>
      <c r="N359" s="200"/>
      <c r="O359" s="200"/>
      <c r="P359" s="358"/>
      <c r="Q359" s="353"/>
      <c r="R359" s="353"/>
      <c r="S359" s="200"/>
      <c r="T359" s="352"/>
      <c r="U359" s="353"/>
      <c r="V359" s="353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200"/>
      <c r="AQ359" s="200"/>
      <c r="AR359" s="200"/>
      <c r="AS359" s="200"/>
    </row>
    <row r="360" spans="1:45" ht="16.5" customHeight="1">
      <c r="A360" s="212"/>
      <c r="B360" s="212"/>
      <c r="C360" s="200"/>
      <c r="D360" s="200"/>
      <c r="E360" s="200"/>
      <c r="F360" s="200"/>
      <c r="G360" s="355"/>
      <c r="H360" s="355"/>
      <c r="I360" s="200"/>
      <c r="J360" s="200"/>
      <c r="K360" s="355"/>
      <c r="L360" s="360"/>
      <c r="M360" s="360"/>
      <c r="N360" s="200"/>
      <c r="O360" s="200"/>
      <c r="P360" s="358"/>
      <c r="Q360" s="353"/>
      <c r="R360" s="353"/>
      <c r="S360" s="200"/>
      <c r="T360" s="353"/>
      <c r="U360" s="353"/>
      <c r="V360" s="353"/>
      <c r="W360" s="200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200"/>
      <c r="AQ360" s="200"/>
      <c r="AR360" s="200"/>
      <c r="AS360" s="200"/>
    </row>
    <row r="361" spans="1:45" ht="16.5" customHeight="1">
      <c r="A361" s="307"/>
      <c r="B361" s="307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359"/>
      <c r="Q361" s="353"/>
      <c r="R361" s="353"/>
      <c r="S361" s="200"/>
      <c r="T361" s="353"/>
      <c r="U361" s="353"/>
      <c r="V361" s="353"/>
      <c r="W361" s="200"/>
      <c r="X361" s="200"/>
      <c r="Y361" s="200"/>
      <c r="Z361" s="200"/>
      <c r="AA361" s="367"/>
      <c r="AB361" s="200"/>
      <c r="AC361" s="367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200"/>
      <c r="AQ361" s="200"/>
      <c r="AR361" s="200"/>
      <c r="AS361" s="200"/>
    </row>
    <row r="362" spans="1:45" ht="16.5" customHeight="1">
      <c r="A362" s="307"/>
      <c r="B362" s="307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359"/>
      <c r="Q362" s="353"/>
      <c r="R362" s="353"/>
      <c r="S362" s="200"/>
      <c r="T362" s="353"/>
      <c r="U362" s="353"/>
      <c r="V362" s="353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</row>
    <row r="363" spans="1:45" ht="16.5" customHeight="1">
      <c r="A363" s="307"/>
      <c r="B363" s="307"/>
      <c r="C363" s="357"/>
      <c r="D363" s="360"/>
      <c r="E363" s="360"/>
      <c r="F363" s="360"/>
      <c r="G363" s="368"/>
      <c r="H363" s="368"/>
      <c r="I363" s="200"/>
      <c r="J363" s="200"/>
      <c r="K363" s="355"/>
      <c r="L363" s="360"/>
      <c r="M363" s="360"/>
      <c r="N363" s="200"/>
      <c r="O363" s="200"/>
      <c r="P363" s="358"/>
      <c r="Q363" s="352"/>
      <c r="R363" s="352"/>
      <c r="S363" s="200"/>
      <c r="T363" s="352"/>
      <c r="U363" s="353"/>
      <c r="V363" s="353"/>
      <c r="W363" s="200"/>
      <c r="X363" s="200"/>
      <c r="Y363" s="200"/>
      <c r="Z363" s="200"/>
      <c r="AA363" s="200"/>
      <c r="AB363" s="357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200"/>
      <c r="AQ363" s="200"/>
      <c r="AR363" s="200"/>
      <c r="AS363" s="200"/>
    </row>
    <row r="364" spans="1:45" ht="16.5" customHeight="1">
      <c r="A364" s="307"/>
      <c r="B364" s="307"/>
      <c r="C364" s="357"/>
      <c r="D364" s="360"/>
      <c r="E364" s="360"/>
      <c r="F364" s="360"/>
      <c r="G364" s="368"/>
      <c r="H364" s="368"/>
      <c r="I364" s="200"/>
      <c r="J364" s="200"/>
      <c r="K364" s="355"/>
      <c r="L364" s="360"/>
      <c r="M364" s="360"/>
      <c r="N364" s="200"/>
      <c r="O364" s="200"/>
      <c r="P364" s="358"/>
      <c r="Q364" s="353"/>
      <c r="R364" s="353"/>
      <c r="S364" s="200"/>
      <c r="T364" s="352"/>
      <c r="U364" s="353"/>
      <c r="V364" s="353"/>
      <c r="W364" s="200"/>
      <c r="X364" s="200"/>
      <c r="Y364" s="200"/>
      <c r="Z364" s="200"/>
      <c r="AA364" s="200"/>
      <c r="AB364" s="355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200"/>
      <c r="AQ364" s="200"/>
      <c r="AR364" s="200"/>
      <c r="AS364" s="200"/>
    </row>
    <row r="365" spans="1:45" ht="16.5" customHeight="1">
      <c r="A365" s="307"/>
      <c r="B365" s="307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359"/>
      <c r="Q365" s="353"/>
      <c r="R365" s="353"/>
      <c r="S365" s="200"/>
      <c r="T365" s="353"/>
      <c r="U365" s="353"/>
      <c r="V365" s="353"/>
      <c r="W365" s="200"/>
      <c r="X365" s="200"/>
      <c r="Y365" s="200"/>
      <c r="Z365" s="200"/>
      <c r="AA365" s="367"/>
      <c r="AB365" s="200"/>
      <c r="AC365" s="367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200"/>
      <c r="AQ365" s="200"/>
      <c r="AR365" s="200"/>
      <c r="AS365" s="200"/>
    </row>
    <row r="366" spans="1:45" ht="16.5" customHeight="1">
      <c r="A366" s="307"/>
      <c r="B366" s="307"/>
      <c r="C366" s="355"/>
      <c r="D366" s="356"/>
      <c r="E366" s="356"/>
      <c r="F366" s="356"/>
      <c r="G366" s="357"/>
      <c r="H366" s="357"/>
      <c r="I366" s="200"/>
      <c r="J366" s="200"/>
      <c r="K366" s="355"/>
      <c r="L366" s="355"/>
      <c r="M366" s="355"/>
      <c r="N366" s="200"/>
      <c r="O366" s="200"/>
      <c r="P366" s="358"/>
      <c r="Q366" s="361"/>
      <c r="R366" s="361"/>
      <c r="S366" s="200"/>
      <c r="T366" s="352"/>
      <c r="U366" s="353"/>
      <c r="V366" s="353"/>
      <c r="W366" s="200"/>
      <c r="X366" s="200"/>
      <c r="Y366" s="200"/>
      <c r="Z366" s="200"/>
      <c r="AA366" s="200"/>
      <c r="AB366" s="200"/>
      <c r="AC366" s="200"/>
      <c r="AD366" s="354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200"/>
      <c r="AQ366" s="200"/>
      <c r="AR366" s="200"/>
      <c r="AS366" s="200"/>
    </row>
    <row r="367" spans="1:45" ht="16.5" customHeight="1">
      <c r="A367" s="307"/>
      <c r="B367" s="307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359"/>
      <c r="Q367" s="353"/>
      <c r="R367" s="353"/>
      <c r="S367" s="200"/>
      <c r="T367" s="353"/>
      <c r="U367" s="353"/>
      <c r="V367" s="353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200"/>
      <c r="AQ367" s="200"/>
      <c r="AR367" s="200"/>
      <c r="AS367" s="200"/>
    </row>
    <row r="368" spans="1:45" ht="16.5" customHeight="1">
      <c r="A368" s="307"/>
      <c r="B368" s="307"/>
      <c r="C368" s="355"/>
      <c r="D368" s="356"/>
      <c r="E368" s="356"/>
      <c r="F368" s="356"/>
      <c r="G368" s="357"/>
      <c r="H368" s="357"/>
      <c r="I368" s="200"/>
      <c r="J368" s="200"/>
      <c r="K368" s="355"/>
      <c r="L368" s="355"/>
      <c r="M368" s="355"/>
      <c r="N368" s="200"/>
      <c r="O368" s="200"/>
      <c r="P368" s="358"/>
      <c r="Q368" s="361"/>
      <c r="R368" s="361"/>
      <c r="S368" s="200"/>
      <c r="T368" s="352"/>
      <c r="U368" s="353"/>
      <c r="V368" s="353"/>
      <c r="W368" s="200"/>
      <c r="X368" s="200"/>
      <c r="Y368" s="200"/>
      <c r="Z368" s="200"/>
      <c r="AA368" s="200"/>
      <c r="AB368" s="200"/>
      <c r="AC368" s="200"/>
      <c r="AD368" s="354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200"/>
      <c r="AQ368" s="200"/>
      <c r="AR368" s="200"/>
      <c r="AS368" s="200"/>
    </row>
    <row r="369" spans="1:45" ht="16.5" customHeight="1">
      <c r="A369" s="307"/>
      <c r="B369" s="307"/>
      <c r="C369" s="355"/>
      <c r="D369" s="356"/>
      <c r="E369" s="356"/>
      <c r="F369" s="356"/>
      <c r="G369" s="357"/>
      <c r="H369" s="357"/>
      <c r="I369" s="200"/>
      <c r="J369" s="200"/>
      <c r="K369" s="355"/>
      <c r="L369" s="355"/>
      <c r="M369" s="355"/>
      <c r="N369" s="200"/>
      <c r="O369" s="200"/>
      <c r="P369" s="358"/>
      <c r="Q369" s="361"/>
      <c r="R369" s="361"/>
      <c r="S369" s="200"/>
      <c r="T369" s="352"/>
      <c r="U369" s="353"/>
      <c r="V369" s="353"/>
      <c r="W369" s="200"/>
      <c r="X369" s="200"/>
      <c r="Y369" s="200"/>
      <c r="Z369" s="200"/>
      <c r="AA369" s="200"/>
      <c r="AB369" s="200"/>
      <c r="AC369" s="200"/>
      <c r="AD369" s="354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200"/>
      <c r="AQ369" s="200"/>
      <c r="AR369" s="200"/>
      <c r="AS369" s="200"/>
    </row>
    <row r="370" spans="1:45" ht="16.5" customHeight="1">
      <c r="A370" s="307"/>
      <c r="B370" s="307"/>
      <c r="C370" s="355"/>
      <c r="D370" s="356"/>
      <c r="E370" s="356"/>
      <c r="F370" s="356"/>
      <c r="G370" s="357"/>
      <c r="H370" s="357"/>
      <c r="I370" s="200"/>
      <c r="J370" s="200"/>
      <c r="K370" s="355"/>
      <c r="L370" s="355"/>
      <c r="M370" s="355"/>
      <c r="N370" s="200"/>
      <c r="O370" s="200"/>
      <c r="P370" s="358"/>
      <c r="Q370" s="361"/>
      <c r="R370" s="361"/>
      <c r="S370" s="200"/>
      <c r="T370" s="352"/>
      <c r="U370" s="353"/>
      <c r="V370" s="353"/>
      <c r="W370" s="200"/>
      <c r="X370" s="200"/>
      <c r="Y370" s="200"/>
      <c r="Z370" s="200"/>
      <c r="AA370" s="200"/>
      <c r="AB370" s="200"/>
      <c r="AC370" s="200"/>
      <c r="AD370" s="354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200"/>
      <c r="AQ370" s="200"/>
      <c r="AR370" s="200"/>
      <c r="AS370" s="200"/>
    </row>
    <row r="371" spans="1:45" ht="16.5" customHeight="1">
      <c r="A371" s="307"/>
      <c r="B371" s="307"/>
      <c r="C371" s="355"/>
      <c r="D371" s="356"/>
      <c r="E371" s="356"/>
      <c r="F371" s="356"/>
      <c r="G371" s="357"/>
      <c r="H371" s="357"/>
      <c r="I371" s="200"/>
      <c r="J371" s="200"/>
      <c r="K371" s="355"/>
      <c r="L371" s="355"/>
      <c r="M371" s="355"/>
      <c r="N371" s="200"/>
      <c r="O371" s="200"/>
      <c r="P371" s="358"/>
      <c r="Q371" s="361"/>
      <c r="R371" s="361"/>
      <c r="S371" s="200"/>
      <c r="T371" s="352"/>
      <c r="U371" s="353"/>
      <c r="V371" s="353"/>
      <c r="W371" s="200"/>
      <c r="X371" s="200"/>
      <c r="Y371" s="200"/>
      <c r="Z371" s="200"/>
      <c r="AA371" s="200"/>
      <c r="AB371" s="200"/>
      <c r="AC371" s="200"/>
      <c r="AD371" s="354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200"/>
      <c r="AQ371" s="200"/>
      <c r="AR371" s="200"/>
      <c r="AS371" s="200"/>
    </row>
    <row r="372" spans="1:45" ht="16.5" customHeight="1">
      <c r="A372" s="307"/>
      <c r="B372" s="307"/>
      <c r="C372" s="355"/>
      <c r="D372" s="356"/>
      <c r="E372" s="356"/>
      <c r="F372" s="356"/>
      <c r="G372" s="357"/>
      <c r="H372" s="357"/>
      <c r="I372" s="200"/>
      <c r="J372" s="200"/>
      <c r="K372" s="355"/>
      <c r="L372" s="355"/>
      <c r="M372" s="355"/>
      <c r="N372" s="200"/>
      <c r="O372" s="200"/>
      <c r="P372" s="358"/>
      <c r="Q372" s="361"/>
      <c r="R372" s="361"/>
      <c r="S372" s="200"/>
      <c r="T372" s="352"/>
      <c r="U372" s="353"/>
      <c r="V372" s="353"/>
      <c r="W372" s="200"/>
      <c r="X372" s="200"/>
      <c r="Y372" s="200"/>
      <c r="Z372" s="200"/>
      <c r="AA372" s="200"/>
      <c r="AB372" s="200"/>
      <c r="AC372" s="200"/>
      <c r="AD372" s="354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200"/>
      <c r="AQ372" s="200"/>
      <c r="AR372" s="200"/>
      <c r="AS372" s="200"/>
    </row>
    <row r="373" spans="1:45" ht="16.5" customHeight="1">
      <c r="A373" s="307"/>
      <c r="B373" s="307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359"/>
      <c r="Q373" s="353"/>
      <c r="R373" s="353"/>
      <c r="S373" s="200"/>
      <c r="T373" s="353"/>
      <c r="U373" s="353"/>
      <c r="V373" s="353"/>
      <c r="W373" s="200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200"/>
      <c r="AQ373" s="200"/>
      <c r="AR373" s="200"/>
      <c r="AS373" s="200"/>
    </row>
    <row r="374" spans="1:45" ht="16.5" customHeight="1">
      <c r="A374" s="307"/>
      <c r="B374" s="307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359"/>
      <c r="Q374" s="353"/>
      <c r="R374" s="353"/>
      <c r="S374" s="200"/>
      <c r="T374" s="353"/>
      <c r="U374" s="353"/>
      <c r="V374" s="353"/>
      <c r="W374" s="200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200"/>
      <c r="AQ374" s="200"/>
      <c r="AR374" s="200"/>
      <c r="AS374" s="200"/>
    </row>
    <row r="375" spans="1:45" ht="16.5" customHeight="1">
      <c r="A375" s="307"/>
      <c r="B375" s="307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359"/>
      <c r="Q375" s="353"/>
      <c r="R375" s="353"/>
      <c r="S375" s="200"/>
      <c r="T375" s="353"/>
      <c r="U375" s="353"/>
      <c r="V375" s="353"/>
      <c r="W375" s="200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200"/>
      <c r="AQ375" s="200"/>
      <c r="AR375" s="200"/>
      <c r="AS375" s="200"/>
    </row>
    <row r="376" spans="1:45" ht="16.5" customHeight="1">
      <c r="A376" s="307"/>
      <c r="B376" s="307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359"/>
      <c r="Q376" s="353"/>
      <c r="R376" s="353"/>
      <c r="S376" s="200"/>
      <c r="T376" s="353"/>
      <c r="U376" s="353"/>
      <c r="V376" s="353"/>
      <c r="W376" s="200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200"/>
      <c r="AQ376" s="200"/>
      <c r="AR376" s="200"/>
      <c r="AS376" s="200"/>
    </row>
    <row r="377" spans="1:45" ht="16.5" customHeight="1">
      <c r="A377" s="307"/>
      <c r="B377" s="307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359"/>
      <c r="Q377" s="353"/>
      <c r="R377" s="353"/>
      <c r="S377" s="200"/>
      <c r="T377" s="353"/>
      <c r="U377" s="353"/>
      <c r="V377" s="353"/>
      <c r="W377" s="200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200"/>
      <c r="AQ377" s="200"/>
      <c r="AR377" s="200"/>
      <c r="AS377" s="200"/>
    </row>
    <row r="378" spans="1:45" ht="16.5" customHeight="1">
      <c r="A378" s="307"/>
      <c r="B378" s="307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359"/>
      <c r="Q378" s="353"/>
      <c r="R378" s="353"/>
      <c r="S378" s="200"/>
      <c r="T378" s="353"/>
      <c r="U378" s="353"/>
      <c r="V378" s="353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200"/>
      <c r="AQ378" s="200"/>
      <c r="AR378" s="200"/>
      <c r="AS378" s="200"/>
    </row>
    <row r="379" spans="1:45" ht="16.5" customHeight="1">
      <c r="A379" s="307"/>
      <c r="B379" s="307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359"/>
      <c r="Q379" s="353"/>
      <c r="R379" s="353"/>
      <c r="S379" s="200"/>
      <c r="T379" s="353"/>
      <c r="U379" s="353"/>
      <c r="V379" s="353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200"/>
      <c r="AQ379" s="200"/>
      <c r="AR379" s="200"/>
      <c r="AS379" s="200"/>
    </row>
    <row r="380" spans="1:45" ht="16.5" customHeight="1">
      <c r="A380" s="307"/>
      <c r="B380" s="307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359"/>
      <c r="Q380" s="353"/>
      <c r="R380" s="353"/>
      <c r="S380" s="200"/>
      <c r="T380" s="353"/>
      <c r="U380" s="353"/>
      <c r="V380" s="353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200"/>
      <c r="AQ380" s="200"/>
      <c r="AR380" s="200"/>
      <c r="AS380" s="200"/>
    </row>
    <row r="381" spans="1:45" ht="16.5" customHeight="1">
      <c r="A381" s="307"/>
      <c r="B381" s="307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359"/>
      <c r="Q381" s="353"/>
      <c r="R381" s="353"/>
      <c r="S381" s="200"/>
      <c r="T381" s="353"/>
      <c r="U381" s="353"/>
      <c r="V381" s="353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</row>
    <row r="382" spans="1:45" ht="16.5" customHeight="1">
      <c r="A382" s="307"/>
      <c r="B382" s="307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359"/>
      <c r="Q382" s="353"/>
      <c r="R382" s="353"/>
      <c r="S382" s="200"/>
      <c r="T382" s="353"/>
      <c r="U382" s="353"/>
      <c r="V382" s="353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</row>
    <row r="383" spans="1:45" ht="16.5" customHeight="1">
      <c r="A383" s="307"/>
      <c r="B383" s="307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359"/>
      <c r="Q383" s="353"/>
      <c r="R383" s="353"/>
      <c r="S383" s="200"/>
      <c r="T383" s="353"/>
      <c r="U383" s="353"/>
      <c r="V383" s="353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200"/>
      <c r="AQ383" s="200"/>
      <c r="AR383" s="200"/>
      <c r="AS383" s="200"/>
    </row>
    <row r="384" spans="1:45" ht="16.5" customHeight="1">
      <c r="A384" s="307"/>
      <c r="B384" s="307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359"/>
      <c r="Q384" s="353"/>
      <c r="R384" s="353"/>
      <c r="S384" s="200"/>
      <c r="T384" s="353"/>
      <c r="U384" s="353"/>
      <c r="V384" s="353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200"/>
      <c r="AQ384" s="200"/>
      <c r="AR384" s="200"/>
      <c r="AS384" s="200"/>
    </row>
    <row r="385" spans="1:45" ht="16.5" customHeight="1">
      <c r="A385" s="307"/>
      <c r="B385" s="307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359"/>
      <c r="Q385" s="353"/>
      <c r="R385" s="353"/>
      <c r="S385" s="200"/>
      <c r="T385" s="353"/>
      <c r="U385" s="353"/>
      <c r="V385" s="353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</row>
    <row r="386" spans="1:45" ht="16.5" customHeight="1">
      <c r="A386" s="307"/>
      <c r="B386" s="307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359"/>
      <c r="Q386" s="353"/>
      <c r="R386" s="353"/>
      <c r="S386" s="200"/>
      <c r="T386" s="353"/>
      <c r="U386" s="353"/>
      <c r="V386" s="353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200"/>
      <c r="AQ386" s="200"/>
      <c r="AR386" s="200"/>
      <c r="AS386" s="200"/>
    </row>
    <row r="387" spans="1:45" ht="16.5" customHeight="1">
      <c r="A387" s="307"/>
      <c r="B387" s="307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359"/>
      <c r="Q387" s="353"/>
      <c r="R387" s="353"/>
      <c r="S387" s="200"/>
      <c r="T387" s="353"/>
      <c r="U387" s="353"/>
      <c r="V387" s="353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200"/>
      <c r="AQ387" s="200"/>
      <c r="AR387" s="200"/>
      <c r="AS387" s="200"/>
    </row>
    <row r="388" spans="1:45" ht="16.5" customHeight="1">
      <c r="A388" s="307"/>
      <c r="B388" s="307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359"/>
      <c r="Q388" s="353"/>
      <c r="R388" s="353"/>
      <c r="S388" s="200"/>
      <c r="T388" s="353"/>
      <c r="U388" s="353"/>
      <c r="V388" s="353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</row>
    <row r="389" spans="1:45" ht="16.5" customHeight="1">
      <c r="A389" s="307"/>
      <c r="B389" s="307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359"/>
      <c r="Q389" s="353"/>
      <c r="R389" s="353"/>
      <c r="S389" s="200"/>
      <c r="T389" s="353"/>
      <c r="U389" s="353"/>
      <c r="V389" s="353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  <c r="AQ389" s="200"/>
      <c r="AR389" s="200"/>
      <c r="AS389" s="200"/>
    </row>
    <row r="390" spans="1:45" ht="16.5" customHeight="1">
      <c r="A390" s="307"/>
      <c r="B390" s="307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359"/>
      <c r="Q390" s="353"/>
      <c r="R390" s="353"/>
      <c r="S390" s="200"/>
      <c r="T390" s="353"/>
      <c r="U390" s="353"/>
      <c r="V390" s="353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200"/>
      <c r="AQ390" s="200"/>
      <c r="AR390" s="200"/>
      <c r="AS390" s="200"/>
    </row>
    <row r="391" spans="1:45" ht="16.5" customHeight="1">
      <c r="A391" s="307"/>
      <c r="B391" s="307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359"/>
      <c r="Q391" s="353"/>
      <c r="R391" s="353"/>
      <c r="S391" s="200"/>
      <c r="T391" s="353"/>
      <c r="U391" s="353"/>
      <c r="V391" s="353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  <c r="AQ391" s="200"/>
      <c r="AR391" s="200"/>
      <c r="AS391" s="200"/>
    </row>
    <row r="392" spans="1:45" ht="16.5" customHeight="1">
      <c r="A392" s="307"/>
      <c r="B392" s="307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359"/>
      <c r="Q392" s="353"/>
      <c r="R392" s="353"/>
      <c r="S392" s="200"/>
      <c r="T392" s="353"/>
      <c r="U392" s="353"/>
      <c r="V392" s="353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200"/>
      <c r="AQ392" s="200"/>
      <c r="AR392" s="200"/>
      <c r="AS392" s="200"/>
    </row>
    <row r="393" spans="1:45" ht="16.5" customHeight="1">
      <c r="A393" s="307"/>
      <c r="B393" s="307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359"/>
      <c r="Q393" s="353"/>
      <c r="R393" s="353"/>
      <c r="S393" s="200"/>
      <c r="T393" s="353"/>
      <c r="U393" s="353"/>
      <c r="V393" s="353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  <c r="AQ393" s="200"/>
      <c r="AR393" s="200"/>
      <c r="AS393" s="200"/>
    </row>
    <row r="394" spans="1:45" ht="16.5" customHeight="1">
      <c r="A394" s="307"/>
      <c r="B394" s="307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359"/>
      <c r="Q394" s="353"/>
      <c r="R394" s="353"/>
      <c r="S394" s="200"/>
      <c r="T394" s="353"/>
      <c r="U394" s="353"/>
      <c r="V394" s="353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200"/>
      <c r="AQ394" s="200"/>
      <c r="AR394" s="200"/>
      <c r="AS394" s="200"/>
    </row>
    <row r="395" spans="1:45" ht="16.5" customHeight="1">
      <c r="A395" s="307"/>
      <c r="B395" s="307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359"/>
      <c r="Q395" s="353"/>
      <c r="R395" s="353"/>
      <c r="S395" s="200"/>
      <c r="T395" s="353"/>
      <c r="U395" s="353"/>
      <c r="V395" s="353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  <c r="AQ395" s="200"/>
      <c r="AR395" s="200"/>
      <c r="AS395" s="200"/>
    </row>
    <row r="396" spans="1:45" ht="16.5" customHeight="1">
      <c r="A396" s="307"/>
      <c r="B396" s="307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359"/>
      <c r="Q396" s="353"/>
      <c r="R396" s="353"/>
      <c r="S396" s="200"/>
      <c r="T396" s="353"/>
      <c r="U396" s="353"/>
      <c r="V396" s="353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  <c r="AQ396" s="200"/>
      <c r="AR396" s="200"/>
      <c r="AS396" s="200"/>
    </row>
    <row r="397" spans="1:45" ht="16.5" customHeight="1">
      <c r="A397" s="307"/>
      <c r="B397" s="307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359"/>
      <c r="Q397" s="353"/>
      <c r="R397" s="353"/>
      <c r="S397" s="200"/>
      <c r="T397" s="353"/>
      <c r="U397" s="353"/>
      <c r="V397" s="353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200"/>
      <c r="AQ397" s="200"/>
      <c r="AR397" s="200"/>
      <c r="AS397" s="200"/>
    </row>
    <row r="398" spans="1:45" ht="16.5" customHeight="1">
      <c r="A398" s="307"/>
      <c r="B398" s="307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359"/>
      <c r="Q398" s="353"/>
      <c r="R398" s="353"/>
      <c r="S398" s="200"/>
      <c r="T398" s="353"/>
      <c r="U398" s="353"/>
      <c r="V398" s="353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200"/>
      <c r="AQ398" s="200"/>
      <c r="AR398" s="200"/>
      <c r="AS398" s="200"/>
    </row>
    <row r="399" spans="1:45" ht="16.5" customHeight="1">
      <c r="A399" s="307"/>
      <c r="B399" s="307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359"/>
      <c r="Q399" s="353"/>
      <c r="R399" s="353"/>
      <c r="S399" s="200"/>
      <c r="T399" s="353"/>
      <c r="U399" s="353"/>
      <c r="V399" s="353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200"/>
      <c r="AQ399" s="200"/>
      <c r="AR399" s="200"/>
      <c r="AS399" s="200"/>
    </row>
    <row r="400" spans="1:45" ht="16.5" customHeight="1">
      <c r="A400" s="307"/>
      <c r="B400" s="307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359"/>
      <c r="Q400" s="353"/>
      <c r="R400" s="353"/>
      <c r="S400" s="200"/>
      <c r="T400" s="353"/>
      <c r="U400" s="353"/>
      <c r="V400" s="353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200"/>
      <c r="AQ400" s="200"/>
      <c r="AR400" s="200"/>
      <c r="AS400" s="200"/>
    </row>
    <row r="401" spans="1:45" ht="16.5" customHeight="1">
      <c r="A401" s="307"/>
      <c r="B401" s="307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359"/>
      <c r="Q401" s="353"/>
      <c r="R401" s="353"/>
      <c r="S401" s="200"/>
      <c r="T401" s="353"/>
      <c r="U401" s="353"/>
      <c r="V401" s="353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200"/>
      <c r="AQ401" s="200"/>
      <c r="AR401" s="200"/>
      <c r="AS401" s="200"/>
    </row>
    <row r="402" spans="1:45" ht="16.5" customHeight="1">
      <c r="A402" s="307"/>
      <c r="B402" s="307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359"/>
      <c r="Q402" s="353"/>
      <c r="R402" s="353"/>
      <c r="S402" s="200"/>
      <c r="T402" s="353"/>
      <c r="U402" s="353"/>
      <c r="V402" s="353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</row>
    <row r="403" spans="1:45" ht="16.5" customHeight="1">
      <c r="A403" s="307"/>
      <c r="B403" s="307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359"/>
      <c r="Q403" s="353"/>
      <c r="R403" s="353"/>
      <c r="S403" s="200"/>
      <c r="T403" s="353"/>
      <c r="U403" s="353"/>
      <c r="V403" s="353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200"/>
      <c r="AQ403" s="200"/>
      <c r="AR403" s="200"/>
      <c r="AS403" s="200"/>
    </row>
    <row r="404" spans="1:45" ht="16.5" customHeight="1">
      <c r="A404" s="307"/>
      <c r="B404" s="307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359"/>
      <c r="Q404" s="353"/>
      <c r="R404" s="353"/>
      <c r="S404" s="200"/>
      <c r="T404" s="353"/>
      <c r="U404" s="353"/>
      <c r="V404" s="353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200"/>
      <c r="AQ404" s="200"/>
      <c r="AR404" s="200"/>
      <c r="AS404" s="200"/>
    </row>
    <row r="405" spans="1:45" ht="16.5" customHeight="1">
      <c r="A405" s="307"/>
      <c r="B405" s="307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359"/>
      <c r="Q405" s="353"/>
      <c r="R405" s="353"/>
      <c r="S405" s="200"/>
      <c r="T405" s="353"/>
      <c r="U405" s="353"/>
      <c r="V405" s="353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200"/>
      <c r="AQ405" s="200"/>
      <c r="AR405" s="200"/>
      <c r="AS405" s="200"/>
    </row>
    <row r="406" spans="1:45" ht="16.5" customHeight="1">
      <c r="A406" s="307"/>
      <c r="B406" s="307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359"/>
      <c r="Q406" s="353"/>
      <c r="R406" s="353"/>
      <c r="S406" s="200"/>
      <c r="T406" s="353"/>
      <c r="U406" s="353"/>
      <c r="V406" s="353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200"/>
      <c r="AQ406" s="200"/>
      <c r="AR406" s="200"/>
      <c r="AS406" s="200"/>
    </row>
    <row r="407" spans="1:45" ht="16.5" customHeight="1">
      <c r="A407" s="307"/>
      <c r="B407" s="307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359"/>
      <c r="Q407" s="353"/>
      <c r="R407" s="353"/>
      <c r="S407" s="200"/>
      <c r="T407" s="353"/>
      <c r="U407" s="353"/>
      <c r="V407" s="353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200"/>
      <c r="AQ407" s="200"/>
      <c r="AR407" s="200"/>
      <c r="AS407" s="200"/>
    </row>
    <row r="408" spans="1:45" ht="16.5" customHeight="1">
      <c r="A408" s="307"/>
      <c r="B408" s="307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359"/>
      <c r="Q408" s="353"/>
      <c r="R408" s="353"/>
      <c r="S408" s="200"/>
      <c r="T408" s="353"/>
      <c r="U408" s="353"/>
      <c r="V408" s="353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</row>
    <row r="409" spans="1:45" ht="16.5" customHeight="1">
      <c r="A409" s="307"/>
      <c r="B409" s="307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359"/>
      <c r="Q409" s="353"/>
      <c r="R409" s="353"/>
      <c r="S409" s="200"/>
      <c r="T409" s="353"/>
      <c r="U409" s="353"/>
      <c r="V409" s="353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</row>
    <row r="410" spans="1:45" ht="16.5" customHeight="1">
      <c r="A410" s="307"/>
      <c r="B410" s="307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359"/>
      <c r="Q410" s="353"/>
      <c r="R410" s="353"/>
      <c r="S410" s="200"/>
      <c r="T410" s="353"/>
      <c r="U410" s="353"/>
      <c r="V410" s="353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  <c r="AQ410" s="200"/>
      <c r="AR410" s="200"/>
      <c r="AS410" s="200"/>
    </row>
    <row r="411" spans="1:45" ht="16.5" customHeight="1">
      <c r="A411" s="307"/>
      <c r="B411" s="307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359"/>
      <c r="Q411" s="353"/>
      <c r="R411" s="353"/>
      <c r="S411" s="200"/>
      <c r="T411" s="353"/>
      <c r="U411" s="353"/>
      <c r="V411" s="353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  <c r="AQ411" s="200"/>
      <c r="AR411" s="200"/>
      <c r="AS411" s="200"/>
    </row>
    <row r="412" spans="1:45" ht="16.5" customHeight="1">
      <c r="A412" s="307"/>
      <c r="B412" s="307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359"/>
      <c r="Q412" s="353"/>
      <c r="R412" s="353"/>
      <c r="S412" s="200"/>
      <c r="T412" s="353"/>
      <c r="U412" s="353"/>
      <c r="V412" s="353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</row>
    <row r="413" spans="1:45" ht="16.5" customHeight="1">
      <c r="A413" s="307"/>
      <c r="B413" s="307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359"/>
      <c r="Q413" s="353"/>
      <c r="R413" s="353"/>
      <c r="S413" s="200"/>
      <c r="T413" s="353"/>
      <c r="U413" s="353"/>
      <c r="V413" s="353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  <c r="AQ413" s="200"/>
      <c r="AR413" s="200"/>
      <c r="AS413" s="200"/>
    </row>
    <row r="414" spans="1:45" ht="16.5" customHeight="1">
      <c r="A414" s="307"/>
      <c r="B414" s="307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359"/>
      <c r="Q414" s="353"/>
      <c r="R414" s="353"/>
      <c r="S414" s="200"/>
      <c r="T414" s="353"/>
      <c r="U414" s="353"/>
      <c r="V414" s="353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  <c r="AQ414" s="200"/>
      <c r="AR414" s="200"/>
      <c r="AS414" s="200"/>
    </row>
    <row r="415" spans="1:45" ht="16.5" customHeight="1">
      <c r="A415" s="307"/>
      <c r="B415" s="307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359"/>
      <c r="Q415" s="353"/>
      <c r="R415" s="353"/>
      <c r="S415" s="200"/>
      <c r="T415" s="353"/>
      <c r="U415" s="353"/>
      <c r="V415" s="353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</row>
    <row r="416" spans="1:45" ht="16.5" customHeight="1">
      <c r="A416" s="307"/>
      <c r="B416" s="307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359"/>
      <c r="Q416" s="353"/>
      <c r="R416" s="353"/>
      <c r="S416" s="200"/>
      <c r="T416" s="353"/>
      <c r="U416" s="353"/>
      <c r="V416" s="353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  <c r="AQ416" s="200"/>
      <c r="AR416" s="200"/>
      <c r="AS416" s="200"/>
    </row>
    <row r="417" spans="1:45" ht="16.5" customHeight="1">
      <c r="A417" s="307"/>
      <c r="B417" s="307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359"/>
      <c r="Q417" s="353"/>
      <c r="R417" s="353"/>
      <c r="S417" s="200"/>
      <c r="T417" s="353"/>
      <c r="U417" s="353"/>
      <c r="V417" s="353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  <c r="AQ417" s="200"/>
      <c r="AR417" s="200"/>
      <c r="AS417" s="200"/>
    </row>
    <row r="418" spans="1:45" ht="16.5" customHeight="1">
      <c r="A418" s="307"/>
      <c r="B418" s="307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359"/>
      <c r="Q418" s="353"/>
      <c r="R418" s="353"/>
      <c r="S418" s="200"/>
      <c r="T418" s="353"/>
      <c r="U418" s="353"/>
      <c r="V418" s="353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  <c r="AQ418" s="200"/>
      <c r="AR418" s="200"/>
      <c r="AS418" s="200"/>
    </row>
    <row r="419" spans="1:45" ht="16.5" customHeight="1">
      <c r="A419" s="307"/>
      <c r="B419" s="307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359"/>
      <c r="Q419" s="353"/>
      <c r="R419" s="353"/>
      <c r="S419" s="200"/>
      <c r="T419" s="353"/>
      <c r="U419" s="353"/>
      <c r="V419" s="353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  <c r="AQ419" s="200"/>
      <c r="AR419" s="200"/>
      <c r="AS419" s="200"/>
    </row>
    <row r="420" spans="1:45" ht="16.5" customHeight="1">
      <c r="A420" s="307"/>
      <c r="B420" s="307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359"/>
      <c r="Q420" s="353"/>
      <c r="R420" s="353"/>
      <c r="S420" s="200"/>
      <c r="T420" s="353"/>
      <c r="U420" s="353"/>
      <c r="V420" s="353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  <c r="AQ420" s="200"/>
      <c r="AR420" s="200"/>
      <c r="AS420" s="200"/>
    </row>
    <row r="421" spans="1:45" ht="16.5" customHeight="1">
      <c r="A421" s="307"/>
      <c r="B421" s="307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359"/>
      <c r="Q421" s="353"/>
      <c r="R421" s="353"/>
      <c r="S421" s="200"/>
      <c r="T421" s="353"/>
      <c r="U421" s="353"/>
      <c r="V421" s="353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  <c r="AQ421" s="200"/>
      <c r="AR421" s="200"/>
      <c r="AS421" s="200"/>
    </row>
    <row r="422" spans="1:45" ht="16.5" customHeight="1">
      <c r="A422" s="307"/>
      <c r="B422" s="307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359"/>
      <c r="Q422" s="353"/>
      <c r="R422" s="353"/>
      <c r="S422" s="200"/>
      <c r="T422" s="353"/>
      <c r="U422" s="353"/>
      <c r="V422" s="353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  <c r="AQ422" s="200"/>
      <c r="AR422" s="200"/>
      <c r="AS422" s="200"/>
    </row>
    <row r="423" spans="1:45" ht="16.5" customHeight="1">
      <c r="A423" s="307"/>
      <c r="B423" s="307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359"/>
      <c r="Q423" s="353"/>
      <c r="R423" s="353"/>
      <c r="S423" s="200"/>
      <c r="T423" s="353"/>
      <c r="U423" s="353"/>
      <c r="V423" s="353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  <c r="AQ423" s="200"/>
      <c r="AR423" s="200"/>
      <c r="AS423" s="200"/>
    </row>
    <row r="424" spans="1:45" ht="16.5" customHeight="1">
      <c r="A424" s="307"/>
      <c r="B424" s="307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359"/>
      <c r="Q424" s="353"/>
      <c r="R424" s="353"/>
      <c r="S424" s="200"/>
      <c r="T424" s="353"/>
      <c r="U424" s="353"/>
      <c r="V424" s="353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</row>
    <row r="425" spans="1:45" ht="16.5" customHeight="1">
      <c r="A425" s="307"/>
      <c r="B425" s="307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359"/>
      <c r="Q425" s="353"/>
      <c r="R425" s="353"/>
      <c r="S425" s="200"/>
      <c r="T425" s="353"/>
      <c r="U425" s="353"/>
      <c r="V425" s="353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  <c r="AQ425" s="200"/>
      <c r="AR425" s="200"/>
      <c r="AS425" s="200"/>
    </row>
    <row r="426" spans="1:45" ht="16.5" customHeight="1">
      <c r="A426" s="307"/>
      <c r="B426" s="307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359"/>
      <c r="Q426" s="353"/>
      <c r="R426" s="353"/>
      <c r="S426" s="200"/>
      <c r="T426" s="353"/>
      <c r="U426" s="353"/>
      <c r="V426" s="353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</row>
    <row r="427" spans="1:45" ht="16.5" customHeight="1">
      <c r="A427" s="307"/>
      <c r="B427" s="307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359"/>
      <c r="Q427" s="353"/>
      <c r="R427" s="353"/>
      <c r="S427" s="200"/>
      <c r="T427" s="353"/>
      <c r="U427" s="353"/>
      <c r="V427" s="353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  <c r="AQ427" s="200"/>
      <c r="AR427" s="200"/>
      <c r="AS427" s="200"/>
    </row>
    <row r="428" spans="1:45" ht="16.5" customHeight="1">
      <c r="A428" s="307"/>
      <c r="B428" s="307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359"/>
      <c r="Q428" s="353"/>
      <c r="R428" s="353"/>
      <c r="S428" s="200"/>
      <c r="T428" s="353"/>
      <c r="U428" s="353"/>
      <c r="V428" s="353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  <c r="AQ428" s="200"/>
      <c r="AR428" s="200"/>
      <c r="AS428" s="200"/>
    </row>
    <row r="429" spans="1:45" ht="16.5" customHeight="1">
      <c r="A429" s="307"/>
      <c r="B429" s="307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359"/>
      <c r="Q429" s="353"/>
      <c r="R429" s="353"/>
      <c r="S429" s="200"/>
      <c r="T429" s="353"/>
      <c r="U429" s="353"/>
      <c r="V429" s="353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  <c r="AQ429" s="200"/>
      <c r="AR429" s="200"/>
      <c r="AS429" s="200"/>
    </row>
    <row r="430" spans="1:45" ht="16.5" customHeight="1">
      <c r="A430" s="307"/>
      <c r="B430" s="307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359"/>
      <c r="Q430" s="353"/>
      <c r="R430" s="353"/>
      <c r="S430" s="200"/>
      <c r="T430" s="353"/>
      <c r="U430" s="353"/>
      <c r="V430" s="353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  <c r="AQ430" s="200"/>
      <c r="AR430" s="200"/>
      <c r="AS430" s="200"/>
    </row>
    <row r="431" spans="1:45" ht="16.5" customHeight="1">
      <c r="A431" s="307"/>
      <c r="B431" s="307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359"/>
      <c r="Q431" s="353"/>
      <c r="R431" s="353"/>
      <c r="S431" s="200"/>
      <c r="T431" s="353"/>
      <c r="U431" s="353"/>
      <c r="V431" s="353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  <c r="AQ431" s="200"/>
      <c r="AR431" s="200"/>
      <c r="AS431" s="200"/>
    </row>
    <row r="432" spans="1:45" ht="16.5" customHeight="1">
      <c r="A432" s="307"/>
      <c r="B432" s="307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359"/>
      <c r="Q432" s="353"/>
      <c r="R432" s="353"/>
      <c r="S432" s="200"/>
      <c r="T432" s="353"/>
      <c r="U432" s="353"/>
      <c r="V432" s="353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  <c r="AQ432" s="200"/>
      <c r="AR432" s="200"/>
      <c r="AS432" s="200"/>
    </row>
    <row r="433" spans="1:45" ht="16.5" customHeight="1">
      <c r="A433" s="307"/>
      <c r="B433" s="307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359"/>
      <c r="Q433" s="353"/>
      <c r="R433" s="353"/>
      <c r="S433" s="200"/>
      <c r="T433" s="353"/>
      <c r="U433" s="353"/>
      <c r="V433" s="353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</row>
    <row r="434" spans="1:45" ht="16.5" customHeight="1">
      <c r="A434" s="307"/>
      <c r="B434" s="307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359"/>
      <c r="Q434" s="353"/>
      <c r="R434" s="353"/>
      <c r="S434" s="200"/>
      <c r="T434" s="353"/>
      <c r="U434" s="353"/>
      <c r="V434" s="353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</row>
    <row r="435" spans="1:45" ht="16.5" customHeight="1">
      <c r="A435" s="307"/>
      <c r="B435" s="307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359"/>
      <c r="Q435" s="353"/>
      <c r="R435" s="353"/>
      <c r="S435" s="200"/>
      <c r="T435" s="353"/>
      <c r="U435" s="353"/>
      <c r="V435" s="353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  <c r="AQ435" s="200"/>
      <c r="AR435" s="200"/>
      <c r="AS435" s="200"/>
    </row>
    <row r="436" spans="1:45" ht="16.5" customHeight="1">
      <c r="A436" s="307"/>
      <c r="B436" s="307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359"/>
      <c r="Q436" s="353"/>
      <c r="R436" s="353"/>
      <c r="S436" s="200"/>
      <c r="T436" s="353"/>
      <c r="U436" s="353"/>
      <c r="V436" s="353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  <c r="AQ436" s="200"/>
      <c r="AR436" s="200"/>
      <c r="AS436" s="200"/>
    </row>
    <row r="437" spans="1:45" ht="16.5" customHeight="1">
      <c r="A437" s="307"/>
      <c r="B437" s="307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359"/>
      <c r="Q437" s="353"/>
      <c r="R437" s="353"/>
      <c r="S437" s="200"/>
      <c r="T437" s="353"/>
      <c r="U437" s="353"/>
      <c r="V437" s="353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  <c r="AQ437" s="200"/>
      <c r="AR437" s="200"/>
      <c r="AS437" s="200"/>
    </row>
    <row r="438" spans="1:45" ht="16.5" customHeight="1">
      <c r="A438" s="307"/>
      <c r="B438" s="307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359"/>
      <c r="Q438" s="353"/>
      <c r="R438" s="353"/>
      <c r="S438" s="200"/>
      <c r="T438" s="353"/>
      <c r="U438" s="353"/>
      <c r="V438" s="353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</row>
    <row r="439" spans="1:45" ht="16.5" customHeight="1">
      <c r="A439" s="307"/>
      <c r="B439" s="307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359"/>
      <c r="Q439" s="353"/>
      <c r="R439" s="353"/>
      <c r="S439" s="200"/>
      <c r="T439" s="353"/>
      <c r="U439" s="353"/>
      <c r="V439" s="353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  <c r="AQ439" s="200"/>
      <c r="AR439" s="200"/>
      <c r="AS439" s="200"/>
    </row>
    <row r="440" spans="1:45" ht="16.5" customHeight="1">
      <c r="A440" s="307"/>
      <c r="B440" s="307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359"/>
      <c r="Q440" s="353"/>
      <c r="R440" s="353"/>
      <c r="S440" s="200"/>
      <c r="T440" s="353"/>
      <c r="U440" s="353"/>
      <c r="V440" s="353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  <c r="AQ440" s="200"/>
      <c r="AR440" s="200"/>
      <c r="AS440" s="200"/>
    </row>
    <row r="441" spans="1:45" ht="16.5" customHeight="1">
      <c r="A441" s="307"/>
      <c r="B441" s="307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359"/>
      <c r="Q441" s="353"/>
      <c r="R441" s="353"/>
      <c r="S441" s="200"/>
      <c r="T441" s="353"/>
      <c r="U441" s="353"/>
      <c r="V441" s="353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</row>
    <row r="442" spans="1:45" ht="16.5" customHeight="1">
      <c r="A442" s="307"/>
      <c r="B442" s="307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359"/>
      <c r="Q442" s="353"/>
      <c r="R442" s="353"/>
      <c r="S442" s="200"/>
      <c r="T442" s="353"/>
      <c r="U442" s="353"/>
      <c r="V442" s="353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  <c r="AQ442" s="200"/>
      <c r="AR442" s="200"/>
      <c r="AS442" s="200"/>
    </row>
    <row r="443" spans="1:45" ht="16.5" customHeight="1">
      <c r="A443" s="307"/>
      <c r="B443" s="307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359"/>
      <c r="Q443" s="353"/>
      <c r="R443" s="353"/>
      <c r="S443" s="200"/>
      <c r="T443" s="353"/>
      <c r="U443" s="353"/>
      <c r="V443" s="353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  <c r="AQ443" s="200"/>
      <c r="AR443" s="200"/>
      <c r="AS443" s="200"/>
    </row>
    <row r="444" spans="1:45" ht="16.5" customHeight="1">
      <c r="A444" s="307"/>
      <c r="B444" s="307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359"/>
      <c r="Q444" s="353"/>
      <c r="R444" s="353"/>
      <c r="S444" s="200"/>
      <c r="T444" s="353"/>
      <c r="U444" s="353"/>
      <c r="V444" s="353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</row>
    <row r="445" spans="1:45" ht="16.5" customHeight="1">
      <c r="A445" s="307"/>
      <c r="B445" s="307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359"/>
      <c r="Q445" s="353"/>
      <c r="R445" s="353"/>
      <c r="S445" s="200"/>
      <c r="T445" s="353"/>
      <c r="U445" s="353"/>
      <c r="V445" s="353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  <c r="AQ445" s="200"/>
      <c r="AR445" s="200"/>
      <c r="AS445" s="200"/>
    </row>
    <row r="446" spans="1:45" ht="16.5" customHeight="1">
      <c r="A446" s="307"/>
      <c r="B446" s="307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359"/>
      <c r="Q446" s="353"/>
      <c r="R446" s="353"/>
      <c r="S446" s="200"/>
      <c r="T446" s="353"/>
      <c r="U446" s="353"/>
      <c r="V446" s="353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</row>
    <row r="447" spans="1:45" ht="16.5" customHeight="1">
      <c r="A447" s="307"/>
      <c r="B447" s="307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359"/>
      <c r="Q447" s="353"/>
      <c r="R447" s="353"/>
      <c r="S447" s="200"/>
      <c r="T447" s="353"/>
      <c r="U447" s="353"/>
      <c r="V447" s="353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</row>
    <row r="448" spans="1:45" ht="16.5" customHeight="1">
      <c r="A448" s="307"/>
      <c r="B448" s="307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359"/>
      <c r="Q448" s="353"/>
      <c r="R448" s="353"/>
      <c r="S448" s="200"/>
      <c r="T448" s="353"/>
      <c r="U448" s="353"/>
      <c r="V448" s="353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  <c r="AQ448" s="200"/>
      <c r="AR448" s="200"/>
      <c r="AS448" s="200"/>
    </row>
    <row r="449" spans="1:45" ht="16.5" customHeight="1">
      <c r="A449" s="307"/>
      <c r="B449" s="307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359"/>
      <c r="Q449" s="353"/>
      <c r="R449" s="353"/>
      <c r="S449" s="200"/>
      <c r="T449" s="353"/>
      <c r="U449" s="353"/>
      <c r="V449" s="353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  <c r="AQ449" s="200"/>
      <c r="AR449" s="200"/>
      <c r="AS449" s="200"/>
    </row>
    <row r="450" spans="1:45" ht="16.5" customHeight="1">
      <c r="A450" s="307"/>
      <c r="B450" s="307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359"/>
      <c r="Q450" s="353"/>
      <c r="R450" s="353"/>
      <c r="S450" s="200"/>
      <c r="T450" s="353"/>
      <c r="U450" s="353"/>
      <c r="V450" s="353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  <c r="AQ450" s="200"/>
      <c r="AR450" s="200"/>
      <c r="AS450" s="200"/>
    </row>
    <row r="451" spans="1:45" ht="16.5" customHeight="1">
      <c r="A451" s="307"/>
      <c r="B451" s="307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359"/>
      <c r="Q451" s="353"/>
      <c r="R451" s="353"/>
      <c r="S451" s="200"/>
      <c r="T451" s="353"/>
      <c r="U451" s="353"/>
      <c r="V451" s="353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  <c r="AQ451" s="200"/>
      <c r="AR451" s="200"/>
      <c r="AS451" s="200"/>
    </row>
    <row r="452" spans="1:45" ht="16.5" customHeight="1">
      <c r="A452" s="307"/>
      <c r="B452" s="307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359"/>
      <c r="Q452" s="353"/>
      <c r="R452" s="353"/>
      <c r="S452" s="200"/>
      <c r="T452" s="353"/>
      <c r="U452" s="353"/>
      <c r="V452" s="353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  <c r="AQ452" s="200"/>
      <c r="AR452" s="200"/>
      <c r="AS452" s="200"/>
    </row>
    <row r="453" spans="1:45" ht="16.5" customHeight="1">
      <c r="A453" s="307"/>
      <c r="B453" s="307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359"/>
      <c r="Q453" s="353"/>
      <c r="R453" s="353"/>
      <c r="S453" s="200"/>
      <c r="T453" s="353"/>
      <c r="U453" s="353"/>
      <c r="V453" s="353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</row>
    <row r="454" spans="1:45" ht="16.5" customHeight="1">
      <c r="A454" s="307"/>
      <c r="B454" s="307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359"/>
      <c r="Q454" s="353"/>
      <c r="R454" s="353"/>
      <c r="S454" s="200"/>
      <c r="T454" s="353"/>
      <c r="U454" s="353"/>
      <c r="V454" s="353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  <c r="AQ454" s="200"/>
      <c r="AR454" s="200"/>
      <c r="AS454" s="200"/>
    </row>
    <row r="455" spans="1:45" ht="16.5" customHeight="1">
      <c r="A455" s="307"/>
      <c r="B455" s="307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359"/>
      <c r="Q455" s="353"/>
      <c r="R455" s="353"/>
      <c r="S455" s="200"/>
      <c r="T455" s="353"/>
      <c r="U455" s="353"/>
      <c r="V455" s="353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  <c r="AQ455" s="200"/>
      <c r="AR455" s="200"/>
      <c r="AS455" s="200"/>
    </row>
    <row r="456" spans="1:45" ht="16.5" customHeight="1">
      <c r="A456" s="307"/>
      <c r="B456" s="307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359"/>
      <c r="Q456" s="353"/>
      <c r="R456" s="353"/>
      <c r="S456" s="200"/>
      <c r="T456" s="353"/>
      <c r="U456" s="353"/>
      <c r="V456" s="353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  <c r="AQ456" s="200"/>
      <c r="AR456" s="200"/>
      <c r="AS456" s="200"/>
    </row>
    <row r="457" spans="1:45" ht="16.5" customHeight="1">
      <c r="A457" s="307"/>
      <c r="B457" s="307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359"/>
      <c r="Q457" s="353"/>
      <c r="R457" s="353"/>
      <c r="S457" s="200"/>
      <c r="T457" s="353"/>
      <c r="U457" s="353"/>
      <c r="V457" s="353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  <c r="AQ457" s="200"/>
      <c r="AR457" s="200"/>
      <c r="AS457" s="200"/>
    </row>
    <row r="458" spans="1:45" ht="16.5" customHeight="1">
      <c r="A458" s="307"/>
      <c r="B458" s="307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359"/>
      <c r="Q458" s="353"/>
      <c r="R458" s="353"/>
      <c r="S458" s="200"/>
      <c r="T458" s="353"/>
      <c r="U458" s="353"/>
      <c r="V458" s="353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  <c r="AQ458" s="200"/>
      <c r="AR458" s="200"/>
      <c r="AS458" s="200"/>
    </row>
    <row r="459" spans="1:45" ht="16.5" customHeight="1">
      <c r="A459" s="307"/>
      <c r="B459" s="307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359"/>
      <c r="Q459" s="353"/>
      <c r="R459" s="353"/>
      <c r="S459" s="200"/>
      <c r="T459" s="353"/>
      <c r="U459" s="353"/>
      <c r="V459" s="353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  <c r="AQ459" s="200"/>
      <c r="AR459" s="200"/>
      <c r="AS459" s="200"/>
    </row>
    <row r="460" spans="1:45" ht="16.5" customHeight="1">
      <c r="A460" s="307"/>
      <c r="B460" s="307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359"/>
      <c r="Q460" s="353"/>
      <c r="R460" s="353"/>
      <c r="S460" s="200"/>
      <c r="T460" s="353"/>
      <c r="U460" s="353"/>
      <c r="V460" s="353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</row>
    <row r="461" spans="1:45" ht="16.5" customHeight="1">
      <c r="A461" s="307"/>
      <c r="B461" s="307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359"/>
      <c r="Q461" s="353"/>
      <c r="R461" s="353"/>
      <c r="S461" s="200"/>
      <c r="T461" s="353"/>
      <c r="U461" s="353"/>
      <c r="V461" s="353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  <c r="AQ461" s="200"/>
      <c r="AR461" s="200"/>
      <c r="AS461" s="200"/>
    </row>
    <row r="462" spans="1:45" ht="16.5" customHeight="1">
      <c r="A462" s="307"/>
      <c r="B462" s="307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359"/>
      <c r="Q462" s="353"/>
      <c r="R462" s="353"/>
      <c r="S462" s="200"/>
      <c r="T462" s="353"/>
      <c r="U462" s="353"/>
      <c r="V462" s="353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</row>
    <row r="463" spans="1:45" ht="16.5" customHeight="1">
      <c r="A463" s="307"/>
      <c r="B463" s="307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359"/>
      <c r="Q463" s="353"/>
      <c r="R463" s="353"/>
      <c r="S463" s="200"/>
      <c r="T463" s="353"/>
      <c r="U463" s="353"/>
      <c r="V463" s="353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  <c r="AQ463" s="200"/>
      <c r="AR463" s="200"/>
      <c r="AS463" s="200"/>
    </row>
    <row r="464" spans="1:45" ht="16.5" customHeight="1">
      <c r="A464" s="307"/>
      <c r="B464" s="307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359"/>
      <c r="Q464" s="353"/>
      <c r="R464" s="353"/>
      <c r="S464" s="200"/>
      <c r="T464" s="353"/>
      <c r="U464" s="353"/>
      <c r="V464" s="353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  <c r="AQ464" s="200"/>
      <c r="AR464" s="200"/>
      <c r="AS464" s="200"/>
    </row>
    <row r="465" spans="1:45" ht="16.5" customHeight="1">
      <c r="A465" s="307"/>
      <c r="B465" s="307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359"/>
      <c r="Q465" s="353"/>
      <c r="R465" s="353"/>
      <c r="S465" s="200"/>
      <c r="T465" s="353"/>
      <c r="U465" s="353"/>
      <c r="V465" s="353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  <c r="AQ465" s="200"/>
      <c r="AR465" s="200"/>
      <c r="AS465" s="200"/>
    </row>
    <row r="466" spans="1:45" ht="16.5" customHeight="1">
      <c r="A466" s="307"/>
      <c r="B466" s="307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359"/>
      <c r="Q466" s="353"/>
      <c r="R466" s="353"/>
      <c r="S466" s="200"/>
      <c r="T466" s="353"/>
      <c r="U466" s="353"/>
      <c r="V466" s="353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</row>
    <row r="467" spans="1:45" ht="16.5" customHeight="1">
      <c r="A467" s="307"/>
      <c r="B467" s="307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359"/>
      <c r="Q467" s="353"/>
      <c r="R467" s="353"/>
      <c r="S467" s="200"/>
      <c r="T467" s="353"/>
      <c r="U467" s="353"/>
      <c r="V467" s="353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  <c r="AQ467" s="200"/>
      <c r="AR467" s="200"/>
      <c r="AS467" s="200"/>
    </row>
    <row r="468" spans="1:45" ht="16.5" customHeight="1">
      <c r="A468" s="307"/>
      <c r="B468" s="307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359"/>
      <c r="Q468" s="353"/>
      <c r="R468" s="353"/>
      <c r="S468" s="200"/>
      <c r="T468" s="353"/>
      <c r="U468" s="353"/>
      <c r="V468" s="353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  <c r="AQ468" s="200"/>
      <c r="AR468" s="200"/>
      <c r="AS468" s="200"/>
    </row>
    <row r="469" spans="1:45" ht="16.5" customHeight="1">
      <c r="A469" s="307"/>
      <c r="B469" s="307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359"/>
      <c r="Q469" s="353"/>
      <c r="R469" s="353"/>
      <c r="S469" s="200"/>
      <c r="T469" s="353"/>
      <c r="U469" s="353"/>
      <c r="V469" s="353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</row>
    <row r="470" spans="1:45" ht="16.5" customHeight="1">
      <c r="A470" s="307"/>
      <c r="B470" s="307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359"/>
      <c r="Q470" s="353"/>
      <c r="R470" s="353"/>
      <c r="S470" s="200"/>
      <c r="T470" s="353"/>
      <c r="U470" s="353"/>
      <c r="V470" s="353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  <c r="AQ470" s="200"/>
      <c r="AR470" s="200"/>
      <c r="AS470" s="200"/>
    </row>
    <row r="471" spans="1:45" ht="16.5" customHeight="1">
      <c r="A471" s="307"/>
      <c r="B471" s="307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359"/>
      <c r="Q471" s="353"/>
      <c r="R471" s="353"/>
      <c r="S471" s="200"/>
      <c r="T471" s="353"/>
      <c r="U471" s="353"/>
      <c r="V471" s="353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  <c r="AQ471" s="200"/>
      <c r="AR471" s="200"/>
      <c r="AS471" s="200"/>
    </row>
    <row r="472" spans="1:45" ht="16.5" customHeight="1">
      <c r="A472" s="307"/>
      <c r="B472" s="307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359"/>
      <c r="Q472" s="353"/>
      <c r="R472" s="353"/>
      <c r="S472" s="200"/>
      <c r="T472" s="353"/>
      <c r="U472" s="353"/>
      <c r="V472" s="353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</row>
    <row r="473" spans="1:45" ht="16.5" customHeight="1">
      <c r="A473" s="307"/>
      <c r="B473" s="307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359"/>
      <c r="Q473" s="353"/>
      <c r="R473" s="353"/>
      <c r="S473" s="200"/>
      <c r="T473" s="353"/>
      <c r="U473" s="353"/>
      <c r="V473" s="353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</row>
    <row r="474" spans="1:45" ht="16.5" customHeight="1">
      <c r="A474" s="307"/>
      <c r="B474" s="307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359"/>
      <c r="Q474" s="353"/>
      <c r="R474" s="353"/>
      <c r="S474" s="200"/>
      <c r="T474" s="353"/>
      <c r="U474" s="353"/>
      <c r="V474" s="353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  <c r="AQ474" s="200"/>
      <c r="AR474" s="200"/>
      <c r="AS474" s="200"/>
    </row>
    <row r="475" spans="1:45" ht="16.5" customHeight="1">
      <c r="A475" s="307"/>
      <c r="B475" s="307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359"/>
      <c r="Q475" s="353"/>
      <c r="R475" s="353"/>
      <c r="S475" s="200"/>
      <c r="T475" s="353"/>
      <c r="U475" s="353"/>
      <c r="V475" s="353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</row>
    <row r="476" spans="1:45" ht="16.5" customHeight="1">
      <c r="A476" s="307"/>
      <c r="B476" s="307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359"/>
      <c r="Q476" s="353"/>
      <c r="R476" s="353"/>
      <c r="S476" s="200"/>
      <c r="T476" s="353"/>
      <c r="U476" s="353"/>
      <c r="V476" s="353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  <c r="AQ476" s="200"/>
      <c r="AR476" s="200"/>
      <c r="AS476" s="200"/>
    </row>
    <row r="477" spans="1:45" ht="16.5" customHeight="1">
      <c r="A477" s="307"/>
      <c r="B477" s="307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359"/>
      <c r="Q477" s="353"/>
      <c r="R477" s="353"/>
      <c r="S477" s="200"/>
      <c r="T477" s="353"/>
      <c r="U477" s="353"/>
      <c r="V477" s="353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</row>
    <row r="478" spans="1:45" ht="16.5" customHeight="1">
      <c r="A478" s="307"/>
      <c r="B478" s="307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359"/>
      <c r="Q478" s="353"/>
      <c r="R478" s="353"/>
      <c r="S478" s="200"/>
      <c r="T478" s="353"/>
      <c r="U478" s="353"/>
      <c r="V478" s="353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</row>
    <row r="479" spans="1:45" ht="16.5" customHeight="1">
      <c r="A479" s="307"/>
      <c r="B479" s="307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359"/>
      <c r="Q479" s="353"/>
      <c r="R479" s="353"/>
      <c r="S479" s="200"/>
      <c r="T479" s="353"/>
      <c r="U479" s="353"/>
      <c r="V479" s="353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  <c r="AQ479" s="200"/>
      <c r="AR479" s="200"/>
      <c r="AS479" s="200"/>
    </row>
    <row r="480" spans="1:45" ht="16.5" customHeight="1">
      <c r="A480" s="307"/>
      <c r="B480" s="307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359"/>
      <c r="Q480" s="353"/>
      <c r="R480" s="353"/>
      <c r="S480" s="200"/>
      <c r="T480" s="353"/>
      <c r="U480" s="353"/>
      <c r="V480" s="353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  <c r="AQ480" s="200"/>
      <c r="AR480" s="200"/>
      <c r="AS480" s="200"/>
    </row>
    <row r="481" spans="1:45" ht="16.5" customHeight="1">
      <c r="A481" s="307"/>
      <c r="B481" s="307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359"/>
      <c r="Q481" s="353"/>
      <c r="R481" s="353"/>
      <c r="S481" s="200"/>
      <c r="T481" s="353"/>
      <c r="U481" s="353"/>
      <c r="V481" s="353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  <c r="AQ481" s="200"/>
      <c r="AR481" s="200"/>
      <c r="AS481" s="200"/>
    </row>
    <row r="482" spans="1:45" ht="16.5" customHeight="1">
      <c r="A482" s="307"/>
      <c r="B482" s="307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359"/>
      <c r="Q482" s="353"/>
      <c r="R482" s="353"/>
      <c r="S482" s="200"/>
      <c r="T482" s="353"/>
      <c r="U482" s="353"/>
      <c r="V482" s="353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  <c r="AQ482" s="200"/>
      <c r="AR482" s="200"/>
      <c r="AS482" s="200"/>
    </row>
    <row r="483" spans="1:45" ht="16.5" customHeight="1">
      <c r="A483" s="307"/>
      <c r="B483" s="307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359"/>
      <c r="Q483" s="353"/>
      <c r="R483" s="353"/>
      <c r="S483" s="200"/>
      <c r="T483" s="353"/>
      <c r="U483" s="353"/>
      <c r="V483" s="353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  <c r="AQ483" s="200"/>
      <c r="AR483" s="200"/>
      <c r="AS483" s="200"/>
    </row>
    <row r="484" spans="1:45" ht="16.5" customHeight="1">
      <c r="A484" s="307"/>
      <c r="B484" s="307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359"/>
      <c r="Q484" s="353"/>
      <c r="R484" s="353"/>
      <c r="S484" s="200"/>
      <c r="T484" s="353"/>
      <c r="U484" s="353"/>
      <c r="V484" s="353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</row>
    <row r="485" spans="1:45" ht="16.5" customHeight="1">
      <c r="A485" s="307"/>
      <c r="B485" s="307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359"/>
      <c r="Q485" s="353"/>
      <c r="R485" s="353"/>
      <c r="S485" s="200"/>
      <c r="T485" s="353"/>
      <c r="U485" s="353"/>
      <c r="V485" s="353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  <c r="AQ485" s="200"/>
      <c r="AR485" s="200"/>
      <c r="AS485" s="200"/>
    </row>
    <row r="486" spans="1:45" ht="16.5" customHeight="1">
      <c r="A486" s="307"/>
      <c r="B486" s="307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359"/>
      <c r="Q486" s="353"/>
      <c r="R486" s="353"/>
      <c r="S486" s="200"/>
      <c r="T486" s="353"/>
      <c r="U486" s="353"/>
      <c r="V486" s="353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  <c r="AQ486" s="200"/>
      <c r="AR486" s="200"/>
      <c r="AS486" s="200"/>
    </row>
    <row r="487" spans="1:45" ht="16.5" customHeight="1">
      <c r="A487" s="307"/>
      <c r="B487" s="307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359"/>
      <c r="Q487" s="353"/>
      <c r="R487" s="353"/>
      <c r="S487" s="200"/>
      <c r="T487" s="353"/>
      <c r="U487" s="353"/>
      <c r="V487" s="353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  <c r="AQ487" s="200"/>
      <c r="AR487" s="200"/>
      <c r="AS487" s="200"/>
    </row>
    <row r="488" spans="1:45" ht="16.5" customHeight="1">
      <c r="A488" s="307"/>
      <c r="B488" s="307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359"/>
      <c r="Q488" s="353"/>
      <c r="R488" s="353"/>
      <c r="S488" s="200"/>
      <c r="T488" s="353"/>
      <c r="U488" s="353"/>
      <c r="V488" s="353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  <c r="AQ488" s="200"/>
      <c r="AR488" s="200"/>
      <c r="AS488" s="200"/>
    </row>
    <row r="489" spans="1:45" ht="16.5" customHeight="1">
      <c r="A489" s="307"/>
      <c r="B489" s="307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359"/>
      <c r="Q489" s="353"/>
      <c r="R489" s="353"/>
      <c r="S489" s="200"/>
      <c r="T489" s="353"/>
      <c r="U489" s="353"/>
      <c r="V489" s="353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  <c r="AQ489" s="200"/>
      <c r="AR489" s="200"/>
      <c r="AS489" s="200"/>
    </row>
    <row r="490" spans="1:45" ht="16.5" customHeight="1">
      <c r="A490" s="307"/>
      <c r="B490" s="307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359"/>
      <c r="Q490" s="353"/>
      <c r="R490" s="353"/>
      <c r="S490" s="200"/>
      <c r="T490" s="353"/>
      <c r="U490" s="353"/>
      <c r="V490" s="353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</row>
    <row r="491" spans="1:45" ht="16.5" customHeight="1">
      <c r="A491" s="307"/>
      <c r="B491" s="307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359"/>
      <c r="Q491" s="353"/>
      <c r="R491" s="353"/>
      <c r="S491" s="200"/>
      <c r="T491" s="353"/>
      <c r="U491" s="353"/>
      <c r="V491" s="353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  <c r="AQ491" s="200"/>
      <c r="AR491" s="200"/>
      <c r="AS491" s="200"/>
    </row>
    <row r="492" spans="1:45" ht="16.5" customHeight="1">
      <c r="A492" s="307"/>
      <c r="B492" s="307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359"/>
      <c r="Q492" s="353"/>
      <c r="R492" s="353"/>
      <c r="S492" s="200"/>
      <c r="T492" s="353"/>
      <c r="U492" s="353"/>
      <c r="V492" s="353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  <c r="AQ492" s="200"/>
      <c r="AR492" s="200"/>
      <c r="AS492" s="200"/>
    </row>
    <row r="493" spans="1:45" ht="16.5" customHeight="1">
      <c r="A493" s="307"/>
      <c r="B493" s="307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359"/>
      <c r="Q493" s="353"/>
      <c r="R493" s="353"/>
      <c r="S493" s="200"/>
      <c r="T493" s="353"/>
      <c r="U493" s="353"/>
      <c r="V493" s="353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  <c r="AQ493" s="200"/>
      <c r="AR493" s="200"/>
      <c r="AS493" s="200"/>
    </row>
    <row r="494" spans="1:45" ht="16.5" customHeight="1">
      <c r="A494" s="307"/>
      <c r="B494" s="307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359"/>
      <c r="Q494" s="353"/>
      <c r="R494" s="353"/>
      <c r="S494" s="200"/>
      <c r="T494" s="353"/>
      <c r="U494" s="353"/>
      <c r="V494" s="353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</row>
    <row r="495" spans="1:45" ht="16.5" customHeight="1">
      <c r="A495" s="307"/>
      <c r="B495" s="307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359"/>
      <c r="Q495" s="353"/>
      <c r="R495" s="353"/>
      <c r="S495" s="200"/>
      <c r="T495" s="353"/>
      <c r="U495" s="353"/>
      <c r="V495" s="353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  <c r="AQ495" s="200"/>
      <c r="AR495" s="200"/>
      <c r="AS495" s="200"/>
    </row>
    <row r="496" spans="1:45" ht="16.5" customHeight="1">
      <c r="A496" s="307"/>
      <c r="B496" s="307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359"/>
      <c r="Q496" s="353"/>
      <c r="R496" s="353"/>
      <c r="S496" s="200"/>
      <c r="T496" s="353"/>
      <c r="U496" s="353"/>
      <c r="V496" s="353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  <c r="AQ496" s="200"/>
      <c r="AR496" s="200"/>
      <c r="AS496" s="200"/>
    </row>
    <row r="497" spans="1:45" ht="16.5" customHeight="1">
      <c r="A497" s="307"/>
      <c r="B497" s="307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359"/>
      <c r="Q497" s="353"/>
      <c r="R497" s="353"/>
      <c r="S497" s="200"/>
      <c r="T497" s="353"/>
      <c r="U497" s="353"/>
      <c r="V497" s="353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</row>
    <row r="498" spans="1:45" ht="16.5" customHeight="1">
      <c r="A498" s="307"/>
      <c r="B498" s="307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359"/>
      <c r="Q498" s="353"/>
      <c r="R498" s="353"/>
      <c r="S498" s="200"/>
      <c r="T498" s="353"/>
      <c r="U498" s="353"/>
      <c r="V498" s="353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  <c r="AQ498" s="200"/>
      <c r="AR498" s="200"/>
      <c r="AS498" s="200"/>
    </row>
    <row r="499" spans="1:45" ht="16.5" customHeight="1">
      <c r="A499" s="307"/>
      <c r="B499" s="307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359"/>
      <c r="Q499" s="353"/>
      <c r="R499" s="353"/>
      <c r="S499" s="200"/>
      <c r="T499" s="353"/>
      <c r="U499" s="353"/>
      <c r="V499" s="353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  <c r="AQ499" s="200"/>
      <c r="AR499" s="200"/>
      <c r="AS499" s="200"/>
    </row>
    <row r="500" spans="1:45" ht="16.5" customHeight="1">
      <c r="A500" s="307"/>
      <c r="B500" s="307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359"/>
      <c r="Q500" s="353"/>
      <c r="R500" s="353"/>
      <c r="S500" s="200"/>
      <c r="T500" s="353"/>
      <c r="U500" s="353"/>
      <c r="V500" s="353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  <c r="AQ500" s="200"/>
      <c r="AR500" s="200"/>
      <c r="AS500" s="200"/>
    </row>
    <row r="501" spans="1:45" ht="16.5" customHeight="1">
      <c r="A501" s="307"/>
      <c r="B501" s="307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359"/>
      <c r="Q501" s="353"/>
      <c r="R501" s="353"/>
      <c r="S501" s="200"/>
      <c r="T501" s="353"/>
      <c r="U501" s="353"/>
      <c r="V501" s="353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  <c r="AQ501" s="200"/>
      <c r="AR501" s="200"/>
      <c r="AS501" s="200"/>
    </row>
    <row r="502" spans="1:45" ht="16.5" customHeight="1">
      <c r="A502" s="307"/>
      <c r="B502" s="307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359"/>
      <c r="Q502" s="353"/>
      <c r="R502" s="353"/>
      <c r="S502" s="200"/>
      <c r="T502" s="353"/>
      <c r="U502" s="353"/>
      <c r="V502" s="353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  <c r="AQ502" s="200"/>
      <c r="AR502" s="200"/>
      <c r="AS502" s="200"/>
    </row>
    <row r="503" spans="1:45" ht="16.5" customHeight="1">
      <c r="A503" s="307"/>
      <c r="B503" s="307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359"/>
      <c r="Q503" s="353"/>
      <c r="R503" s="353"/>
      <c r="S503" s="200"/>
      <c r="T503" s="353"/>
      <c r="U503" s="353"/>
      <c r="V503" s="353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</row>
    <row r="504" spans="1:45" ht="16.5" customHeight="1">
      <c r="A504" s="307"/>
      <c r="B504" s="307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359"/>
      <c r="Q504" s="353"/>
      <c r="R504" s="353"/>
      <c r="S504" s="200"/>
      <c r="T504" s="353"/>
      <c r="U504" s="353"/>
      <c r="V504" s="353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</row>
    <row r="505" spans="1:45" ht="16.5" customHeight="1">
      <c r="A505" s="307"/>
      <c r="B505" s="307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359"/>
      <c r="Q505" s="353"/>
      <c r="R505" s="353"/>
      <c r="S505" s="200"/>
      <c r="T505" s="353"/>
      <c r="U505" s="353"/>
      <c r="V505" s="353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  <c r="AQ505" s="200"/>
      <c r="AR505" s="200"/>
      <c r="AS505" s="200"/>
    </row>
    <row r="506" spans="1:45" ht="16.5" customHeight="1">
      <c r="A506" s="307"/>
      <c r="B506" s="307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359"/>
      <c r="Q506" s="353"/>
      <c r="R506" s="353"/>
      <c r="S506" s="200"/>
      <c r="T506" s="353"/>
      <c r="U506" s="353"/>
      <c r="V506" s="353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  <c r="AQ506" s="200"/>
      <c r="AR506" s="200"/>
      <c r="AS506" s="200"/>
    </row>
    <row r="507" spans="1:45" ht="16.5" customHeight="1">
      <c r="A507" s="307"/>
      <c r="B507" s="307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359"/>
      <c r="Q507" s="353"/>
      <c r="R507" s="353"/>
      <c r="S507" s="200"/>
      <c r="T507" s="353"/>
      <c r="U507" s="353"/>
      <c r="V507" s="353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  <c r="AQ507" s="200"/>
      <c r="AR507" s="200"/>
      <c r="AS507" s="200"/>
    </row>
    <row r="508" spans="1:45" ht="16.5" customHeight="1">
      <c r="A508" s="307"/>
      <c r="B508" s="307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359"/>
      <c r="Q508" s="353"/>
      <c r="R508" s="353"/>
      <c r="S508" s="200"/>
      <c r="T508" s="353"/>
      <c r="U508" s="353"/>
      <c r="V508" s="353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  <c r="AQ508" s="200"/>
      <c r="AR508" s="200"/>
      <c r="AS508" s="200"/>
    </row>
    <row r="509" spans="1:45" ht="16.5" customHeight="1">
      <c r="A509" s="307"/>
      <c r="B509" s="307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359"/>
      <c r="Q509" s="353"/>
      <c r="R509" s="353"/>
      <c r="S509" s="200"/>
      <c r="T509" s="353"/>
      <c r="U509" s="353"/>
      <c r="V509" s="353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  <c r="AQ509" s="200"/>
      <c r="AR509" s="200"/>
      <c r="AS509" s="200"/>
    </row>
    <row r="510" spans="1:45" ht="16.5" customHeight="1">
      <c r="A510" s="307"/>
      <c r="B510" s="307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359"/>
      <c r="Q510" s="353"/>
      <c r="R510" s="353"/>
      <c r="S510" s="200"/>
      <c r="T510" s="353"/>
      <c r="U510" s="353"/>
      <c r="V510" s="353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</row>
    <row r="511" spans="1:45" ht="16.5" customHeight="1">
      <c r="A511" s="307"/>
      <c r="B511" s="307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359"/>
      <c r="Q511" s="353"/>
      <c r="R511" s="353"/>
      <c r="S511" s="200"/>
      <c r="T511" s="353"/>
      <c r="U511" s="353"/>
      <c r="V511" s="353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  <c r="AQ511" s="200"/>
      <c r="AR511" s="200"/>
      <c r="AS511" s="200"/>
    </row>
    <row r="512" spans="1:45" ht="16.5" customHeight="1">
      <c r="A512" s="307"/>
      <c r="B512" s="307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359"/>
      <c r="Q512" s="353"/>
      <c r="R512" s="353"/>
      <c r="S512" s="200"/>
      <c r="T512" s="353"/>
      <c r="U512" s="353"/>
      <c r="V512" s="353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  <c r="AQ512" s="200"/>
      <c r="AR512" s="200"/>
      <c r="AS512" s="200"/>
    </row>
    <row r="513" spans="1:45" ht="16.5" customHeight="1">
      <c r="A513" s="307"/>
      <c r="B513" s="307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359"/>
      <c r="Q513" s="353"/>
      <c r="R513" s="353"/>
      <c r="S513" s="200"/>
      <c r="T513" s="353"/>
      <c r="U513" s="353"/>
      <c r="V513" s="353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  <c r="AQ513" s="200"/>
      <c r="AR513" s="200"/>
      <c r="AS513" s="200"/>
    </row>
    <row r="514" spans="1:45" ht="16.5" customHeight="1">
      <c r="A514" s="307"/>
      <c r="B514" s="307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359"/>
      <c r="Q514" s="353"/>
      <c r="R514" s="353"/>
      <c r="S514" s="200"/>
      <c r="T514" s="353"/>
      <c r="U514" s="353"/>
      <c r="V514" s="353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  <c r="AQ514" s="200"/>
      <c r="AR514" s="200"/>
      <c r="AS514" s="200"/>
    </row>
    <row r="515" spans="1:45" ht="16.5" customHeight="1">
      <c r="A515" s="307"/>
      <c r="B515" s="307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359"/>
      <c r="Q515" s="353"/>
      <c r="R515" s="353"/>
      <c r="S515" s="200"/>
      <c r="T515" s="353"/>
      <c r="U515" s="353"/>
      <c r="V515" s="353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  <c r="AQ515" s="200"/>
      <c r="AR515" s="200"/>
      <c r="AS515" s="200"/>
    </row>
    <row r="516" spans="1:45" ht="16.5" customHeight="1">
      <c r="A516" s="307"/>
      <c r="B516" s="307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359"/>
      <c r="Q516" s="353"/>
      <c r="R516" s="353"/>
      <c r="S516" s="200"/>
      <c r="T516" s="353"/>
      <c r="U516" s="353"/>
      <c r="V516" s="353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  <c r="AQ516" s="200"/>
      <c r="AR516" s="200"/>
      <c r="AS516" s="200"/>
    </row>
    <row r="517" spans="1:45" ht="16.5" customHeight="1">
      <c r="A517" s="307"/>
      <c r="B517" s="307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359"/>
      <c r="Q517" s="353"/>
      <c r="R517" s="353"/>
      <c r="S517" s="200"/>
      <c r="T517" s="353"/>
      <c r="U517" s="353"/>
      <c r="V517" s="353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  <c r="AQ517" s="200"/>
      <c r="AR517" s="200"/>
      <c r="AS517" s="200"/>
    </row>
    <row r="518" spans="1:45" ht="16.5" customHeight="1">
      <c r="A518" s="307"/>
      <c r="B518" s="307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359"/>
      <c r="Q518" s="353"/>
      <c r="R518" s="353"/>
      <c r="S518" s="200"/>
      <c r="T518" s="353"/>
      <c r="U518" s="353"/>
      <c r="V518" s="353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</row>
    <row r="519" spans="1:45" ht="16.5" customHeight="1">
      <c r="A519" s="307"/>
      <c r="B519" s="307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359"/>
      <c r="Q519" s="353"/>
      <c r="R519" s="353"/>
      <c r="S519" s="200"/>
      <c r="T519" s="353"/>
      <c r="U519" s="353"/>
      <c r="V519" s="353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</row>
    <row r="520" spans="1:45" ht="16.5" customHeight="1">
      <c r="A520" s="307"/>
      <c r="B520" s="307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359"/>
      <c r="Q520" s="353"/>
      <c r="R520" s="353"/>
      <c r="S520" s="200"/>
      <c r="T520" s="353"/>
      <c r="U520" s="353"/>
      <c r="V520" s="353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  <c r="AQ520" s="200"/>
      <c r="AR520" s="200"/>
      <c r="AS520" s="200"/>
    </row>
    <row r="521" spans="1:45" ht="16.5" customHeight="1">
      <c r="A521" s="307"/>
      <c r="B521" s="307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359"/>
      <c r="Q521" s="353"/>
      <c r="R521" s="353"/>
      <c r="S521" s="200"/>
      <c r="T521" s="353"/>
      <c r="U521" s="353"/>
      <c r="V521" s="353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  <c r="AQ521" s="200"/>
      <c r="AR521" s="200"/>
      <c r="AS521" s="200"/>
    </row>
    <row r="522" spans="1:45" ht="16.5" customHeight="1">
      <c r="A522" s="307"/>
      <c r="B522" s="307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359"/>
      <c r="Q522" s="353"/>
      <c r="R522" s="353"/>
      <c r="S522" s="200"/>
      <c r="T522" s="353"/>
      <c r="U522" s="353"/>
      <c r="V522" s="353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</row>
    <row r="523" spans="1:45" ht="16.5" customHeight="1">
      <c r="A523" s="307"/>
      <c r="B523" s="307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359"/>
      <c r="Q523" s="353"/>
      <c r="R523" s="353"/>
      <c r="S523" s="200"/>
      <c r="T523" s="353"/>
      <c r="U523" s="353"/>
      <c r="V523" s="353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  <c r="AQ523" s="200"/>
      <c r="AR523" s="200"/>
      <c r="AS523" s="200"/>
    </row>
    <row r="524" spans="1:45" ht="16.5" customHeight="1">
      <c r="A524" s="307"/>
      <c r="B524" s="307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359"/>
      <c r="Q524" s="353"/>
      <c r="R524" s="353"/>
      <c r="S524" s="200"/>
      <c r="T524" s="353"/>
      <c r="U524" s="353"/>
      <c r="V524" s="353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  <c r="AQ524" s="200"/>
      <c r="AR524" s="200"/>
      <c r="AS524" s="200"/>
    </row>
    <row r="525" spans="1:45" ht="16.5" customHeight="1">
      <c r="A525" s="307"/>
      <c r="B525" s="307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359"/>
      <c r="Q525" s="353"/>
      <c r="R525" s="353"/>
      <c r="S525" s="200"/>
      <c r="T525" s="353"/>
      <c r="U525" s="353"/>
      <c r="V525" s="353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</row>
    <row r="526" spans="1:45" ht="16.5" customHeight="1">
      <c r="A526" s="307"/>
      <c r="B526" s="307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359"/>
      <c r="Q526" s="353"/>
      <c r="R526" s="353"/>
      <c r="S526" s="200"/>
      <c r="T526" s="353"/>
      <c r="U526" s="353"/>
      <c r="V526" s="353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  <c r="AQ526" s="200"/>
      <c r="AR526" s="200"/>
      <c r="AS526" s="200"/>
    </row>
    <row r="527" spans="1:45" ht="16.5" customHeight="1">
      <c r="A527" s="307"/>
      <c r="B527" s="307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359"/>
      <c r="Q527" s="353"/>
      <c r="R527" s="353"/>
      <c r="S527" s="200"/>
      <c r="T527" s="353"/>
      <c r="U527" s="353"/>
      <c r="V527" s="353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  <c r="AQ527" s="200"/>
      <c r="AR527" s="200"/>
      <c r="AS527" s="200"/>
    </row>
    <row r="528" spans="1:45" ht="16.5" customHeight="1">
      <c r="A528" s="307"/>
      <c r="B528" s="307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359"/>
      <c r="Q528" s="353"/>
      <c r="R528" s="353"/>
      <c r="S528" s="200"/>
      <c r="T528" s="353"/>
      <c r="U528" s="353"/>
      <c r="V528" s="353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  <c r="AQ528" s="200"/>
      <c r="AR528" s="200"/>
      <c r="AS528" s="200"/>
    </row>
    <row r="529" spans="1:45" ht="16.5" customHeight="1">
      <c r="A529" s="307"/>
      <c r="B529" s="307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359"/>
      <c r="Q529" s="353"/>
      <c r="R529" s="353"/>
      <c r="S529" s="200"/>
      <c r="T529" s="353"/>
      <c r="U529" s="353"/>
      <c r="V529" s="353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  <c r="AQ529" s="200"/>
      <c r="AR529" s="200"/>
      <c r="AS529" s="200"/>
    </row>
    <row r="530" spans="1:45" ht="16.5" customHeight="1">
      <c r="A530" s="307"/>
      <c r="B530" s="307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359"/>
      <c r="Q530" s="353"/>
      <c r="R530" s="353"/>
      <c r="S530" s="200"/>
      <c r="T530" s="353"/>
      <c r="U530" s="353"/>
      <c r="V530" s="353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  <c r="AQ530" s="200"/>
      <c r="AR530" s="200"/>
      <c r="AS530" s="200"/>
    </row>
    <row r="531" spans="1:45" ht="16.5" customHeight="1">
      <c r="A531" s="307"/>
      <c r="B531" s="307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359"/>
      <c r="Q531" s="353"/>
      <c r="R531" s="353"/>
      <c r="S531" s="200"/>
      <c r="T531" s="353"/>
      <c r="U531" s="353"/>
      <c r="V531" s="353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  <c r="AQ531" s="200"/>
      <c r="AR531" s="200"/>
      <c r="AS531" s="200"/>
    </row>
    <row r="532" spans="1:45" ht="16.5" customHeight="1">
      <c r="A532" s="307"/>
      <c r="B532" s="307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359"/>
      <c r="Q532" s="353"/>
      <c r="R532" s="353"/>
      <c r="S532" s="200"/>
      <c r="T532" s="353"/>
      <c r="U532" s="353"/>
      <c r="V532" s="353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  <c r="AQ532" s="200"/>
      <c r="AR532" s="200"/>
      <c r="AS532" s="200"/>
    </row>
    <row r="533" spans="1:45" ht="16.5" customHeight="1">
      <c r="A533" s="307"/>
      <c r="B533" s="307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359"/>
      <c r="Q533" s="353"/>
      <c r="R533" s="353"/>
      <c r="S533" s="200"/>
      <c r="T533" s="353"/>
      <c r="U533" s="353"/>
      <c r="V533" s="353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</row>
    <row r="534" spans="1:45" ht="16.5" customHeight="1">
      <c r="A534" s="307"/>
      <c r="B534" s="307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359"/>
      <c r="Q534" s="353"/>
      <c r="R534" s="353"/>
      <c r="S534" s="200"/>
      <c r="T534" s="353"/>
      <c r="U534" s="353"/>
      <c r="V534" s="353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  <c r="AQ534" s="200"/>
      <c r="AR534" s="200"/>
      <c r="AS534" s="200"/>
    </row>
    <row r="535" spans="1:45" ht="16.5" customHeight="1">
      <c r="A535" s="307"/>
      <c r="B535" s="307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359"/>
      <c r="Q535" s="353"/>
      <c r="R535" s="353"/>
      <c r="S535" s="200"/>
      <c r="T535" s="353"/>
      <c r="U535" s="353"/>
      <c r="V535" s="353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  <c r="AQ535" s="200"/>
      <c r="AR535" s="200"/>
      <c r="AS535" s="200"/>
    </row>
    <row r="536" spans="1:45" ht="16.5" customHeight="1">
      <c r="A536" s="307"/>
      <c r="B536" s="307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359"/>
      <c r="Q536" s="353"/>
      <c r="R536" s="353"/>
      <c r="S536" s="200"/>
      <c r="T536" s="353"/>
      <c r="U536" s="353"/>
      <c r="V536" s="353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  <c r="AQ536" s="200"/>
      <c r="AR536" s="200"/>
      <c r="AS536" s="200"/>
    </row>
    <row r="537" spans="1:45" ht="16.5" customHeight="1">
      <c r="A537" s="307"/>
      <c r="B537" s="307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359"/>
      <c r="Q537" s="353"/>
      <c r="R537" s="353"/>
      <c r="S537" s="200"/>
      <c r="T537" s="353"/>
      <c r="U537" s="353"/>
      <c r="V537" s="353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  <c r="AQ537" s="200"/>
      <c r="AR537" s="200"/>
      <c r="AS537" s="200"/>
    </row>
    <row r="538" spans="1:45" ht="16.5" customHeight="1">
      <c r="A538" s="307"/>
      <c r="B538" s="307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359"/>
      <c r="Q538" s="353"/>
      <c r="R538" s="353"/>
      <c r="S538" s="200"/>
      <c r="T538" s="353"/>
      <c r="U538" s="353"/>
      <c r="V538" s="353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  <c r="AQ538" s="200"/>
      <c r="AR538" s="200"/>
      <c r="AS538" s="200"/>
    </row>
    <row r="539" spans="1:45" ht="16.5" customHeight="1">
      <c r="A539" s="307"/>
      <c r="B539" s="307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359"/>
      <c r="Q539" s="353"/>
      <c r="R539" s="353"/>
      <c r="S539" s="200"/>
      <c r="T539" s="353"/>
      <c r="U539" s="353"/>
      <c r="V539" s="353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</row>
    <row r="540" spans="1:45" ht="16.5" customHeight="1">
      <c r="A540" s="307"/>
      <c r="B540" s="307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359"/>
      <c r="Q540" s="353"/>
      <c r="R540" s="353"/>
      <c r="S540" s="200"/>
      <c r="T540" s="353"/>
      <c r="U540" s="353"/>
      <c r="V540" s="353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  <c r="AQ540" s="200"/>
      <c r="AR540" s="200"/>
      <c r="AS540" s="200"/>
    </row>
    <row r="541" spans="1:45" ht="16.5" customHeight="1">
      <c r="A541" s="307"/>
      <c r="B541" s="307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359"/>
      <c r="Q541" s="353"/>
      <c r="R541" s="353"/>
      <c r="S541" s="200"/>
      <c r="T541" s="353"/>
      <c r="U541" s="353"/>
      <c r="V541" s="353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  <c r="AQ541" s="200"/>
      <c r="AR541" s="200"/>
      <c r="AS541" s="200"/>
    </row>
    <row r="542" spans="1:45" ht="16.5" customHeight="1">
      <c r="A542" s="307"/>
      <c r="B542" s="307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359"/>
      <c r="Q542" s="353"/>
      <c r="R542" s="353"/>
      <c r="S542" s="200"/>
      <c r="T542" s="353"/>
      <c r="U542" s="353"/>
      <c r="V542" s="353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  <c r="AQ542" s="200"/>
      <c r="AR542" s="200"/>
      <c r="AS542" s="200"/>
    </row>
    <row r="543" spans="1:45" ht="16.5" customHeight="1">
      <c r="A543" s="307"/>
      <c r="B543" s="307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359"/>
      <c r="Q543" s="353"/>
      <c r="R543" s="353"/>
      <c r="S543" s="200"/>
      <c r="T543" s="353"/>
      <c r="U543" s="353"/>
      <c r="V543" s="353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  <c r="AQ543" s="200"/>
      <c r="AR543" s="200"/>
      <c r="AS543" s="200"/>
    </row>
    <row r="544" spans="1:45" ht="16.5" customHeight="1">
      <c r="A544" s="307"/>
      <c r="B544" s="307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359"/>
      <c r="Q544" s="353"/>
      <c r="R544" s="353"/>
      <c r="S544" s="200"/>
      <c r="T544" s="353"/>
      <c r="U544" s="353"/>
      <c r="V544" s="353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  <c r="AQ544" s="200"/>
      <c r="AR544" s="200"/>
      <c r="AS544" s="200"/>
    </row>
    <row r="545" spans="1:45" ht="16.5" customHeight="1">
      <c r="A545" s="307"/>
      <c r="B545" s="307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359"/>
      <c r="Q545" s="353"/>
      <c r="R545" s="353"/>
      <c r="S545" s="200"/>
      <c r="T545" s="353"/>
      <c r="U545" s="353"/>
      <c r="V545" s="353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  <c r="AQ545" s="200"/>
      <c r="AR545" s="200"/>
      <c r="AS545" s="200"/>
    </row>
    <row r="546" spans="1:45" ht="16.5" customHeight="1">
      <c r="A546" s="307"/>
      <c r="B546" s="307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359"/>
      <c r="Q546" s="353"/>
      <c r="R546" s="353"/>
      <c r="S546" s="200"/>
      <c r="T546" s="353"/>
      <c r="U546" s="353"/>
      <c r="V546" s="353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</row>
    <row r="547" spans="1:45" ht="16.5" customHeight="1">
      <c r="A547" s="307"/>
      <c r="B547" s="307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359"/>
      <c r="Q547" s="353"/>
      <c r="R547" s="353"/>
      <c r="S547" s="200"/>
      <c r="T547" s="353"/>
      <c r="U547" s="353"/>
      <c r="V547" s="353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  <c r="AQ547" s="200"/>
      <c r="AR547" s="200"/>
      <c r="AS547" s="200"/>
    </row>
    <row r="548" spans="1:45" ht="16.5" customHeight="1">
      <c r="A548" s="307"/>
      <c r="B548" s="307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359"/>
      <c r="Q548" s="353"/>
      <c r="R548" s="353"/>
      <c r="S548" s="200"/>
      <c r="T548" s="353"/>
      <c r="U548" s="353"/>
      <c r="V548" s="353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  <c r="AQ548" s="200"/>
      <c r="AR548" s="200"/>
      <c r="AS548" s="200"/>
    </row>
    <row r="549" spans="1:45" ht="16.5" customHeight="1">
      <c r="A549" s="307"/>
      <c r="B549" s="307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359"/>
      <c r="Q549" s="353"/>
      <c r="R549" s="353"/>
      <c r="S549" s="200"/>
      <c r="T549" s="353"/>
      <c r="U549" s="353"/>
      <c r="V549" s="353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  <c r="AQ549" s="200"/>
      <c r="AR549" s="200"/>
      <c r="AS549" s="200"/>
    </row>
    <row r="550" spans="1:45" ht="16.5" customHeight="1">
      <c r="A550" s="307"/>
      <c r="B550" s="307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359"/>
      <c r="Q550" s="353"/>
      <c r="R550" s="353"/>
      <c r="S550" s="200"/>
      <c r="T550" s="353"/>
      <c r="U550" s="353"/>
      <c r="V550" s="353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</row>
    <row r="551" spans="1:45" ht="16.5" customHeight="1">
      <c r="A551" s="307"/>
      <c r="B551" s="307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359"/>
      <c r="Q551" s="353"/>
      <c r="R551" s="353"/>
      <c r="S551" s="200"/>
      <c r="T551" s="353"/>
      <c r="U551" s="353"/>
      <c r="V551" s="353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  <c r="AQ551" s="200"/>
      <c r="AR551" s="200"/>
      <c r="AS551" s="200"/>
    </row>
    <row r="552" spans="1:45" ht="16.5" customHeight="1">
      <c r="A552" s="307"/>
      <c r="B552" s="307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359"/>
      <c r="Q552" s="353"/>
      <c r="R552" s="353"/>
      <c r="S552" s="200"/>
      <c r="T552" s="353"/>
      <c r="U552" s="353"/>
      <c r="V552" s="353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  <c r="AQ552" s="200"/>
      <c r="AR552" s="200"/>
      <c r="AS552" s="200"/>
    </row>
    <row r="553" spans="1:45" ht="16.5" customHeight="1">
      <c r="A553" s="307"/>
      <c r="B553" s="307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359"/>
      <c r="Q553" s="353"/>
      <c r="R553" s="353"/>
      <c r="S553" s="200"/>
      <c r="T553" s="353"/>
      <c r="U553" s="353"/>
      <c r="V553" s="353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</row>
    <row r="554" spans="1:45" ht="16.5" customHeight="1">
      <c r="A554" s="307"/>
      <c r="B554" s="307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359"/>
      <c r="Q554" s="353"/>
      <c r="R554" s="353"/>
      <c r="S554" s="200"/>
      <c r="T554" s="353"/>
      <c r="U554" s="353"/>
      <c r="V554" s="353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</row>
    <row r="555" spans="1:45" ht="16.5" customHeight="1">
      <c r="A555" s="307"/>
      <c r="B555" s="307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359"/>
      <c r="Q555" s="353"/>
      <c r="R555" s="353"/>
      <c r="S555" s="200"/>
      <c r="T555" s="353"/>
      <c r="U555" s="353"/>
      <c r="V555" s="353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  <c r="AQ555" s="200"/>
      <c r="AR555" s="200"/>
      <c r="AS555" s="200"/>
    </row>
    <row r="556" spans="1:45" ht="16.5" customHeight="1">
      <c r="A556" s="307"/>
      <c r="B556" s="307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359"/>
      <c r="Q556" s="353"/>
      <c r="R556" s="353"/>
      <c r="S556" s="200"/>
      <c r="T556" s="353"/>
      <c r="U556" s="353"/>
      <c r="V556" s="353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  <c r="AQ556" s="200"/>
      <c r="AR556" s="200"/>
      <c r="AS556" s="200"/>
    </row>
    <row r="557" spans="1:45" ht="16.5" customHeight="1">
      <c r="A557" s="307"/>
      <c r="B557" s="307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359"/>
      <c r="Q557" s="353"/>
      <c r="R557" s="353"/>
      <c r="S557" s="200"/>
      <c r="T557" s="353"/>
      <c r="U557" s="353"/>
      <c r="V557" s="353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</row>
    <row r="558" spans="1:45" ht="16.5" customHeight="1">
      <c r="A558" s="307"/>
      <c r="B558" s="307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359"/>
      <c r="Q558" s="353"/>
      <c r="R558" s="353"/>
      <c r="S558" s="200"/>
      <c r="T558" s="353"/>
      <c r="U558" s="353"/>
      <c r="V558" s="353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  <c r="AQ558" s="200"/>
      <c r="AR558" s="200"/>
      <c r="AS558" s="200"/>
    </row>
    <row r="559" spans="1:45" ht="16.5" customHeight="1">
      <c r="A559" s="307"/>
      <c r="B559" s="307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359"/>
      <c r="Q559" s="353"/>
      <c r="R559" s="353"/>
      <c r="S559" s="200"/>
      <c r="T559" s="353"/>
      <c r="U559" s="353"/>
      <c r="V559" s="353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  <c r="AQ559" s="200"/>
      <c r="AR559" s="200"/>
      <c r="AS559" s="200"/>
    </row>
    <row r="560" spans="1:45" ht="16.5" customHeight="1">
      <c r="A560" s="307"/>
      <c r="B560" s="307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359"/>
      <c r="Q560" s="353"/>
      <c r="R560" s="353"/>
      <c r="S560" s="200"/>
      <c r="T560" s="353"/>
      <c r="U560" s="353"/>
      <c r="V560" s="353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</row>
    <row r="561" spans="1:45" ht="16.5" customHeight="1">
      <c r="A561" s="307"/>
      <c r="B561" s="307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359"/>
      <c r="Q561" s="353"/>
      <c r="R561" s="353"/>
      <c r="S561" s="200"/>
      <c r="T561" s="353"/>
      <c r="U561" s="353"/>
      <c r="V561" s="353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  <c r="AQ561" s="200"/>
      <c r="AR561" s="200"/>
      <c r="AS561" s="200"/>
    </row>
    <row r="562" spans="1:45" ht="16.5" customHeight="1">
      <c r="A562" s="307"/>
      <c r="B562" s="307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359"/>
      <c r="Q562" s="353"/>
      <c r="R562" s="353"/>
      <c r="S562" s="200"/>
      <c r="T562" s="353"/>
      <c r="U562" s="353"/>
      <c r="V562" s="353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  <c r="AQ562" s="200"/>
      <c r="AR562" s="200"/>
      <c r="AS562" s="200"/>
    </row>
    <row r="563" spans="1:45" ht="16.5" customHeight="1">
      <c r="A563" s="307"/>
      <c r="B563" s="307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359"/>
      <c r="Q563" s="353"/>
      <c r="R563" s="353"/>
      <c r="S563" s="200"/>
      <c r="T563" s="353"/>
      <c r="U563" s="353"/>
      <c r="V563" s="353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  <c r="AQ563" s="200"/>
      <c r="AR563" s="200"/>
      <c r="AS563" s="200"/>
    </row>
    <row r="564" spans="1:45" ht="16.5" customHeight="1">
      <c r="A564" s="307"/>
      <c r="B564" s="307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359"/>
      <c r="Q564" s="353"/>
      <c r="R564" s="353"/>
      <c r="S564" s="200"/>
      <c r="T564" s="353"/>
      <c r="U564" s="353"/>
      <c r="V564" s="353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  <c r="AQ564" s="200"/>
      <c r="AR564" s="200"/>
      <c r="AS564" s="200"/>
    </row>
    <row r="565" spans="1:45" ht="16.5" customHeight="1">
      <c r="A565" s="307"/>
      <c r="B565" s="307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359"/>
      <c r="Q565" s="353"/>
      <c r="R565" s="353"/>
      <c r="S565" s="200"/>
      <c r="T565" s="353"/>
      <c r="U565" s="353"/>
      <c r="V565" s="353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  <c r="AQ565" s="200"/>
      <c r="AR565" s="200"/>
      <c r="AS565" s="200"/>
    </row>
    <row r="566" spans="1:45" ht="16.5" customHeight="1">
      <c r="A566" s="307"/>
      <c r="B566" s="307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359"/>
      <c r="Q566" s="353"/>
      <c r="R566" s="353"/>
      <c r="S566" s="200"/>
      <c r="T566" s="353"/>
      <c r="U566" s="353"/>
      <c r="V566" s="353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</row>
    <row r="567" spans="1:45" ht="16.5" customHeight="1">
      <c r="A567" s="307"/>
      <c r="B567" s="307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359"/>
      <c r="Q567" s="353"/>
      <c r="R567" s="353"/>
      <c r="S567" s="200"/>
      <c r="T567" s="353"/>
      <c r="U567" s="353"/>
      <c r="V567" s="353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  <c r="AQ567" s="200"/>
      <c r="AR567" s="200"/>
      <c r="AS567" s="200"/>
    </row>
    <row r="568" spans="1:45" ht="16.5" customHeight="1">
      <c r="A568" s="307"/>
      <c r="B568" s="307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359"/>
      <c r="Q568" s="353"/>
      <c r="R568" s="353"/>
      <c r="S568" s="200"/>
      <c r="T568" s="353"/>
      <c r="U568" s="353"/>
      <c r="V568" s="353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  <c r="AQ568" s="200"/>
      <c r="AR568" s="200"/>
      <c r="AS568" s="200"/>
    </row>
    <row r="569" spans="1:45" ht="16.5" customHeight="1">
      <c r="A569" s="307"/>
      <c r="B569" s="307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359"/>
      <c r="Q569" s="353"/>
      <c r="R569" s="353"/>
      <c r="S569" s="200"/>
      <c r="T569" s="353"/>
      <c r="U569" s="353"/>
      <c r="V569" s="353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  <c r="AQ569" s="200"/>
      <c r="AR569" s="200"/>
      <c r="AS569" s="200"/>
    </row>
    <row r="570" spans="1:45" ht="16.5" customHeight="1">
      <c r="A570" s="307"/>
      <c r="B570" s="307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359"/>
      <c r="Q570" s="353"/>
      <c r="R570" s="353"/>
      <c r="S570" s="200"/>
      <c r="T570" s="353"/>
      <c r="U570" s="353"/>
      <c r="V570" s="353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  <c r="AQ570" s="200"/>
      <c r="AR570" s="200"/>
      <c r="AS570" s="200"/>
    </row>
    <row r="571" spans="1:45" ht="16.5" customHeight="1">
      <c r="A571" s="307"/>
      <c r="B571" s="307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359"/>
      <c r="Q571" s="353"/>
      <c r="R571" s="353"/>
      <c r="S571" s="200"/>
      <c r="T571" s="353"/>
      <c r="U571" s="353"/>
      <c r="V571" s="353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  <c r="AQ571" s="200"/>
      <c r="AR571" s="200"/>
      <c r="AS571" s="200"/>
    </row>
    <row r="572" spans="1:45" ht="16.5" customHeight="1">
      <c r="A572" s="307"/>
      <c r="B572" s="307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359"/>
      <c r="Q572" s="353"/>
      <c r="R572" s="353"/>
      <c r="S572" s="200"/>
      <c r="T572" s="353"/>
      <c r="U572" s="353"/>
      <c r="V572" s="353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  <c r="AQ572" s="200"/>
      <c r="AR572" s="200"/>
      <c r="AS572" s="200"/>
    </row>
    <row r="573" spans="1:45" ht="16.5" customHeight="1">
      <c r="A573" s="307"/>
      <c r="B573" s="307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359"/>
      <c r="Q573" s="353"/>
      <c r="R573" s="353"/>
      <c r="S573" s="200"/>
      <c r="T573" s="353"/>
      <c r="U573" s="353"/>
      <c r="V573" s="353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</row>
    <row r="574" spans="1:45" ht="16.5" customHeight="1">
      <c r="A574" s="307"/>
      <c r="B574" s="307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359"/>
      <c r="Q574" s="353"/>
      <c r="R574" s="353"/>
      <c r="S574" s="200"/>
      <c r="T574" s="353"/>
      <c r="U574" s="353"/>
      <c r="V574" s="353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  <c r="AQ574" s="200"/>
      <c r="AR574" s="200"/>
      <c r="AS574" s="200"/>
    </row>
    <row r="575" spans="1:45" ht="16.5" customHeight="1">
      <c r="A575" s="307"/>
      <c r="B575" s="307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359"/>
      <c r="Q575" s="353"/>
      <c r="R575" s="353"/>
      <c r="S575" s="200"/>
      <c r="T575" s="353"/>
      <c r="U575" s="353"/>
      <c r="V575" s="353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  <c r="AQ575" s="200"/>
      <c r="AR575" s="200"/>
      <c r="AS575" s="200"/>
    </row>
    <row r="576" spans="1:45" ht="16.5" customHeight="1">
      <c r="A576" s="307"/>
      <c r="B576" s="307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359"/>
      <c r="Q576" s="353"/>
      <c r="R576" s="353"/>
      <c r="S576" s="200"/>
      <c r="T576" s="353"/>
      <c r="U576" s="353"/>
      <c r="V576" s="353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  <c r="AQ576" s="200"/>
      <c r="AR576" s="200"/>
      <c r="AS576" s="200"/>
    </row>
    <row r="577" spans="1:45" ht="16.5" customHeight="1">
      <c r="A577" s="307"/>
      <c r="B577" s="307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359"/>
      <c r="Q577" s="353"/>
      <c r="R577" s="353"/>
      <c r="S577" s="200"/>
      <c r="T577" s="353"/>
      <c r="U577" s="353"/>
      <c r="V577" s="353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  <c r="AQ577" s="200"/>
      <c r="AR577" s="200"/>
      <c r="AS577" s="200"/>
    </row>
    <row r="578" spans="1:45" ht="16.5" customHeight="1">
      <c r="A578" s="307"/>
      <c r="B578" s="307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359"/>
      <c r="Q578" s="353"/>
      <c r="R578" s="353"/>
      <c r="S578" s="200"/>
      <c r="T578" s="353"/>
      <c r="U578" s="353"/>
      <c r="V578" s="353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  <c r="AQ578" s="200"/>
      <c r="AR578" s="200"/>
      <c r="AS578" s="200"/>
    </row>
    <row r="579" spans="1:45" ht="16.5" customHeight="1">
      <c r="A579" s="307"/>
      <c r="B579" s="307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359"/>
      <c r="Q579" s="353"/>
      <c r="R579" s="353"/>
      <c r="S579" s="200"/>
      <c r="T579" s="353"/>
      <c r="U579" s="353"/>
      <c r="V579" s="353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  <c r="AQ579" s="200"/>
      <c r="AR579" s="200"/>
      <c r="AS579" s="200"/>
    </row>
    <row r="580" spans="1:45" ht="16.5" customHeight="1">
      <c r="A580" s="307"/>
      <c r="B580" s="307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359"/>
      <c r="Q580" s="353"/>
      <c r="R580" s="353"/>
      <c r="S580" s="200"/>
      <c r="T580" s="353"/>
      <c r="U580" s="353"/>
      <c r="V580" s="353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  <c r="AQ580" s="200"/>
      <c r="AR580" s="200"/>
      <c r="AS580" s="200"/>
    </row>
    <row r="581" spans="1:45" ht="16.5" customHeight="1">
      <c r="A581" s="307"/>
      <c r="B581" s="307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359"/>
      <c r="Q581" s="353"/>
      <c r="R581" s="353"/>
      <c r="S581" s="200"/>
      <c r="T581" s="353"/>
      <c r="U581" s="353"/>
      <c r="V581" s="353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  <c r="AQ581" s="200"/>
      <c r="AR581" s="200"/>
      <c r="AS581" s="200"/>
    </row>
    <row r="582" spans="1:45" ht="16.5" customHeight="1">
      <c r="A582" s="307"/>
      <c r="B582" s="307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359"/>
      <c r="Q582" s="353"/>
      <c r="R582" s="353"/>
      <c r="S582" s="200"/>
      <c r="T582" s="353"/>
      <c r="U582" s="353"/>
      <c r="V582" s="353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  <c r="AQ582" s="200"/>
      <c r="AR582" s="200"/>
      <c r="AS582" s="200"/>
    </row>
    <row r="583" spans="1:45" ht="16.5" customHeight="1">
      <c r="A583" s="307"/>
      <c r="B583" s="307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359"/>
      <c r="Q583" s="353"/>
      <c r="R583" s="353"/>
      <c r="S583" s="200"/>
      <c r="T583" s="353"/>
      <c r="U583" s="353"/>
      <c r="V583" s="353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  <c r="AQ583" s="200"/>
      <c r="AR583" s="200"/>
      <c r="AS583" s="200"/>
    </row>
    <row r="584" spans="1:45" ht="16.5" customHeight="1">
      <c r="A584" s="307"/>
      <c r="B584" s="307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359"/>
      <c r="Q584" s="353"/>
      <c r="R584" s="353"/>
      <c r="S584" s="200"/>
      <c r="T584" s="353"/>
      <c r="U584" s="353"/>
      <c r="V584" s="353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  <c r="AQ584" s="200"/>
      <c r="AR584" s="200"/>
      <c r="AS584" s="200"/>
    </row>
    <row r="585" spans="1:45" ht="16.5" customHeight="1">
      <c r="A585" s="307"/>
      <c r="B585" s="307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359"/>
      <c r="Q585" s="353"/>
      <c r="R585" s="353"/>
      <c r="S585" s="200"/>
      <c r="T585" s="353"/>
      <c r="U585" s="353"/>
      <c r="V585" s="353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  <c r="AQ585" s="200"/>
      <c r="AR585" s="200"/>
      <c r="AS585" s="200"/>
    </row>
    <row r="586" spans="1:45" ht="16.5" customHeight="1">
      <c r="A586" s="307"/>
      <c r="B586" s="307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359"/>
      <c r="Q586" s="353"/>
      <c r="R586" s="353"/>
      <c r="S586" s="200"/>
      <c r="T586" s="353"/>
      <c r="U586" s="353"/>
      <c r="V586" s="353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  <c r="AQ586" s="200"/>
      <c r="AR586" s="200"/>
      <c r="AS586" s="200"/>
    </row>
    <row r="587" spans="1:45" ht="16.5" customHeight="1">
      <c r="A587" s="307"/>
      <c r="B587" s="307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359"/>
      <c r="Q587" s="353"/>
      <c r="R587" s="353"/>
      <c r="S587" s="200"/>
      <c r="T587" s="353"/>
      <c r="U587" s="353"/>
      <c r="V587" s="353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  <c r="AQ587" s="200"/>
      <c r="AR587" s="200"/>
      <c r="AS587" s="200"/>
    </row>
    <row r="588" spans="1:45" ht="16.5" customHeight="1">
      <c r="A588" s="307"/>
      <c r="B588" s="307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359"/>
      <c r="Q588" s="353"/>
      <c r="R588" s="353"/>
      <c r="S588" s="200"/>
      <c r="T588" s="353"/>
      <c r="U588" s="353"/>
      <c r="V588" s="353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  <c r="AQ588" s="200"/>
      <c r="AR588" s="200"/>
      <c r="AS588" s="200"/>
    </row>
    <row r="589" spans="1:45" ht="16.5" customHeight="1">
      <c r="A589" s="307"/>
      <c r="B589" s="307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359"/>
      <c r="Q589" s="353"/>
      <c r="R589" s="353"/>
      <c r="S589" s="200"/>
      <c r="T589" s="353"/>
      <c r="U589" s="353"/>
      <c r="V589" s="353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  <c r="AQ589" s="200"/>
      <c r="AR589" s="200"/>
      <c r="AS589" s="200"/>
    </row>
    <row r="590" spans="1:45" ht="16.5" customHeight="1">
      <c r="A590" s="307"/>
      <c r="B590" s="307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359"/>
      <c r="Q590" s="353"/>
      <c r="R590" s="353"/>
      <c r="S590" s="200"/>
      <c r="T590" s="353"/>
      <c r="U590" s="353"/>
      <c r="V590" s="353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  <c r="AQ590" s="200"/>
      <c r="AR590" s="200"/>
      <c r="AS590" s="200"/>
    </row>
    <row r="591" spans="1:45" ht="16.5" customHeight="1">
      <c r="A591" s="307"/>
      <c r="B591" s="307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359"/>
      <c r="Q591" s="353"/>
      <c r="R591" s="353"/>
      <c r="S591" s="200"/>
      <c r="T591" s="353"/>
      <c r="U591" s="353"/>
      <c r="V591" s="353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  <c r="AQ591" s="200"/>
      <c r="AR591" s="200"/>
      <c r="AS591" s="200"/>
    </row>
    <row r="592" spans="1:45" ht="16.5" customHeight="1">
      <c r="A592" s="307"/>
      <c r="B592" s="307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359"/>
      <c r="Q592" s="353"/>
      <c r="R592" s="353"/>
      <c r="S592" s="200"/>
      <c r="T592" s="353"/>
      <c r="U592" s="353"/>
      <c r="V592" s="353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  <c r="AQ592" s="200"/>
      <c r="AR592" s="200"/>
      <c r="AS592" s="200"/>
    </row>
    <row r="593" spans="1:45" ht="16.5" customHeight="1">
      <c r="A593" s="307"/>
      <c r="B593" s="307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359"/>
      <c r="Q593" s="353"/>
      <c r="R593" s="353"/>
      <c r="S593" s="200"/>
      <c r="T593" s="353"/>
      <c r="U593" s="353"/>
      <c r="V593" s="353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  <c r="AQ593" s="200"/>
      <c r="AR593" s="200"/>
      <c r="AS593" s="200"/>
    </row>
    <row r="594" spans="1:45" ht="16.5" customHeight="1">
      <c r="A594" s="307"/>
      <c r="B594" s="307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359"/>
      <c r="Q594" s="353"/>
      <c r="R594" s="353"/>
      <c r="S594" s="200"/>
      <c r="T594" s="353"/>
      <c r="U594" s="353"/>
      <c r="V594" s="353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  <c r="AQ594" s="200"/>
      <c r="AR594" s="200"/>
      <c r="AS594" s="200"/>
    </row>
    <row r="595" spans="1:45" ht="16.5" customHeight="1">
      <c r="A595" s="307"/>
      <c r="B595" s="307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359"/>
      <c r="Q595" s="353"/>
      <c r="R595" s="353"/>
      <c r="S595" s="200"/>
      <c r="T595" s="353"/>
      <c r="U595" s="353"/>
      <c r="V595" s="353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  <c r="AQ595" s="200"/>
      <c r="AR595" s="200"/>
      <c r="AS595" s="200"/>
    </row>
    <row r="596" spans="1:45" ht="16.5" customHeight="1">
      <c r="A596" s="307"/>
      <c r="B596" s="307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359"/>
      <c r="Q596" s="353"/>
      <c r="R596" s="353"/>
      <c r="S596" s="200"/>
      <c r="T596" s="353"/>
      <c r="U596" s="353"/>
      <c r="V596" s="353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  <c r="AQ596" s="200"/>
      <c r="AR596" s="200"/>
      <c r="AS596" s="200"/>
    </row>
    <row r="597" spans="1:45" ht="16.5" customHeight="1">
      <c r="A597" s="307"/>
      <c r="B597" s="307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359"/>
      <c r="Q597" s="353"/>
      <c r="R597" s="353"/>
      <c r="S597" s="200"/>
      <c r="T597" s="353"/>
      <c r="U597" s="353"/>
      <c r="V597" s="353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  <c r="AQ597" s="200"/>
      <c r="AR597" s="200"/>
      <c r="AS597" s="200"/>
    </row>
    <row r="598" spans="1:45" ht="16.5" customHeight="1">
      <c r="A598" s="307"/>
      <c r="B598" s="307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359"/>
      <c r="Q598" s="353"/>
      <c r="R598" s="353"/>
      <c r="S598" s="200"/>
      <c r="T598" s="353"/>
      <c r="U598" s="353"/>
      <c r="V598" s="353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  <c r="AQ598" s="200"/>
      <c r="AR598" s="200"/>
      <c r="AS598" s="200"/>
    </row>
    <row r="599" spans="1:45" ht="16.5" customHeight="1">
      <c r="A599" s="307"/>
      <c r="B599" s="307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359"/>
      <c r="Q599" s="353"/>
      <c r="R599" s="353"/>
      <c r="S599" s="200"/>
      <c r="T599" s="353"/>
      <c r="U599" s="353"/>
      <c r="V599" s="353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  <c r="AQ599" s="200"/>
      <c r="AR599" s="200"/>
      <c r="AS599" s="200"/>
    </row>
    <row r="600" spans="1:45" ht="16.5" customHeight="1">
      <c r="A600" s="307"/>
      <c r="B600" s="307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359"/>
      <c r="Q600" s="353"/>
      <c r="R600" s="353"/>
      <c r="S600" s="200"/>
      <c r="T600" s="353"/>
      <c r="U600" s="353"/>
      <c r="V600" s="353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  <c r="AQ600" s="200"/>
      <c r="AR600" s="200"/>
      <c r="AS600" s="200"/>
    </row>
    <row r="601" spans="1:45" ht="16.5" customHeight="1">
      <c r="A601" s="307"/>
      <c r="B601" s="307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359"/>
      <c r="Q601" s="353"/>
      <c r="R601" s="353"/>
      <c r="S601" s="200"/>
      <c r="T601" s="353"/>
      <c r="U601" s="353"/>
      <c r="V601" s="353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  <c r="AQ601" s="200"/>
      <c r="AR601" s="200"/>
      <c r="AS601" s="200"/>
    </row>
    <row r="602" spans="1:45" ht="16.5" customHeight="1">
      <c r="A602" s="307"/>
      <c r="B602" s="307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359"/>
      <c r="Q602" s="353"/>
      <c r="R602" s="353"/>
      <c r="S602" s="200"/>
      <c r="T602" s="353"/>
      <c r="U602" s="353"/>
      <c r="V602" s="353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  <c r="AQ602" s="200"/>
      <c r="AR602" s="200"/>
      <c r="AS602" s="200"/>
    </row>
    <row r="603" spans="1:45" ht="16.5" customHeight="1">
      <c r="A603" s="307"/>
      <c r="B603" s="307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359"/>
      <c r="Q603" s="353"/>
      <c r="R603" s="353"/>
      <c r="S603" s="200"/>
      <c r="T603" s="353"/>
      <c r="U603" s="353"/>
      <c r="V603" s="353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  <c r="AQ603" s="200"/>
      <c r="AR603" s="200"/>
      <c r="AS603" s="200"/>
    </row>
    <row r="604" spans="1:45" ht="16.5" customHeight="1">
      <c r="A604" s="307"/>
      <c r="B604" s="307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359"/>
      <c r="Q604" s="353"/>
      <c r="R604" s="353"/>
      <c r="S604" s="200"/>
      <c r="T604" s="353"/>
      <c r="U604" s="353"/>
      <c r="V604" s="353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  <c r="AQ604" s="200"/>
      <c r="AR604" s="200"/>
      <c r="AS604" s="200"/>
    </row>
    <row r="605" spans="1:45" ht="16.5" customHeight="1">
      <c r="A605" s="307"/>
      <c r="B605" s="307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359"/>
      <c r="Q605" s="353"/>
      <c r="R605" s="353"/>
      <c r="S605" s="200"/>
      <c r="T605" s="353"/>
      <c r="U605" s="353"/>
      <c r="V605" s="353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  <c r="AQ605" s="200"/>
      <c r="AR605" s="200"/>
      <c r="AS605" s="200"/>
    </row>
    <row r="606" spans="1:45" ht="16.5" customHeight="1">
      <c r="A606" s="307"/>
      <c r="B606" s="307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359"/>
      <c r="Q606" s="353"/>
      <c r="R606" s="353"/>
      <c r="S606" s="200"/>
      <c r="T606" s="353"/>
      <c r="U606" s="353"/>
      <c r="V606" s="353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  <c r="AQ606" s="200"/>
      <c r="AR606" s="200"/>
      <c r="AS606" s="200"/>
    </row>
    <row r="607" spans="1:45" ht="16.5" customHeight="1">
      <c r="A607" s="307"/>
      <c r="B607" s="307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359"/>
      <c r="Q607" s="353"/>
      <c r="R607" s="353"/>
      <c r="S607" s="200"/>
      <c r="T607" s="353"/>
      <c r="U607" s="353"/>
      <c r="V607" s="353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  <c r="AQ607" s="200"/>
      <c r="AR607" s="200"/>
      <c r="AS607" s="200"/>
    </row>
    <row r="608" spans="1:45" ht="16.5" customHeight="1">
      <c r="A608" s="307"/>
      <c r="B608" s="307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359"/>
      <c r="Q608" s="353"/>
      <c r="R608" s="353"/>
      <c r="S608" s="200"/>
      <c r="T608" s="353"/>
      <c r="U608" s="353"/>
      <c r="V608" s="353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  <c r="AQ608" s="200"/>
      <c r="AR608" s="200"/>
      <c r="AS608" s="200"/>
    </row>
    <row r="609" spans="1:45" ht="16.5" customHeight="1">
      <c r="A609" s="307"/>
      <c r="B609" s="307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359"/>
      <c r="Q609" s="353"/>
      <c r="R609" s="353"/>
      <c r="S609" s="200"/>
      <c r="T609" s="353"/>
      <c r="U609" s="353"/>
      <c r="V609" s="353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  <c r="AQ609" s="200"/>
      <c r="AR609" s="200"/>
      <c r="AS609" s="200"/>
    </row>
    <row r="610" spans="1:45" ht="16.5" customHeight="1">
      <c r="A610" s="307"/>
      <c r="B610" s="307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359"/>
      <c r="Q610" s="353"/>
      <c r="R610" s="353"/>
      <c r="S610" s="200"/>
      <c r="T610" s="353"/>
      <c r="U610" s="353"/>
      <c r="V610" s="353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  <c r="AQ610" s="200"/>
      <c r="AR610" s="200"/>
      <c r="AS610" s="200"/>
    </row>
    <row r="611" spans="1:45" ht="16.5" customHeight="1">
      <c r="A611" s="307"/>
      <c r="B611" s="307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359"/>
      <c r="Q611" s="353"/>
      <c r="R611" s="353"/>
      <c r="S611" s="200"/>
      <c r="T611" s="353"/>
      <c r="U611" s="353"/>
      <c r="V611" s="353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  <c r="AQ611" s="200"/>
      <c r="AR611" s="200"/>
      <c r="AS611" s="200"/>
    </row>
    <row r="612" spans="1:45" ht="16.5" customHeight="1">
      <c r="A612" s="307"/>
      <c r="B612" s="307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359"/>
      <c r="Q612" s="353"/>
      <c r="R612" s="353"/>
      <c r="S612" s="200"/>
      <c r="T612" s="353"/>
      <c r="U612" s="353"/>
      <c r="V612" s="353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  <c r="AQ612" s="200"/>
      <c r="AR612" s="200"/>
      <c r="AS612" s="200"/>
    </row>
    <row r="613" spans="1:45" ht="16.5" customHeight="1">
      <c r="A613" s="307"/>
      <c r="B613" s="307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359"/>
      <c r="Q613" s="353"/>
      <c r="R613" s="353"/>
      <c r="S613" s="200"/>
      <c r="T613" s="353"/>
      <c r="U613" s="353"/>
      <c r="V613" s="353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  <c r="AQ613" s="200"/>
      <c r="AR613" s="200"/>
      <c r="AS613" s="200"/>
    </row>
    <row r="614" spans="1:45" ht="16.5" customHeight="1">
      <c r="A614" s="307"/>
      <c r="B614" s="307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359"/>
      <c r="Q614" s="353"/>
      <c r="R614" s="353"/>
      <c r="S614" s="200"/>
      <c r="T614" s="353"/>
      <c r="U614" s="353"/>
      <c r="V614" s="353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  <c r="AQ614" s="200"/>
      <c r="AR614" s="200"/>
      <c r="AS614" s="200"/>
    </row>
    <row r="615" spans="1:45" ht="16.5" customHeight="1">
      <c r="A615" s="307"/>
      <c r="B615" s="307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359"/>
      <c r="Q615" s="353"/>
      <c r="R615" s="353"/>
      <c r="S615" s="200"/>
      <c r="T615" s="353"/>
      <c r="U615" s="353"/>
      <c r="V615" s="353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  <c r="AQ615" s="200"/>
      <c r="AR615" s="200"/>
      <c r="AS615" s="200"/>
    </row>
    <row r="616" spans="1:45" ht="16.5" customHeight="1">
      <c r="A616" s="307"/>
      <c r="B616" s="307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359"/>
      <c r="Q616" s="353"/>
      <c r="R616" s="353"/>
      <c r="S616" s="200"/>
      <c r="T616" s="353"/>
      <c r="U616" s="353"/>
      <c r="V616" s="353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  <c r="AQ616" s="200"/>
      <c r="AR616" s="200"/>
      <c r="AS616" s="200"/>
    </row>
    <row r="617" spans="1:45" ht="16.5" customHeight="1">
      <c r="A617" s="307"/>
      <c r="B617" s="307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359"/>
      <c r="Q617" s="353"/>
      <c r="R617" s="353"/>
      <c r="S617" s="200"/>
      <c r="T617" s="353"/>
      <c r="U617" s="353"/>
      <c r="V617" s="353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  <c r="AQ617" s="200"/>
      <c r="AR617" s="200"/>
      <c r="AS617" s="200"/>
    </row>
    <row r="618" spans="1:45" ht="16.5" customHeight="1">
      <c r="A618" s="307"/>
      <c r="B618" s="307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359"/>
      <c r="Q618" s="353"/>
      <c r="R618" s="353"/>
      <c r="S618" s="200"/>
      <c r="T618" s="353"/>
      <c r="U618" s="353"/>
      <c r="V618" s="353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  <c r="AQ618" s="200"/>
      <c r="AR618" s="200"/>
      <c r="AS618" s="200"/>
    </row>
    <row r="619" spans="1:45" ht="16.5" customHeight="1">
      <c r="A619" s="307"/>
      <c r="B619" s="307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359"/>
      <c r="Q619" s="353"/>
      <c r="R619" s="353"/>
      <c r="S619" s="200"/>
      <c r="T619" s="353"/>
      <c r="U619" s="353"/>
      <c r="V619" s="353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  <c r="AQ619" s="200"/>
      <c r="AR619" s="200"/>
      <c r="AS619" s="200"/>
    </row>
    <row r="620" spans="1:45" ht="16.5" customHeight="1">
      <c r="A620" s="307"/>
      <c r="B620" s="307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359"/>
      <c r="Q620" s="353"/>
      <c r="R620" s="353"/>
      <c r="S620" s="200"/>
      <c r="T620" s="353"/>
      <c r="U620" s="353"/>
      <c r="V620" s="353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  <c r="AQ620" s="200"/>
      <c r="AR620" s="200"/>
      <c r="AS620" s="200"/>
    </row>
    <row r="621" spans="1:45" ht="16.5" customHeight="1">
      <c r="A621" s="307"/>
      <c r="B621" s="307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359"/>
      <c r="Q621" s="353"/>
      <c r="R621" s="353"/>
      <c r="S621" s="200"/>
      <c r="T621" s="353"/>
      <c r="U621" s="353"/>
      <c r="V621" s="353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  <c r="AQ621" s="200"/>
      <c r="AR621" s="200"/>
      <c r="AS621" s="200"/>
    </row>
    <row r="622" spans="1:45" ht="16.5" customHeight="1">
      <c r="A622" s="307"/>
      <c r="B622" s="307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359"/>
      <c r="Q622" s="353"/>
      <c r="R622" s="353"/>
      <c r="S622" s="200"/>
      <c r="T622" s="353"/>
      <c r="U622" s="353"/>
      <c r="V622" s="353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  <c r="AQ622" s="200"/>
      <c r="AR622" s="200"/>
      <c r="AS622" s="200"/>
    </row>
    <row r="623" spans="1:45" ht="16.5" customHeight="1">
      <c r="A623" s="307"/>
      <c r="B623" s="307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359"/>
      <c r="Q623" s="353"/>
      <c r="R623" s="353"/>
      <c r="S623" s="200"/>
      <c r="T623" s="353"/>
      <c r="U623" s="353"/>
      <c r="V623" s="353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  <c r="AQ623" s="200"/>
      <c r="AR623" s="200"/>
      <c r="AS623" s="200"/>
    </row>
    <row r="624" spans="1:45" ht="16.5" customHeight="1">
      <c r="A624" s="307"/>
      <c r="B624" s="307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359"/>
      <c r="Q624" s="353"/>
      <c r="R624" s="353"/>
      <c r="S624" s="200"/>
      <c r="T624" s="353"/>
      <c r="U624" s="353"/>
      <c r="V624" s="353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  <c r="AQ624" s="200"/>
      <c r="AR624" s="200"/>
      <c r="AS624" s="200"/>
    </row>
    <row r="625" spans="1:45" ht="16.5" customHeight="1">
      <c r="A625" s="307"/>
      <c r="B625" s="307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359"/>
      <c r="Q625" s="353"/>
      <c r="R625" s="353"/>
      <c r="S625" s="200"/>
      <c r="T625" s="353"/>
      <c r="U625" s="353"/>
      <c r="V625" s="353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  <c r="AQ625" s="200"/>
      <c r="AR625" s="200"/>
      <c r="AS625" s="200"/>
    </row>
    <row r="626" spans="1:45" ht="16.5" customHeight="1">
      <c r="A626" s="307"/>
      <c r="B626" s="307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359"/>
      <c r="Q626" s="353"/>
      <c r="R626" s="353"/>
      <c r="S626" s="200"/>
      <c r="T626" s="353"/>
      <c r="U626" s="353"/>
      <c r="V626" s="353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  <c r="AQ626" s="200"/>
      <c r="AR626" s="200"/>
      <c r="AS626" s="200"/>
    </row>
    <row r="627" spans="1:45" ht="16.5" customHeight="1">
      <c r="A627" s="307"/>
      <c r="B627" s="307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359"/>
      <c r="Q627" s="353"/>
      <c r="R627" s="353"/>
      <c r="S627" s="200"/>
      <c r="T627" s="353"/>
      <c r="U627" s="353"/>
      <c r="V627" s="353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  <c r="AQ627" s="200"/>
      <c r="AR627" s="200"/>
      <c r="AS627" s="200"/>
    </row>
    <row r="628" spans="1:45" ht="16.5" customHeight="1">
      <c r="A628" s="307"/>
      <c r="B628" s="307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359"/>
      <c r="Q628" s="353"/>
      <c r="R628" s="353"/>
      <c r="S628" s="200"/>
      <c r="T628" s="353"/>
      <c r="U628" s="353"/>
      <c r="V628" s="353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  <c r="AQ628" s="200"/>
      <c r="AR628" s="200"/>
      <c r="AS628" s="200"/>
    </row>
    <row r="629" spans="1:45" ht="16.5" customHeight="1">
      <c r="A629" s="307"/>
      <c r="B629" s="307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359"/>
      <c r="Q629" s="353"/>
      <c r="R629" s="353"/>
      <c r="S629" s="200"/>
      <c r="T629" s="353"/>
      <c r="U629" s="353"/>
      <c r="V629" s="353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  <c r="AQ629" s="200"/>
      <c r="AR629" s="200"/>
      <c r="AS629" s="200"/>
    </row>
    <row r="630" spans="1:45" ht="16.5" customHeight="1">
      <c r="A630" s="307"/>
      <c r="B630" s="307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359"/>
      <c r="Q630" s="353"/>
      <c r="R630" s="353"/>
      <c r="S630" s="200"/>
      <c r="T630" s="353"/>
      <c r="U630" s="353"/>
      <c r="V630" s="353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  <c r="AQ630" s="200"/>
      <c r="AR630" s="200"/>
      <c r="AS630" s="200"/>
    </row>
    <row r="631" spans="1:45" ht="16.5" customHeight="1">
      <c r="A631" s="307"/>
      <c r="B631" s="307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359"/>
      <c r="Q631" s="353"/>
      <c r="R631" s="353"/>
      <c r="S631" s="200"/>
      <c r="T631" s="353"/>
      <c r="U631" s="353"/>
      <c r="V631" s="353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  <c r="AQ631" s="200"/>
      <c r="AR631" s="200"/>
      <c r="AS631" s="200"/>
    </row>
    <row r="632" spans="1:45" ht="16.5" customHeight="1">
      <c r="A632" s="307"/>
      <c r="B632" s="307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359"/>
      <c r="Q632" s="353"/>
      <c r="R632" s="353"/>
      <c r="S632" s="200"/>
      <c r="T632" s="353"/>
      <c r="U632" s="353"/>
      <c r="V632" s="353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  <c r="AQ632" s="200"/>
      <c r="AR632" s="200"/>
      <c r="AS632" s="200"/>
    </row>
    <row r="633" spans="1:45" ht="16.5" customHeight="1">
      <c r="A633" s="307"/>
      <c r="B633" s="307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359"/>
      <c r="Q633" s="353"/>
      <c r="R633" s="353"/>
      <c r="S633" s="200"/>
      <c r="T633" s="353"/>
      <c r="U633" s="353"/>
      <c r="V633" s="353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  <c r="AQ633" s="200"/>
      <c r="AR633" s="200"/>
      <c r="AS633" s="200"/>
    </row>
    <row r="634" spans="1:45" ht="16.5" customHeight="1">
      <c r="A634" s="307"/>
      <c r="B634" s="307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359"/>
      <c r="Q634" s="353"/>
      <c r="R634" s="353"/>
      <c r="S634" s="200"/>
      <c r="T634" s="353"/>
      <c r="U634" s="353"/>
      <c r="V634" s="353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  <c r="AQ634" s="200"/>
      <c r="AR634" s="200"/>
      <c r="AS634" s="200"/>
    </row>
    <row r="635" spans="1:45" ht="16.5" customHeight="1">
      <c r="A635" s="307"/>
      <c r="B635" s="307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359"/>
      <c r="Q635" s="353"/>
      <c r="R635" s="353"/>
      <c r="S635" s="200"/>
      <c r="T635" s="353"/>
      <c r="U635" s="353"/>
      <c r="V635" s="353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  <c r="AQ635" s="200"/>
      <c r="AR635" s="200"/>
      <c r="AS635" s="200"/>
    </row>
    <row r="636" spans="1:45" ht="16.5" customHeight="1">
      <c r="A636" s="307"/>
      <c r="B636" s="307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359"/>
      <c r="Q636" s="353"/>
      <c r="R636" s="353"/>
      <c r="S636" s="200"/>
      <c r="T636" s="353"/>
      <c r="U636" s="353"/>
      <c r="V636" s="353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  <c r="AQ636" s="200"/>
      <c r="AR636" s="200"/>
      <c r="AS636" s="200"/>
    </row>
    <row r="637" spans="1:45" ht="16.5" customHeight="1">
      <c r="A637" s="307"/>
      <c r="B637" s="307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359"/>
      <c r="Q637" s="353"/>
      <c r="R637" s="353"/>
      <c r="S637" s="200"/>
      <c r="T637" s="353"/>
      <c r="U637" s="353"/>
      <c r="V637" s="353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  <c r="AQ637" s="200"/>
      <c r="AR637" s="200"/>
      <c r="AS637" s="200"/>
    </row>
    <row r="638" spans="1:45" ht="16.5" customHeight="1">
      <c r="A638" s="307"/>
      <c r="B638" s="307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359"/>
      <c r="Q638" s="353"/>
      <c r="R638" s="353"/>
      <c r="S638" s="200"/>
      <c r="T638" s="353"/>
      <c r="U638" s="353"/>
      <c r="V638" s="353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  <c r="AQ638" s="200"/>
      <c r="AR638" s="200"/>
      <c r="AS638" s="200"/>
    </row>
    <row r="639" spans="1:45" ht="16.5" customHeight="1">
      <c r="A639" s="307"/>
      <c r="B639" s="307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359"/>
      <c r="Q639" s="353"/>
      <c r="R639" s="353"/>
      <c r="S639" s="200"/>
      <c r="T639" s="353"/>
      <c r="U639" s="353"/>
      <c r="V639" s="353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  <c r="AQ639" s="200"/>
      <c r="AR639" s="200"/>
      <c r="AS639" s="200"/>
    </row>
    <row r="640" spans="1:45" ht="16.5" customHeight="1">
      <c r="A640" s="307"/>
      <c r="B640" s="307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359"/>
      <c r="Q640" s="353"/>
      <c r="R640" s="353"/>
      <c r="S640" s="200"/>
      <c r="T640" s="353"/>
      <c r="U640" s="353"/>
      <c r="V640" s="353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  <c r="AQ640" s="200"/>
      <c r="AR640" s="200"/>
      <c r="AS640" s="200"/>
    </row>
    <row r="641" spans="1:45" ht="16.5" customHeight="1">
      <c r="A641" s="307"/>
      <c r="B641" s="307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359"/>
      <c r="Q641" s="353"/>
      <c r="R641" s="353"/>
      <c r="S641" s="200"/>
      <c r="T641" s="353"/>
      <c r="U641" s="353"/>
      <c r="V641" s="353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  <c r="AQ641" s="200"/>
      <c r="AR641" s="200"/>
      <c r="AS641" s="200"/>
    </row>
    <row r="642" spans="1:45" ht="16.5" customHeight="1">
      <c r="A642" s="307"/>
      <c r="B642" s="307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359"/>
      <c r="Q642" s="353"/>
      <c r="R642" s="353"/>
      <c r="S642" s="200"/>
      <c r="T642" s="353"/>
      <c r="U642" s="353"/>
      <c r="V642" s="353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  <c r="AQ642" s="200"/>
      <c r="AR642" s="200"/>
      <c r="AS642" s="200"/>
    </row>
    <row r="643" spans="1:45" ht="16.5" customHeight="1">
      <c r="A643" s="307"/>
      <c r="B643" s="307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359"/>
      <c r="Q643" s="353"/>
      <c r="R643" s="353"/>
      <c r="S643" s="200"/>
      <c r="T643" s="353"/>
      <c r="U643" s="353"/>
      <c r="V643" s="353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  <c r="AQ643" s="200"/>
      <c r="AR643" s="200"/>
      <c r="AS643" s="200"/>
    </row>
    <row r="644" spans="1:45" ht="16.5" customHeight="1">
      <c r="A644" s="307"/>
      <c r="B644" s="307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359"/>
      <c r="Q644" s="353"/>
      <c r="R644" s="353"/>
      <c r="S644" s="200"/>
      <c r="T644" s="353"/>
      <c r="U644" s="353"/>
      <c r="V644" s="353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</row>
    <row r="645" spans="1:45" ht="16.5" customHeight="1">
      <c r="A645" s="307"/>
      <c r="B645" s="307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359"/>
      <c r="Q645" s="353"/>
      <c r="R645" s="353"/>
      <c r="S645" s="200"/>
      <c r="T645" s="353"/>
      <c r="U645" s="353"/>
      <c r="V645" s="353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  <c r="AQ645" s="200"/>
      <c r="AR645" s="200"/>
      <c r="AS645" s="200"/>
    </row>
    <row r="646" spans="1:45" ht="16.5" customHeight="1">
      <c r="A646" s="307"/>
      <c r="B646" s="307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359"/>
      <c r="Q646" s="353"/>
      <c r="R646" s="353"/>
      <c r="S646" s="200"/>
      <c r="T646" s="353"/>
      <c r="U646" s="353"/>
      <c r="V646" s="353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  <c r="AQ646" s="200"/>
      <c r="AR646" s="200"/>
      <c r="AS646" s="200"/>
    </row>
    <row r="647" spans="1:45" ht="16.5" customHeight="1">
      <c r="A647" s="307"/>
      <c r="B647" s="307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359"/>
      <c r="Q647" s="353"/>
      <c r="R647" s="353"/>
      <c r="S647" s="200"/>
      <c r="T647" s="353"/>
      <c r="U647" s="353"/>
      <c r="V647" s="353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  <c r="AQ647" s="200"/>
      <c r="AR647" s="200"/>
      <c r="AS647" s="200"/>
    </row>
    <row r="648" spans="1:45" ht="16.5" customHeight="1">
      <c r="A648" s="307"/>
      <c r="B648" s="307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359"/>
      <c r="Q648" s="353"/>
      <c r="R648" s="353"/>
      <c r="S648" s="200"/>
      <c r="T648" s="353"/>
      <c r="U648" s="353"/>
      <c r="V648" s="353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  <c r="AQ648" s="200"/>
      <c r="AR648" s="200"/>
      <c r="AS648" s="200"/>
    </row>
    <row r="649" spans="1:45" ht="16.5" customHeight="1">
      <c r="A649" s="307"/>
      <c r="B649" s="307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359"/>
      <c r="Q649" s="353"/>
      <c r="R649" s="353"/>
      <c r="S649" s="200"/>
      <c r="T649" s="353"/>
      <c r="U649" s="353"/>
      <c r="V649" s="353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  <c r="AQ649" s="200"/>
      <c r="AR649" s="200"/>
      <c r="AS649" s="200"/>
    </row>
    <row r="650" spans="1:45" ht="16.5" customHeight="1">
      <c r="A650" s="307"/>
      <c r="B650" s="307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359"/>
      <c r="Q650" s="353"/>
      <c r="R650" s="353"/>
      <c r="S650" s="200"/>
      <c r="T650" s="353"/>
      <c r="U650" s="353"/>
      <c r="V650" s="353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  <c r="AQ650" s="200"/>
      <c r="AR650" s="200"/>
      <c r="AS650" s="200"/>
    </row>
    <row r="651" spans="1:45" ht="16.5" customHeight="1">
      <c r="A651" s="307"/>
      <c r="B651" s="307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359"/>
      <c r="Q651" s="353"/>
      <c r="R651" s="353"/>
      <c r="S651" s="200"/>
      <c r="T651" s="353"/>
      <c r="U651" s="353"/>
      <c r="V651" s="353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</row>
    <row r="652" spans="1:45" ht="16.5" customHeight="1">
      <c r="A652" s="307"/>
      <c r="B652" s="307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359"/>
      <c r="Q652" s="353"/>
      <c r="R652" s="353"/>
      <c r="S652" s="200"/>
      <c r="T652" s="353"/>
      <c r="U652" s="353"/>
      <c r="V652" s="353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  <c r="AQ652" s="200"/>
      <c r="AR652" s="200"/>
      <c r="AS652" s="200"/>
    </row>
    <row r="653" spans="1:45" ht="16.5" customHeight="1">
      <c r="A653" s="307"/>
      <c r="B653" s="307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359"/>
      <c r="Q653" s="353"/>
      <c r="R653" s="353"/>
      <c r="S653" s="200"/>
      <c r="T653" s="353"/>
      <c r="U653" s="353"/>
      <c r="V653" s="353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  <c r="AQ653" s="200"/>
      <c r="AR653" s="200"/>
      <c r="AS653" s="200"/>
    </row>
    <row r="654" spans="1:45" ht="16.5" customHeight="1">
      <c r="A654" s="307"/>
      <c r="B654" s="307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359"/>
      <c r="Q654" s="353"/>
      <c r="R654" s="353"/>
      <c r="S654" s="200"/>
      <c r="T654" s="353"/>
      <c r="U654" s="353"/>
      <c r="V654" s="353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  <c r="AQ654" s="200"/>
      <c r="AR654" s="200"/>
      <c r="AS654" s="200"/>
    </row>
    <row r="655" spans="1:45" ht="16.5" customHeight="1">
      <c r="A655" s="307"/>
      <c r="B655" s="307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359"/>
      <c r="Q655" s="353"/>
      <c r="R655" s="353"/>
      <c r="S655" s="200"/>
      <c r="T655" s="353"/>
      <c r="U655" s="353"/>
      <c r="V655" s="353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  <c r="AQ655" s="200"/>
      <c r="AR655" s="200"/>
      <c r="AS655" s="200"/>
    </row>
    <row r="656" spans="1:45" ht="16.5" customHeight="1">
      <c r="A656" s="307"/>
      <c r="B656" s="307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359"/>
      <c r="Q656" s="353"/>
      <c r="R656" s="353"/>
      <c r="S656" s="200"/>
      <c r="T656" s="353"/>
      <c r="U656" s="353"/>
      <c r="V656" s="353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  <c r="AQ656" s="200"/>
      <c r="AR656" s="200"/>
      <c r="AS656" s="200"/>
    </row>
    <row r="657" spans="1:45" ht="16.5" customHeight="1">
      <c r="A657" s="307"/>
      <c r="B657" s="307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359"/>
      <c r="Q657" s="353"/>
      <c r="R657" s="353"/>
      <c r="S657" s="200"/>
      <c r="T657" s="353"/>
      <c r="U657" s="353"/>
      <c r="V657" s="353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  <c r="AQ657" s="200"/>
      <c r="AR657" s="200"/>
      <c r="AS657" s="200"/>
    </row>
    <row r="658" spans="1:45" ht="16.5" customHeight="1">
      <c r="A658" s="307"/>
      <c r="B658" s="307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359"/>
      <c r="Q658" s="353"/>
      <c r="R658" s="353"/>
      <c r="S658" s="200"/>
      <c r="T658" s="353"/>
      <c r="U658" s="353"/>
      <c r="V658" s="353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  <c r="AQ658" s="200"/>
      <c r="AR658" s="200"/>
      <c r="AS658" s="200"/>
    </row>
    <row r="659" spans="1:45" ht="16.5" customHeight="1">
      <c r="A659" s="307"/>
      <c r="B659" s="307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359"/>
      <c r="Q659" s="353"/>
      <c r="R659" s="353"/>
      <c r="S659" s="200"/>
      <c r="T659" s="353"/>
      <c r="U659" s="353"/>
      <c r="V659" s="353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</row>
    <row r="660" spans="1:45" ht="16.5" customHeight="1">
      <c r="A660" s="307"/>
      <c r="B660" s="307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359"/>
      <c r="Q660" s="353"/>
      <c r="R660" s="353"/>
      <c r="S660" s="200"/>
      <c r="T660" s="353"/>
      <c r="U660" s="353"/>
      <c r="V660" s="353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  <c r="AQ660" s="200"/>
      <c r="AR660" s="200"/>
      <c r="AS660" s="200"/>
    </row>
    <row r="661" spans="1:45" ht="16.5" customHeight="1">
      <c r="A661" s="307"/>
      <c r="B661" s="307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359"/>
      <c r="Q661" s="353"/>
      <c r="R661" s="353"/>
      <c r="S661" s="200"/>
      <c r="T661" s="353"/>
      <c r="U661" s="353"/>
      <c r="V661" s="353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  <c r="AQ661" s="200"/>
      <c r="AR661" s="200"/>
      <c r="AS661" s="200"/>
    </row>
    <row r="662" spans="1:45" ht="16.5" customHeight="1">
      <c r="A662" s="307"/>
      <c r="B662" s="307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359"/>
      <c r="Q662" s="353"/>
      <c r="R662" s="353"/>
      <c r="S662" s="200"/>
      <c r="T662" s="353"/>
      <c r="U662" s="353"/>
      <c r="V662" s="353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</row>
    <row r="663" spans="1:45" ht="16.5" customHeight="1">
      <c r="A663" s="307"/>
      <c r="B663" s="307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359"/>
      <c r="Q663" s="353"/>
      <c r="R663" s="353"/>
      <c r="S663" s="200"/>
      <c r="T663" s="353"/>
      <c r="U663" s="353"/>
      <c r="V663" s="353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  <c r="AQ663" s="200"/>
      <c r="AR663" s="200"/>
      <c r="AS663" s="200"/>
    </row>
    <row r="664" spans="1:45" ht="16.5" customHeight="1">
      <c r="A664" s="307"/>
      <c r="B664" s="307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359"/>
      <c r="Q664" s="353"/>
      <c r="R664" s="353"/>
      <c r="S664" s="200"/>
      <c r="T664" s="353"/>
      <c r="U664" s="353"/>
      <c r="V664" s="353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  <c r="AQ664" s="200"/>
      <c r="AR664" s="200"/>
      <c r="AS664" s="200"/>
    </row>
    <row r="665" spans="1:45" ht="16.5" customHeight="1">
      <c r="A665" s="307"/>
      <c r="B665" s="307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359"/>
      <c r="Q665" s="353"/>
      <c r="R665" s="353"/>
      <c r="S665" s="200"/>
      <c r="T665" s="353"/>
      <c r="U665" s="353"/>
      <c r="V665" s="353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</row>
    <row r="666" spans="1:45" ht="16.5" customHeight="1">
      <c r="A666" s="307"/>
      <c r="B666" s="307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359"/>
      <c r="Q666" s="353"/>
      <c r="R666" s="353"/>
      <c r="S666" s="200"/>
      <c r="T666" s="353"/>
      <c r="U666" s="353"/>
      <c r="V666" s="353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  <c r="AQ666" s="200"/>
      <c r="AR666" s="200"/>
      <c r="AS666" s="200"/>
    </row>
    <row r="667" spans="1:45" ht="16.5" customHeight="1">
      <c r="A667" s="307"/>
      <c r="B667" s="307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359"/>
      <c r="Q667" s="353"/>
      <c r="R667" s="353"/>
      <c r="S667" s="200"/>
      <c r="T667" s="353"/>
      <c r="U667" s="353"/>
      <c r="V667" s="353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  <c r="AQ667" s="200"/>
      <c r="AR667" s="200"/>
      <c r="AS667" s="200"/>
    </row>
    <row r="668" spans="1:45" ht="16.5" customHeight="1">
      <c r="A668" s="307"/>
      <c r="B668" s="307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359"/>
      <c r="Q668" s="353"/>
      <c r="R668" s="353"/>
      <c r="S668" s="200"/>
      <c r="T668" s="353"/>
      <c r="U668" s="353"/>
      <c r="V668" s="353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  <c r="AQ668" s="200"/>
      <c r="AR668" s="200"/>
      <c r="AS668" s="200"/>
    </row>
    <row r="669" spans="1:45" ht="16.5" customHeight="1">
      <c r="A669" s="307"/>
      <c r="B669" s="307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359"/>
      <c r="Q669" s="353"/>
      <c r="R669" s="353"/>
      <c r="S669" s="200"/>
      <c r="T669" s="353"/>
      <c r="U669" s="353"/>
      <c r="V669" s="353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  <c r="AQ669" s="200"/>
      <c r="AR669" s="200"/>
      <c r="AS669" s="200"/>
    </row>
    <row r="670" spans="1:45" ht="16.5" customHeight="1">
      <c r="A670" s="307"/>
      <c r="B670" s="307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359"/>
      <c r="Q670" s="353"/>
      <c r="R670" s="353"/>
      <c r="S670" s="200"/>
      <c r="T670" s="353"/>
      <c r="U670" s="353"/>
      <c r="V670" s="353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  <c r="AQ670" s="200"/>
      <c r="AR670" s="200"/>
      <c r="AS670" s="200"/>
    </row>
    <row r="671" spans="1:45" ht="16.5" customHeight="1">
      <c r="A671" s="307"/>
      <c r="B671" s="307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359"/>
      <c r="Q671" s="353"/>
      <c r="R671" s="353"/>
      <c r="S671" s="200"/>
      <c r="T671" s="353"/>
      <c r="U671" s="353"/>
      <c r="V671" s="353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</row>
    <row r="672" spans="1:45" ht="16.5" customHeight="1">
      <c r="A672" s="307"/>
      <c r="B672" s="307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359"/>
      <c r="Q672" s="353"/>
      <c r="R672" s="353"/>
      <c r="S672" s="200"/>
      <c r="T672" s="353"/>
      <c r="U672" s="353"/>
      <c r="V672" s="353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  <c r="AQ672" s="200"/>
      <c r="AR672" s="200"/>
      <c r="AS672" s="200"/>
    </row>
    <row r="673" spans="1:45" ht="16.5" customHeight="1">
      <c r="A673" s="307"/>
      <c r="B673" s="307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359"/>
      <c r="Q673" s="353"/>
      <c r="R673" s="353"/>
      <c r="S673" s="200"/>
      <c r="T673" s="353"/>
      <c r="U673" s="353"/>
      <c r="V673" s="353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  <c r="AQ673" s="200"/>
      <c r="AR673" s="200"/>
      <c r="AS673" s="200"/>
    </row>
    <row r="674" spans="1:45" ht="16.5" customHeight="1">
      <c r="A674" s="307"/>
      <c r="B674" s="307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359"/>
      <c r="Q674" s="353"/>
      <c r="R674" s="353"/>
      <c r="S674" s="200"/>
      <c r="T674" s="353"/>
      <c r="U674" s="353"/>
      <c r="V674" s="353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  <c r="AQ674" s="200"/>
      <c r="AR674" s="200"/>
      <c r="AS674" s="200"/>
    </row>
    <row r="675" spans="1:45" ht="16.5" customHeight="1">
      <c r="A675" s="307"/>
      <c r="B675" s="307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359"/>
      <c r="Q675" s="353"/>
      <c r="R675" s="353"/>
      <c r="S675" s="200"/>
      <c r="T675" s="353"/>
      <c r="U675" s="353"/>
      <c r="V675" s="353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  <c r="AQ675" s="200"/>
      <c r="AR675" s="200"/>
      <c r="AS675" s="200"/>
    </row>
    <row r="676" spans="1:45" ht="16.5" customHeight="1">
      <c r="A676" s="307"/>
      <c r="B676" s="307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359"/>
      <c r="Q676" s="353"/>
      <c r="R676" s="353"/>
      <c r="S676" s="200"/>
      <c r="T676" s="353"/>
      <c r="U676" s="353"/>
      <c r="V676" s="353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  <c r="AQ676" s="200"/>
      <c r="AR676" s="200"/>
      <c r="AS676" s="200"/>
    </row>
    <row r="677" spans="1:45" ht="16.5" customHeight="1">
      <c r="A677" s="307"/>
      <c r="B677" s="307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359"/>
      <c r="Q677" s="353"/>
      <c r="R677" s="353"/>
      <c r="S677" s="200"/>
      <c r="T677" s="353"/>
      <c r="U677" s="353"/>
      <c r="V677" s="353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  <c r="AQ677" s="200"/>
      <c r="AR677" s="200"/>
      <c r="AS677" s="200"/>
    </row>
    <row r="678" spans="1:45" ht="16.5" customHeight="1">
      <c r="A678" s="307"/>
      <c r="B678" s="307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359"/>
      <c r="Q678" s="353"/>
      <c r="R678" s="353"/>
      <c r="S678" s="200"/>
      <c r="T678" s="353"/>
      <c r="U678" s="353"/>
      <c r="V678" s="353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  <c r="AQ678" s="200"/>
      <c r="AR678" s="200"/>
      <c r="AS678" s="200"/>
    </row>
    <row r="679" spans="1:45" ht="16.5" customHeight="1">
      <c r="A679" s="307"/>
      <c r="B679" s="307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359"/>
      <c r="Q679" s="353"/>
      <c r="R679" s="353"/>
      <c r="S679" s="200"/>
      <c r="T679" s="353"/>
      <c r="U679" s="353"/>
      <c r="V679" s="353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  <c r="AQ679" s="200"/>
      <c r="AR679" s="200"/>
      <c r="AS679" s="200"/>
    </row>
    <row r="680" spans="1:45" ht="16.5" customHeight="1">
      <c r="A680" s="307"/>
      <c r="B680" s="307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359"/>
      <c r="Q680" s="353"/>
      <c r="R680" s="353"/>
      <c r="S680" s="200"/>
      <c r="T680" s="353"/>
      <c r="U680" s="353"/>
      <c r="V680" s="353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  <c r="AQ680" s="200"/>
      <c r="AR680" s="200"/>
      <c r="AS680" s="200"/>
    </row>
    <row r="681" spans="1:45" ht="16.5" customHeight="1">
      <c r="A681" s="307"/>
      <c r="B681" s="307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359"/>
      <c r="Q681" s="353"/>
      <c r="R681" s="353"/>
      <c r="S681" s="200"/>
      <c r="T681" s="353"/>
      <c r="U681" s="353"/>
      <c r="V681" s="353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</row>
    <row r="682" spans="1:45" ht="16.5" customHeight="1">
      <c r="A682" s="307"/>
      <c r="B682" s="307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359"/>
      <c r="Q682" s="353"/>
      <c r="R682" s="353"/>
      <c r="S682" s="200"/>
      <c r="T682" s="353"/>
      <c r="U682" s="353"/>
      <c r="V682" s="353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  <c r="AQ682" s="200"/>
      <c r="AR682" s="200"/>
      <c r="AS682" s="200"/>
    </row>
    <row r="683" spans="1:45" ht="16.5" customHeight="1">
      <c r="A683" s="307"/>
      <c r="B683" s="307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359"/>
      <c r="Q683" s="353"/>
      <c r="R683" s="353"/>
      <c r="S683" s="200"/>
      <c r="T683" s="353"/>
      <c r="U683" s="353"/>
      <c r="V683" s="353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  <c r="AQ683" s="200"/>
      <c r="AR683" s="200"/>
      <c r="AS683" s="200"/>
    </row>
    <row r="684" spans="1:45" ht="16.5" customHeight="1">
      <c r="A684" s="307"/>
      <c r="B684" s="307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359"/>
      <c r="Q684" s="353"/>
      <c r="R684" s="353"/>
      <c r="S684" s="200"/>
      <c r="T684" s="353"/>
      <c r="U684" s="353"/>
      <c r="V684" s="353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  <c r="AQ684" s="200"/>
      <c r="AR684" s="200"/>
      <c r="AS684" s="200"/>
    </row>
    <row r="685" spans="1:45" ht="16.5" customHeight="1">
      <c r="A685" s="307"/>
      <c r="B685" s="307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359"/>
      <c r="Q685" s="353"/>
      <c r="R685" s="353"/>
      <c r="S685" s="200"/>
      <c r="T685" s="353"/>
      <c r="U685" s="353"/>
      <c r="V685" s="353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  <c r="AQ685" s="200"/>
      <c r="AR685" s="200"/>
      <c r="AS685" s="200"/>
    </row>
    <row r="686" spans="1:45" ht="16.5" customHeight="1">
      <c r="A686" s="307"/>
      <c r="B686" s="307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359"/>
      <c r="Q686" s="353"/>
      <c r="R686" s="353"/>
      <c r="S686" s="200"/>
      <c r="T686" s="353"/>
      <c r="U686" s="353"/>
      <c r="V686" s="353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  <c r="AQ686" s="200"/>
      <c r="AR686" s="200"/>
      <c r="AS686" s="200"/>
    </row>
    <row r="687" spans="1:45" ht="16.5" customHeight="1">
      <c r="A687" s="307"/>
      <c r="B687" s="307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359"/>
      <c r="Q687" s="353"/>
      <c r="R687" s="353"/>
      <c r="S687" s="200"/>
      <c r="T687" s="353"/>
      <c r="U687" s="353"/>
      <c r="V687" s="353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  <c r="AQ687" s="200"/>
      <c r="AR687" s="200"/>
      <c r="AS687" s="200"/>
    </row>
    <row r="688" spans="1:45" ht="16.5" customHeight="1">
      <c r="A688" s="307"/>
      <c r="B688" s="307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359"/>
      <c r="Q688" s="353"/>
      <c r="R688" s="353"/>
      <c r="S688" s="200"/>
      <c r="T688" s="353"/>
      <c r="U688" s="353"/>
      <c r="V688" s="353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  <c r="AQ688" s="200"/>
      <c r="AR688" s="200"/>
      <c r="AS688" s="200"/>
    </row>
    <row r="689" spans="1:45" ht="16.5" customHeight="1">
      <c r="A689" s="307"/>
      <c r="B689" s="307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359"/>
      <c r="Q689" s="353"/>
      <c r="R689" s="353"/>
      <c r="S689" s="200"/>
      <c r="T689" s="353"/>
      <c r="U689" s="353"/>
      <c r="V689" s="353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  <c r="AQ689" s="200"/>
      <c r="AR689" s="200"/>
      <c r="AS689" s="200"/>
    </row>
    <row r="690" spans="1:45" ht="16.5" customHeight="1">
      <c r="A690" s="307"/>
      <c r="B690" s="307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359"/>
      <c r="Q690" s="353"/>
      <c r="R690" s="353"/>
      <c r="S690" s="200"/>
      <c r="T690" s="353"/>
      <c r="U690" s="353"/>
      <c r="V690" s="353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  <c r="AQ690" s="200"/>
      <c r="AR690" s="200"/>
      <c r="AS690" s="200"/>
    </row>
    <row r="691" spans="1:45" ht="16.5" customHeight="1">
      <c r="A691" s="307"/>
      <c r="B691" s="307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359"/>
      <c r="Q691" s="353"/>
      <c r="R691" s="353"/>
      <c r="S691" s="200"/>
      <c r="T691" s="353"/>
      <c r="U691" s="353"/>
      <c r="V691" s="353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  <c r="AQ691" s="200"/>
      <c r="AR691" s="200"/>
      <c r="AS691" s="200"/>
    </row>
    <row r="692" spans="1:45" ht="16.5" customHeight="1">
      <c r="A692" s="307"/>
      <c r="B692" s="307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359"/>
      <c r="Q692" s="353"/>
      <c r="R692" s="353"/>
      <c r="S692" s="200"/>
      <c r="T692" s="353"/>
      <c r="U692" s="353"/>
      <c r="V692" s="353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  <c r="AQ692" s="200"/>
      <c r="AR692" s="200"/>
      <c r="AS692" s="200"/>
    </row>
    <row r="693" spans="1:45" ht="16.5" customHeight="1">
      <c r="A693" s="307"/>
      <c r="B693" s="307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359"/>
      <c r="Q693" s="353"/>
      <c r="R693" s="353"/>
      <c r="S693" s="200"/>
      <c r="T693" s="353"/>
      <c r="U693" s="353"/>
      <c r="V693" s="353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  <c r="AQ693" s="200"/>
      <c r="AR693" s="200"/>
      <c r="AS693" s="200"/>
    </row>
    <row r="694" spans="1:45" ht="16.5" customHeight="1">
      <c r="A694" s="307"/>
      <c r="B694" s="307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359"/>
      <c r="Q694" s="353"/>
      <c r="R694" s="353"/>
      <c r="S694" s="200"/>
      <c r="T694" s="353"/>
      <c r="U694" s="353"/>
      <c r="V694" s="353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  <c r="AQ694" s="200"/>
      <c r="AR694" s="200"/>
      <c r="AS694" s="200"/>
    </row>
    <row r="695" spans="1:45" ht="16.5" customHeight="1">
      <c r="A695" s="307"/>
      <c r="B695" s="307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359"/>
      <c r="Q695" s="353"/>
      <c r="R695" s="353"/>
      <c r="S695" s="200"/>
      <c r="T695" s="353"/>
      <c r="U695" s="353"/>
      <c r="V695" s="353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  <c r="AQ695" s="200"/>
      <c r="AR695" s="200"/>
      <c r="AS695" s="200"/>
    </row>
    <row r="696" spans="1:45" ht="16.5" customHeight="1">
      <c r="A696" s="307"/>
      <c r="B696" s="307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359"/>
      <c r="Q696" s="353"/>
      <c r="R696" s="353"/>
      <c r="S696" s="200"/>
      <c r="T696" s="353"/>
      <c r="U696" s="353"/>
      <c r="V696" s="353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  <c r="AQ696" s="200"/>
      <c r="AR696" s="200"/>
      <c r="AS696" s="200"/>
    </row>
    <row r="697" spans="1:45" ht="16.5" customHeight="1">
      <c r="A697" s="307"/>
      <c r="B697" s="307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359"/>
      <c r="Q697" s="353"/>
      <c r="R697" s="353"/>
      <c r="S697" s="200"/>
      <c r="T697" s="353"/>
      <c r="U697" s="353"/>
      <c r="V697" s="353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  <c r="AQ697" s="200"/>
      <c r="AR697" s="200"/>
      <c r="AS697" s="200"/>
    </row>
    <row r="698" spans="1:45" ht="16.5" customHeight="1">
      <c r="A698" s="307"/>
      <c r="B698" s="307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359"/>
      <c r="Q698" s="353"/>
      <c r="R698" s="353"/>
      <c r="S698" s="200"/>
      <c r="T698" s="353"/>
      <c r="U698" s="353"/>
      <c r="V698" s="353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  <c r="AQ698" s="200"/>
      <c r="AR698" s="200"/>
      <c r="AS698" s="200"/>
    </row>
    <row r="699" spans="1:45" ht="16.5" customHeight="1">
      <c r="A699" s="307"/>
      <c r="B699" s="307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359"/>
      <c r="Q699" s="353"/>
      <c r="R699" s="353"/>
      <c r="S699" s="200"/>
      <c r="T699" s="353"/>
      <c r="U699" s="353"/>
      <c r="V699" s="353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  <c r="AQ699" s="200"/>
      <c r="AR699" s="200"/>
      <c r="AS699" s="200"/>
    </row>
    <row r="700" spans="1:45" ht="16.5" customHeight="1">
      <c r="A700" s="307"/>
      <c r="B700" s="307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359"/>
      <c r="Q700" s="353"/>
      <c r="R700" s="353"/>
      <c r="S700" s="200"/>
      <c r="T700" s="353"/>
      <c r="U700" s="353"/>
      <c r="V700" s="353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  <c r="AQ700" s="200"/>
      <c r="AR700" s="200"/>
      <c r="AS700" s="200"/>
    </row>
    <row r="701" spans="1:45" ht="16.5" customHeight="1">
      <c r="A701" s="307"/>
      <c r="B701" s="307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359"/>
      <c r="Q701" s="353"/>
      <c r="R701" s="353"/>
      <c r="S701" s="200"/>
      <c r="T701" s="353"/>
      <c r="U701" s="353"/>
      <c r="V701" s="353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  <c r="AQ701" s="200"/>
      <c r="AR701" s="200"/>
      <c r="AS701" s="200"/>
    </row>
    <row r="702" spans="1:45" ht="16.5" customHeight="1">
      <c r="A702" s="307"/>
      <c r="B702" s="307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359"/>
      <c r="Q702" s="353"/>
      <c r="R702" s="353"/>
      <c r="S702" s="200"/>
      <c r="T702" s="353"/>
      <c r="U702" s="353"/>
      <c r="V702" s="353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  <c r="AQ702" s="200"/>
      <c r="AR702" s="200"/>
      <c r="AS702" s="200"/>
    </row>
    <row r="703" spans="1:45" ht="16.5" customHeight="1">
      <c r="A703" s="307"/>
      <c r="B703" s="307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359"/>
      <c r="Q703" s="353"/>
      <c r="R703" s="353"/>
      <c r="S703" s="200"/>
      <c r="T703" s="353"/>
      <c r="U703" s="353"/>
      <c r="V703" s="353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  <c r="AQ703" s="200"/>
      <c r="AR703" s="200"/>
      <c r="AS703" s="200"/>
    </row>
    <row r="704" spans="1:45" ht="16.5" customHeight="1">
      <c r="A704" s="307"/>
      <c r="B704" s="307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359"/>
      <c r="Q704" s="353"/>
      <c r="R704" s="353"/>
      <c r="S704" s="200"/>
      <c r="T704" s="353"/>
      <c r="U704" s="353"/>
      <c r="V704" s="353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  <c r="AQ704" s="200"/>
      <c r="AR704" s="200"/>
      <c r="AS704" s="200"/>
    </row>
    <row r="705" spans="1:45" ht="16.5" customHeight="1">
      <c r="A705" s="307"/>
      <c r="B705" s="307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359"/>
      <c r="Q705" s="353"/>
      <c r="R705" s="353"/>
      <c r="S705" s="200"/>
      <c r="T705" s="353"/>
      <c r="U705" s="353"/>
      <c r="V705" s="353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  <c r="AQ705" s="200"/>
      <c r="AR705" s="200"/>
      <c r="AS705" s="200"/>
    </row>
    <row r="706" spans="1:45" ht="16.5" customHeight="1">
      <c r="A706" s="307"/>
      <c r="B706" s="307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359"/>
      <c r="Q706" s="353"/>
      <c r="R706" s="353"/>
      <c r="S706" s="200"/>
      <c r="T706" s="353"/>
      <c r="U706" s="353"/>
      <c r="V706" s="353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  <c r="AQ706" s="200"/>
      <c r="AR706" s="200"/>
      <c r="AS706" s="200"/>
    </row>
    <row r="707" spans="1:45" ht="16.5" customHeight="1">
      <c r="A707" s="307"/>
      <c r="B707" s="307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359"/>
      <c r="Q707" s="353"/>
      <c r="R707" s="353"/>
      <c r="S707" s="200"/>
      <c r="T707" s="353"/>
      <c r="U707" s="353"/>
      <c r="V707" s="353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  <c r="AQ707" s="200"/>
      <c r="AR707" s="200"/>
      <c r="AS707" s="200"/>
    </row>
    <row r="708" spans="1:45" ht="16.5" customHeight="1">
      <c r="A708" s="307"/>
      <c r="B708" s="307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359"/>
      <c r="Q708" s="353"/>
      <c r="R708" s="353"/>
      <c r="S708" s="200"/>
      <c r="T708" s="353"/>
      <c r="U708" s="353"/>
      <c r="V708" s="353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  <c r="AQ708" s="200"/>
      <c r="AR708" s="200"/>
      <c r="AS708" s="200"/>
    </row>
    <row r="709" spans="1:45" ht="16.5" customHeight="1">
      <c r="A709" s="307"/>
      <c r="B709" s="307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359"/>
      <c r="Q709" s="353"/>
      <c r="R709" s="353"/>
      <c r="S709" s="200"/>
      <c r="T709" s="353"/>
      <c r="U709" s="353"/>
      <c r="V709" s="353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  <c r="AQ709" s="200"/>
      <c r="AR709" s="200"/>
      <c r="AS709" s="200"/>
    </row>
    <row r="710" spans="1:45" ht="16.5" customHeight="1">
      <c r="A710" s="307"/>
      <c r="B710" s="307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359"/>
      <c r="Q710" s="353"/>
      <c r="R710" s="353"/>
      <c r="S710" s="200"/>
      <c r="T710" s="353"/>
      <c r="U710" s="353"/>
      <c r="V710" s="353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  <c r="AQ710" s="200"/>
      <c r="AR710" s="200"/>
      <c r="AS710" s="200"/>
    </row>
    <row r="711" spans="1:45" ht="16.5" customHeight="1">
      <c r="A711" s="307"/>
      <c r="B711" s="307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359"/>
      <c r="Q711" s="353"/>
      <c r="R711" s="353"/>
      <c r="S711" s="200"/>
      <c r="T711" s="353"/>
      <c r="U711" s="353"/>
      <c r="V711" s="353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  <c r="AQ711" s="200"/>
      <c r="AR711" s="200"/>
      <c r="AS711" s="200"/>
    </row>
    <row r="712" spans="1:45" ht="16.5" customHeight="1">
      <c r="A712" s="307"/>
      <c r="B712" s="307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359"/>
      <c r="Q712" s="353"/>
      <c r="R712" s="353"/>
      <c r="S712" s="200"/>
      <c r="T712" s="353"/>
      <c r="U712" s="353"/>
      <c r="V712" s="353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  <c r="AQ712" s="200"/>
      <c r="AR712" s="200"/>
      <c r="AS712" s="200"/>
    </row>
    <row r="713" spans="1:45" ht="16.5" customHeight="1">
      <c r="A713" s="307"/>
      <c r="B713" s="307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359"/>
      <c r="Q713" s="353"/>
      <c r="R713" s="353"/>
      <c r="S713" s="200"/>
      <c r="T713" s="353"/>
      <c r="U713" s="353"/>
      <c r="V713" s="353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  <c r="AQ713" s="200"/>
      <c r="AR713" s="200"/>
      <c r="AS713" s="200"/>
    </row>
    <row r="714" spans="1:45" ht="16.5" customHeight="1">
      <c r="A714" s="307"/>
      <c r="B714" s="307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359"/>
      <c r="Q714" s="353"/>
      <c r="R714" s="353"/>
      <c r="S714" s="200"/>
      <c r="T714" s="353"/>
      <c r="U714" s="353"/>
      <c r="V714" s="353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  <c r="AQ714" s="200"/>
      <c r="AR714" s="200"/>
      <c r="AS714" s="200"/>
    </row>
    <row r="715" spans="1:45" ht="16.5" customHeight="1">
      <c r="A715" s="307"/>
      <c r="B715" s="307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359"/>
      <c r="Q715" s="353"/>
      <c r="R715" s="353"/>
      <c r="S715" s="200"/>
      <c r="T715" s="353"/>
      <c r="U715" s="353"/>
      <c r="V715" s="353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  <c r="AQ715" s="200"/>
      <c r="AR715" s="200"/>
      <c r="AS715" s="200"/>
    </row>
    <row r="716" spans="1:45" ht="16.5" customHeight="1">
      <c r="A716" s="307"/>
      <c r="B716" s="307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359"/>
      <c r="Q716" s="353"/>
      <c r="R716" s="353"/>
      <c r="S716" s="200"/>
      <c r="T716" s="353"/>
      <c r="U716" s="353"/>
      <c r="V716" s="353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  <c r="AQ716" s="200"/>
      <c r="AR716" s="200"/>
      <c r="AS716" s="200"/>
    </row>
    <row r="717" spans="1:45" ht="16.5" customHeight="1">
      <c r="A717" s="307"/>
      <c r="B717" s="307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359"/>
      <c r="Q717" s="353"/>
      <c r="R717" s="353"/>
      <c r="S717" s="200"/>
      <c r="T717" s="353"/>
      <c r="U717" s="353"/>
      <c r="V717" s="353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  <c r="AQ717" s="200"/>
      <c r="AR717" s="200"/>
      <c r="AS717" s="200"/>
    </row>
    <row r="718" spans="1:45" ht="16.5" customHeight="1">
      <c r="A718" s="307"/>
      <c r="B718" s="307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359"/>
      <c r="Q718" s="353"/>
      <c r="R718" s="353"/>
      <c r="S718" s="200"/>
      <c r="T718" s="353"/>
      <c r="U718" s="353"/>
      <c r="V718" s="353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  <c r="AQ718" s="200"/>
      <c r="AR718" s="200"/>
      <c r="AS718" s="200"/>
    </row>
    <row r="719" spans="1:45" ht="16.5" customHeight="1">
      <c r="A719" s="307"/>
      <c r="B719" s="307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359"/>
      <c r="Q719" s="353"/>
      <c r="R719" s="353"/>
      <c r="S719" s="200"/>
      <c r="T719" s="353"/>
      <c r="U719" s="353"/>
      <c r="V719" s="353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  <c r="AQ719" s="200"/>
      <c r="AR719" s="200"/>
      <c r="AS719" s="200"/>
    </row>
    <row r="720" spans="1:45" ht="16.5" customHeight="1">
      <c r="A720" s="307"/>
      <c r="B720" s="307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359"/>
      <c r="Q720" s="353"/>
      <c r="R720" s="353"/>
      <c r="S720" s="200"/>
      <c r="T720" s="353"/>
      <c r="U720" s="353"/>
      <c r="V720" s="353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  <c r="AQ720" s="200"/>
      <c r="AR720" s="200"/>
      <c r="AS720" s="200"/>
    </row>
    <row r="721" spans="1:45" ht="16.5" customHeight="1">
      <c r="A721" s="307"/>
      <c r="B721" s="307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359"/>
      <c r="Q721" s="353"/>
      <c r="R721" s="353"/>
      <c r="S721" s="200"/>
      <c r="T721" s="353"/>
      <c r="U721" s="353"/>
      <c r="V721" s="353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  <c r="AQ721" s="200"/>
      <c r="AR721" s="200"/>
      <c r="AS721" s="200"/>
    </row>
    <row r="722" spans="1:45" ht="16.5" customHeight="1">
      <c r="A722" s="307"/>
      <c r="B722" s="307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359"/>
      <c r="Q722" s="353"/>
      <c r="R722" s="353"/>
      <c r="S722" s="200"/>
      <c r="T722" s="353"/>
      <c r="U722" s="353"/>
      <c r="V722" s="353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  <c r="AQ722" s="200"/>
      <c r="AR722" s="200"/>
      <c r="AS722" s="200"/>
    </row>
    <row r="723" spans="1:45" ht="16.5" customHeight="1">
      <c r="A723" s="307"/>
      <c r="B723" s="307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359"/>
      <c r="Q723" s="353"/>
      <c r="R723" s="353"/>
      <c r="S723" s="200"/>
      <c r="T723" s="353"/>
      <c r="U723" s="353"/>
      <c r="V723" s="353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  <c r="AQ723" s="200"/>
      <c r="AR723" s="200"/>
      <c r="AS723" s="200"/>
    </row>
    <row r="724" spans="1:45" ht="16.5" customHeight="1">
      <c r="A724" s="307"/>
      <c r="B724" s="307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359"/>
      <c r="Q724" s="353"/>
      <c r="R724" s="353"/>
      <c r="S724" s="200"/>
      <c r="T724" s="353"/>
      <c r="U724" s="353"/>
      <c r="V724" s="353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  <c r="AQ724" s="200"/>
      <c r="AR724" s="200"/>
      <c r="AS724" s="200"/>
    </row>
    <row r="725" spans="1:45" ht="16.5" customHeight="1">
      <c r="A725" s="307"/>
      <c r="B725" s="307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359"/>
      <c r="Q725" s="353"/>
      <c r="R725" s="353"/>
      <c r="S725" s="200"/>
      <c r="T725" s="353"/>
      <c r="U725" s="353"/>
      <c r="V725" s="353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  <c r="AQ725" s="200"/>
      <c r="AR725" s="200"/>
      <c r="AS725" s="200"/>
    </row>
    <row r="726" spans="1:45" ht="16.5" customHeight="1">
      <c r="A726" s="307"/>
      <c r="B726" s="307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359"/>
      <c r="Q726" s="353"/>
      <c r="R726" s="353"/>
      <c r="S726" s="200"/>
      <c r="T726" s="353"/>
      <c r="U726" s="353"/>
      <c r="V726" s="353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  <c r="AQ726" s="200"/>
      <c r="AR726" s="200"/>
      <c r="AS726" s="200"/>
    </row>
    <row r="727" spans="1:45" ht="16.5" customHeight="1">
      <c r="A727" s="307"/>
      <c r="B727" s="307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359"/>
      <c r="Q727" s="353"/>
      <c r="R727" s="353"/>
      <c r="S727" s="200"/>
      <c r="T727" s="353"/>
      <c r="U727" s="353"/>
      <c r="V727" s="353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  <c r="AQ727" s="200"/>
      <c r="AR727" s="200"/>
      <c r="AS727" s="200"/>
    </row>
    <row r="728" spans="1:45" ht="16.5" customHeight="1">
      <c r="A728" s="307"/>
      <c r="B728" s="307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359"/>
      <c r="Q728" s="353"/>
      <c r="R728" s="353"/>
      <c r="S728" s="200"/>
      <c r="T728" s="353"/>
      <c r="U728" s="353"/>
      <c r="V728" s="353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  <c r="AQ728" s="200"/>
      <c r="AR728" s="200"/>
      <c r="AS728" s="200"/>
    </row>
    <row r="729" spans="1:45" ht="16.5" customHeight="1">
      <c r="A729" s="307"/>
      <c r="B729" s="307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359"/>
      <c r="Q729" s="353"/>
      <c r="R729" s="353"/>
      <c r="S729" s="200"/>
      <c r="T729" s="353"/>
      <c r="U729" s="353"/>
      <c r="V729" s="353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  <c r="AQ729" s="200"/>
      <c r="AR729" s="200"/>
      <c r="AS729" s="200"/>
    </row>
    <row r="730" spans="1:45" ht="16.5" customHeight="1">
      <c r="A730" s="307"/>
      <c r="B730" s="307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359"/>
      <c r="Q730" s="353"/>
      <c r="R730" s="353"/>
      <c r="S730" s="200"/>
      <c r="T730" s="353"/>
      <c r="U730" s="353"/>
      <c r="V730" s="353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  <c r="AQ730" s="200"/>
      <c r="AR730" s="200"/>
      <c r="AS730" s="200"/>
    </row>
    <row r="731" spans="1:45" ht="16.5" customHeight="1">
      <c r="A731" s="307"/>
      <c r="B731" s="307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359"/>
      <c r="Q731" s="353"/>
      <c r="R731" s="353"/>
      <c r="S731" s="200"/>
      <c r="T731" s="353"/>
      <c r="U731" s="353"/>
      <c r="V731" s="353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  <c r="AQ731" s="200"/>
      <c r="AR731" s="200"/>
      <c r="AS731" s="200"/>
    </row>
    <row r="732" spans="1:45" ht="16.5" customHeight="1">
      <c r="A732" s="307"/>
      <c r="B732" s="307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359"/>
      <c r="Q732" s="353"/>
      <c r="R732" s="353"/>
      <c r="S732" s="200"/>
      <c r="T732" s="353"/>
      <c r="U732" s="353"/>
      <c r="V732" s="353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  <c r="AQ732" s="200"/>
      <c r="AR732" s="200"/>
      <c r="AS732" s="200"/>
    </row>
    <row r="733" spans="1:45" ht="16.5" customHeight="1">
      <c r="A733" s="307"/>
      <c r="B733" s="307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359"/>
      <c r="Q733" s="353"/>
      <c r="R733" s="353"/>
      <c r="S733" s="200"/>
      <c r="T733" s="353"/>
      <c r="U733" s="353"/>
      <c r="V733" s="353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  <c r="AQ733" s="200"/>
      <c r="AR733" s="200"/>
      <c r="AS733" s="200"/>
    </row>
    <row r="734" spans="1:45" ht="16.5" customHeight="1">
      <c r="A734" s="307"/>
      <c r="B734" s="307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359"/>
      <c r="Q734" s="353"/>
      <c r="R734" s="353"/>
      <c r="S734" s="200"/>
      <c r="T734" s="353"/>
      <c r="U734" s="353"/>
      <c r="V734" s="353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  <c r="AQ734" s="200"/>
      <c r="AR734" s="200"/>
      <c r="AS734" s="200"/>
    </row>
    <row r="735" spans="1:45" ht="16.5" customHeight="1">
      <c r="A735" s="307"/>
      <c r="B735" s="307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359"/>
      <c r="Q735" s="353"/>
      <c r="R735" s="353"/>
      <c r="S735" s="200"/>
      <c r="T735" s="353"/>
      <c r="U735" s="353"/>
      <c r="V735" s="353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  <c r="AQ735" s="200"/>
      <c r="AR735" s="200"/>
      <c r="AS735" s="200"/>
    </row>
    <row r="736" spans="1:45" ht="16.5" customHeight="1">
      <c r="A736" s="307"/>
      <c r="B736" s="307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359"/>
      <c r="Q736" s="353"/>
      <c r="R736" s="353"/>
      <c r="S736" s="200"/>
      <c r="T736" s="353"/>
      <c r="U736" s="353"/>
      <c r="V736" s="353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  <c r="AQ736" s="200"/>
      <c r="AR736" s="200"/>
      <c r="AS736" s="200"/>
    </row>
    <row r="737" spans="1:45" ht="16.5" customHeight="1">
      <c r="A737" s="307"/>
      <c r="B737" s="307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359"/>
      <c r="Q737" s="353"/>
      <c r="R737" s="353"/>
      <c r="S737" s="200"/>
      <c r="T737" s="353"/>
      <c r="U737" s="353"/>
      <c r="V737" s="353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  <c r="AQ737" s="200"/>
      <c r="AR737" s="200"/>
      <c r="AS737" s="200"/>
    </row>
    <row r="738" spans="1:45" ht="16.5" customHeight="1">
      <c r="A738" s="307"/>
      <c r="B738" s="307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359"/>
      <c r="Q738" s="353"/>
      <c r="R738" s="353"/>
      <c r="S738" s="200"/>
      <c r="T738" s="353"/>
      <c r="U738" s="353"/>
      <c r="V738" s="353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  <c r="AQ738" s="200"/>
      <c r="AR738" s="200"/>
      <c r="AS738" s="200"/>
    </row>
    <row r="739" spans="1:45" ht="16.5" customHeight="1">
      <c r="A739" s="307"/>
      <c r="B739" s="307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359"/>
      <c r="Q739" s="353"/>
      <c r="R739" s="353"/>
      <c r="S739" s="200"/>
      <c r="T739" s="353"/>
      <c r="U739" s="353"/>
      <c r="V739" s="353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  <c r="AQ739" s="200"/>
      <c r="AR739" s="200"/>
      <c r="AS739" s="200"/>
    </row>
    <row r="740" spans="1:45" ht="16.5" customHeight="1">
      <c r="A740" s="307"/>
      <c r="B740" s="307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359"/>
      <c r="Q740" s="353"/>
      <c r="R740" s="353"/>
      <c r="S740" s="200"/>
      <c r="T740" s="353"/>
      <c r="U740" s="353"/>
      <c r="V740" s="353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  <c r="AQ740" s="200"/>
      <c r="AR740" s="200"/>
      <c r="AS740" s="200"/>
    </row>
    <row r="741" spans="1:45" ht="16.5" customHeight="1">
      <c r="A741" s="307"/>
      <c r="B741" s="307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359"/>
      <c r="Q741" s="353"/>
      <c r="R741" s="353"/>
      <c r="S741" s="200"/>
      <c r="T741" s="353"/>
      <c r="U741" s="353"/>
      <c r="V741" s="353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  <c r="AQ741" s="200"/>
      <c r="AR741" s="200"/>
      <c r="AS741" s="200"/>
    </row>
    <row r="742" spans="1:45" ht="16.5" customHeight="1">
      <c r="A742" s="307"/>
      <c r="B742" s="307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359"/>
      <c r="Q742" s="353"/>
      <c r="R742" s="353"/>
      <c r="S742" s="200"/>
      <c r="T742" s="353"/>
      <c r="U742" s="353"/>
      <c r="V742" s="353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  <c r="AQ742" s="200"/>
      <c r="AR742" s="200"/>
      <c r="AS742" s="200"/>
    </row>
    <row r="743" spans="1:45" ht="16.5" customHeight="1">
      <c r="A743" s="307"/>
      <c r="B743" s="307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359"/>
      <c r="Q743" s="353"/>
      <c r="R743" s="353"/>
      <c r="S743" s="200"/>
      <c r="T743" s="353"/>
      <c r="U743" s="353"/>
      <c r="V743" s="353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  <c r="AQ743" s="200"/>
      <c r="AR743" s="200"/>
      <c r="AS743" s="200"/>
    </row>
    <row r="744" spans="1:45" ht="16.5" customHeight="1">
      <c r="A744" s="307"/>
      <c r="B744" s="307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359"/>
      <c r="Q744" s="353"/>
      <c r="R744" s="353"/>
      <c r="S744" s="200"/>
      <c r="T744" s="353"/>
      <c r="U744" s="353"/>
      <c r="V744" s="353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  <c r="AQ744" s="200"/>
      <c r="AR744" s="200"/>
      <c r="AS744" s="200"/>
    </row>
    <row r="745" spans="1:45" ht="16.5" customHeight="1">
      <c r="A745" s="307"/>
      <c r="B745" s="307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359"/>
      <c r="Q745" s="353"/>
      <c r="R745" s="353"/>
      <c r="S745" s="200"/>
      <c r="T745" s="353"/>
      <c r="U745" s="353"/>
      <c r="V745" s="353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  <c r="AQ745" s="200"/>
      <c r="AR745" s="200"/>
      <c r="AS745" s="200"/>
    </row>
    <row r="746" spans="1:45" ht="16.5" customHeight="1">
      <c r="A746" s="307"/>
      <c r="B746" s="307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359"/>
      <c r="Q746" s="353"/>
      <c r="R746" s="353"/>
      <c r="S746" s="200"/>
      <c r="T746" s="353"/>
      <c r="U746" s="353"/>
      <c r="V746" s="353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  <c r="AQ746" s="200"/>
      <c r="AR746" s="200"/>
      <c r="AS746" s="200"/>
    </row>
    <row r="747" spans="1:45" ht="16.5" customHeight="1">
      <c r="A747" s="307"/>
      <c r="B747" s="307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359"/>
      <c r="Q747" s="353"/>
      <c r="R747" s="353"/>
      <c r="S747" s="200"/>
      <c r="T747" s="353"/>
      <c r="U747" s="353"/>
      <c r="V747" s="353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  <c r="AQ747" s="200"/>
      <c r="AR747" s="200"/>
      <c r="AS747" s="200"/>
    </row>
    <row r="748" spans="1:45" ht="16.5" customHeight="1">
      <c r="A748" s="307"/>
      <c r="B748" s="307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359"/>
      <c r="Q748" s="353"/>
      <c r="R748" s="353"/>
      <c r="S748" s="200"/>
      <c r="T748" s="353"/>
      <c r="U748" s="353"/>
      <c r="V748" s="353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  <c r="AQ748" s="200"/>
      <c r="AR748" s="200"/>
      <c r="AS748" s="200"/>
    </row>
    <row r="749" spans="1:45" ht="16.5" customHeight="1">
      <c r="A749" s="307"/>
      <c r="B749" s="307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359"/>
      <c r="Q749" s="353"/>
      <c r="R749" s="353"/>
      <c r="S749" s="200"/>
      <c r="T749" s="353"/>
      <c r="U749" s="353"/>
      <c r="V749" s="353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  <c r="AQ749" s="200"/>
      <c r="AR749" s="200"/>
      <c r="AS749" s="200"/>
    </row>
    <row r="750" spans="1:45" ht="16.5" customHeight="1">
      <c r="A750" s="307"/>
      <c r="B750" s="307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359"/>
      <c r="Q750" s="353"/>
      <c r="R750" s="353"/>
      <c r="S750" s="200"/>
      <c r="T750" s="353"/>
      <c r="U750" s="353"/>
      <c r="V750" s="353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  <c r="AQ750" s="200"/>
      <c r="AR750" s="200"/>
      <c r="AS750" s="200"/>
    </row>
    <row r="751" spans="1:45" ht="16.5" customHeight="1">
      <c r="A751" s="307"/>
      <c r="B751" s="307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359"/>
      <c r="Q751" s="353"/>
      <c r="R751" s="353"/>
      <c r="S751" s="200"/>
      <c r="T751" s="353"/>
      <c r="U751" s="353"/>
      <c r="V751" s="353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  <c r="AQ751" s="200"/>
      <c r="AR751" s="200"/>
      <c r="AS751" s="200"/>
    </row>
    <row r="752" spans="1:45" ht="16.5" customHeight="1">
      <c r="A752" s="307"/>
      <c r="B752" s="307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359"/>
      <c r="Q752" s="353"/>
      <c r="R752" s="353"/>
      <c r="S752" s="200"/>
      <c r="T752" s="353"/>
      <c r="U752" s="353"/>
      <c r="V752" s="353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  <c r="AQ752" s="200"/>
      <c r="AR752" s="200"/>
      <c r="AS752" s="200"/>
    </row>
    <row r="753" spans="1:45" ht="16.5" customHeight="1">
      <c r="A753" s="307"/>
      <c r="B753" s="307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359"/>
      <c r="Q753" s="353"/>
      <c r="R753" s="353"/>
      <c r="S753" s="200"/>
      <c r="T753" s="353"/>
      <c r="U753" s="353"/>
      <c r="V753" s="353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</row>
    <row r="754" spans="1:45" ht="16.5" customHeight="1">
      <c r="A754" s="307"/>
      <c r="B754" s="307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359"/>
      <c r="Q754" s="353"/>
      <c r="R754" s="353"/>
      <c r="S754" s="200"/>
      <c r="T754" s="353"/>
      <c r="U754" s="353"/>
      <c r="V754" s="353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  <c r="AQ754" s="200"/>
      <c r="AR754" s="200"/>
      <c r="AS754" s="200"/>
    </row>
    <row r="755" spans="1:45" ht="16.5" customHeight="1">
      <c r="A755" s="307"/>
      <c r="B755" s="307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359"/>
      <c r="Q755" s="353"/>
      <c r="R755" s="353"/>
      <c r="S755" s="200"/>
      <c r="T755" s="353"/>
      <c r="U755" s="353"/>
      <c r="V755" s="353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  <c r="AQ755" s="200"/>
      <c r="AR755" s="200"/>
      <c r="AS755" s="200"/>
    </row>
    <row r="756" spans="1:45" ht="16.5" customHeight="1">
      <c r="A756" s="307"/>
      <c r="B756" s="307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359"/>
      <c r="Q756" s="353"/>
      <c r="R756" s="353"/>
      <c r="S756" s="200"/>
      <c r="T756" s="353"/>
      <c r="U756" s="353"/>
      <c r="V756" s="353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  <c r="AQ756" s="200"/>
      <c r="AR756" s="200"/>
      <c r="AS756" s="200"/>
    </row>
    <row r="757" spans="1:45" ht="16.5" customHeight="1">
      <c r="A757" s="307"/>
      <c r="B757" s="307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359"/>
      <c r="Q757" s="353"/>
      <c r="R757" s="353"/>
      <c r="S757" s="200"/>
      <c r="T757" s="353"/>
      <c r="U757" s="353"/>
      <c r="V757" s="353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  <c r="AQ757" s="200"/>
      <c r="AR757" s="200"/>
      <c r="AS757" s="200"/>
    </row>
    <row r="758" spans="1:45" ht="16.5" customHeight="1">
      <c r="A758" s="307"/>
      <c r="B758" s="307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359"/>
      <c r="Q758" s="353"/>
      <c r="R758" s="353"/>
      <c r="S758" s="200"/>
      <c r="T758" s="353"/>
      <c r="U758" s="353"/>
      <c r="V758" s="353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  <c r="AQ758" s="200"/>
      <c r="AR758" s="200"/>
      <c r="AS758" s="200"/>
    </row>
    <row r="759" spans="1:45" ht="16.5" customHeight="1">
      <c r="A759" s="307"/>
      <c r="B759" s="307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359"/>
      <c r="Q759" s="353"/>
      <c r="R759" s="353"/>
      <c r="S759" s="200"/>
      <c r="T759" s="353"/>
      <c r="U759" s="353"/>
      <c r="V759" s="353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  <c r="AQ759" s="200"/>
      <c r="AR759" s="200"/>
      <c r="AS759" s="200"/>
    </row>
    <row r="760" spans="1:45" ht="16.5" customHeight="1">
      <c r="A760" s="307"/>
      <c r="B760" s="307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359"/>
      <c r="Q760" s="353"/>
      <c r="R760" s="353"/>
      <c r="S760" s="200"/>
      <c r="T760" s="353"/>
      <c r="U760" s="353"/>
      <c r="V760" s="353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</row>
    <row r="761" spans="1:45" ht="16.5" customHeight="1">
      <c r="A761" s="307"/>
      <c r="B761" s="307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359"/>
      <c r="Q761" s="353"/>
      <c r="R761" s="353"/>
      <c r="S761" s="200"/>
      <c r="T761" s="353"/>
      <c r="U761" s="353"/>
      <c r="V761" s="353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  <c r="AQ761" s="200"/>
      <c r="AR761" s="200"/>
      <c r="AS761" s="200"/>
    </row>
    <row r="762" spans="1:45" ht="16.5" customHeight="1">
      <c r="A762" s="307"/>
      <c r="B762" s="307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359"/>
      <c r="Q762" s="353"/>
      <c r="R762" s="353"/>
      <c r="S762" s="200"/>
      <c r="T762" s="353"/>
      <c r="U762" s="353"/>
      <c r="V762" s="353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  <c r="AQ762" s="200"/>
      <c r="AR762" s="200"/>
      <c r="AS762" s="200"/>
    </row>
    <row r="763" spans="1:45" ht="16.5" customHeight="1">
      <c r="A763" s="307"/>
      <c r="B763" s="307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359"/>
      <c r="Q763" s="353"/>
      <c r="R763" s="353"/>
      <c r="S763" s="200"/>
      <c r="T763" s="353"/>
      <c r="U763" s="353"/>
      <c r="V763" s="353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  <c r="AQ763" s="200"/>
      <c r="AR763" s="200"/>
      <c r="AS763" s="200"/>
    </row>
    <row r="764" spans="1:45" ht="16.5" customHeight="1">
      <c r="A764" s="307"/>
      <c r="B764" s="307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359"/>
      <c r="Q764" s="353"/>
      <c r="R764" s="353"/>
      <c r="S764" s="200"/>
      <c r="T764" s="353"/>
      <c r="U764" s="353"/>
      <c r="V764" s="353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  <c r="AQ764" s="200"/>
      <c r="AR764" s="200"/>
      <c r="AS764" s="200"/>
    </row>
    <row r="765" spans="1:45" ht="16.5" customHeight="1">
      <c r="A765" s="307"/>
      <c r="B765" s="307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359"/>
      <c r="Q765" s="353"/>
      <c r="R765" s="353"/>
      <c r="S765" s="200"/>
      <c r="T765" s="353"/>
      <c r="U765" s="353"/>
      <c r="V765" s="353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  <c r="AQ765" s="200"/>
      <c r="AR765" s="200"/>
      <c r="AS765" s="200"/>
    </row>
    <row r="766" spans="1:45" ht="16.5" customHeight="1">
      <c r="A766" s="307"/>
      <c r="B766" s="307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359"/>
      <c r="Q766" s="353"/>
      <c r="R766" s="353"/>
      <c r="S766" s="200"/>
      <c r="T766" s="353"/>
      <c r="U766" s="353"/>
      <c r="V766" s="353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  <c r="AQ766" s="200"/>
      <c r="AR766" s="200"/>
      <c r="AS766" s="200"/>
    </row>
    <row r="767" spans="1:45" ht="16.5" customHeight="1">
      <c r="A767" s="307"/>
      <c r="B767" s="307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359"/>
      <c r="Q767" s="353"/>
      <c r="R767" s="353"/>
      <c r="S767" s="200"/>
      <c r="T767" s="353"/>
      <c r="U767" s="353"/>
      <c r="V767" s="353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  <c r="AQ767" s="200"/>
      <c r="AR767" s="200"/>
      <c r="AS767" s="200"/>
    </row>
    <row r="768" spans="1:45" ht="16.5" customHeight="1">
      <c r="A768" s="307"/>
      <c r="B768" s="307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359"/>
      <c r="Q768" s="353"/>
      <c r="R768" s="353"/>
      <c r="S768" s="200"/>
      <c r="T768" s="353"/>
      <c r="U768" s="353"/>
      <c r="V768" s="353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</row>
    <row r="769" spans="1:45" ht="16.5" customHeight="1">
      <c r="A769" s="307"/>
      <c r="B769" s="307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359"/>
      <c r="Q769" s="353"/>
      <c r="R769" s="353"/>
      <c r="S769" s="200"/>
      <c r="T769" s="353"/>
      <c r="U769" s="353"/>
      <c r="V769" s="353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  <c r="AQ769" s="200"/>
      <c r="AR769" s="200"/>
      <c r="AS769" s="200"/>
    </row>
    <row r="770" spans="1:45" ht="16.5" customHeight="1">
      <c r="A770" s="307"/>
      <c r="B770" s="307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359"/>
      <c r="Q770" s="353"/>
      <c r="R770" s="353"/>
      <c r="S770" s="200"/>
      <c r="T770" s="353"/>
      <c r="U770" s="353"/>
      <c r="V770" s="353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</row>
    <row r="771" spans="1:45" ht="16.5" customHeight="1">
      <c r="A771" s="307"/>
      <c r="B771" s="307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359"/>
      <c r="Q771" s="353"/>
      <c r="R771" s="353"/>
      <c r="S771" s="200"/>
      <c r="T771" s="353"/>
      <c r="U771" s="353"/>
      <c r="V771" s="353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</row>
    <row r="772" spans="1:45" ht="16.5" customHeight="1">
      <c r="A772" s="307"/>
      <c r="B772" s="307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359"/>
      <c r="Q772" s="353"/>
      <c r="R772" s="353"/>
      <c r="S772" s="200"/>
      <c r="T772" s="353"/>
      <c r="U772" s="353"/>
      <c r="V772" s="353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  <c r="AQ772" s="200"/>
      <c r="AR772" s="200"/>
      <c r="AS772" s="200"/>
    </row>
    <row r="773" spans="1:45" ht="16.5" customHeight="1">
      <c r="A773" s="307"/>
      <c r="B773" s="307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359"/>
      <c r="Q773" s="353"/>
      <c r="R773" s="353"/>
      <c r="S773" s="200"/>
      <c r="T773" s="353"/>
      <c r="U773" s="353"/>
      <c r="V773" s="353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  <c r="AQ773" s="200"/>
      <c r="AR773" s="200"/>
      <c r="AS773" s="200"/>
    </row>
    <row r="774" spans="1:45" ht="16.5" customHeight="1">
      <c r="A774" s="307"/>
      <c r="B774" s="307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359"/>
      <c r="Q774" s="353"/>
      <c r="R774" s="353"/>
      <c r="S774" s="200"/>
      <c r="T774" s="353"/>
      <c r="U774" s="353"/>
      <c r="V774" s="353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</row>
    <row r="775" spans="1:45" ht="16.5" customHeight="1">
      <c r="A775" s="307"/>
      <c r="B775" s="307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359"/>
      <c r="Q775" s="353"/>
      <c r="R775" s="353"/>
      <c r="S775" s="200"/>
      <c r="T775" s="353"/>
      <c r="U775" s="353"/>
      <c r="V775" s="353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  <c r="AQ775" s="200"/>
      <c r="AR775" s="200"/>
      <c r="AS775" s="200"/>
    </row>
    <row r="776" spans="1:45" ht="16.5" customHeight="1">
      <c r="A776" s="307"/>
      <c r="B776" s="307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359"/>
      <c r="Q776" s="353"/>
      <c r="R776" s="353"/>
      <c r="S776" s="200"/>
      <c r="T776" s="353"/>
      <c r="U776" s="353"/>
      <c r="V776" s="353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</row>
    <row r="777" spans="1:45" ht="16.5" customHeight="1">
      <c r="A777" s="307"/>
      <c r="B777" s="307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359"/>
      <c r="Q777" s="353"/>
      <c r="R777" s="353"/>
      <c r="S777" s="200"/>
      <c r="T777" s="353"/>
      <c r="U777" s="353"/>
      <c r="V777" s="353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  <c r="AQ777" s="200"/>
      <c r="AR777" s="200"/>
      <c r="AS777" s="200"/>
    </row>
    <row r="778" spans="1:45" ht="16.5" customHeight="1">
      <c r="A778" s="307"/>
      <c r="B778" s="307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359"/>
      <c r="Q778" s="353"/>
      <c r="R778" s="353"/>
      <c r="S778" s="200"/>
      <c r="T778" s="353"/>
      <c r="U778" s="353"/>
      <c r="V778" s="353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  <c r="AQ778" s="200"/>
      <c r="AR778" s="200"/>
      <c r="AS778" s="200"/>
    </row>
    <row r="779" spans="1:45" ht="16.5" customHeight="1">
      <c r="A779" s="307"/>
      <c r="B779" s="307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359"/>
      <c r="Q779" s="353"/>
      <c r="R779" s="353"/>
      <c r="S779" s="200"/>
      <c r="T779" s="353"/>
      <c r="U779" s="353"/>
      <c r="V779" s="353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  <c r="AQ779" s="200"/>
      <c r="AR779" s="200"/>
      <c r="AS779" s="200"/>
    </row>
    <row r="780" spans="1:45" ht="16.5" customHeight="1">
      <c r="A780" s="307"/>
      <c r="B780" s="307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359"/>
      <c r="Q780" s="353"/>
      <c r="R780" s="353"/>
      <c r="S780" s="200"/>
      <c r="T780" s="353"/>
      <c r="U780" s="353"/>
      <c r="V780" s="353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</row>
    <row r="781" spans="1:45" ht="16.5" customHeight="1">
      <c r="A781" s="307"/>
      <c r="B781" s="307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359"/>
      <c r="Q781" s="353"/>
      <c r="R781" s="353"/>
      <c r="S781" s="200"/>
      <c r="T781" s="353"/>
      <c r="U781" s="353"/>
      <c r="V781" s="353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  <c r="AQ781" s="200"/>
      <c r="AR781" s="200"/>
      <c r="AS781" s="200"/>
    </row>
    <row r="782" spans="1:45" ht="16.5" customHeight="1">
      <c r="A782" s="307"/>
      <c r="B782" s="307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359"/>
      <c r="Q782" s="353"/>
      <c r="R782" s="353"/>
      <c r="S782" s="200"/>
      <c r="T782" s="353"/>
      <c r="U782" s="353"/>
      <c r="V782" s="353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  <c r="AQ782" s="200"/>
      <c r="AR782" s="200"/>
      <c r="AS782" s="200"/>
    </row>
    <row r="783" spans="1:45" ht="16.5" customHeight="1">
      <c r="A783" s="307"/>
      <c r="B783" s="307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359"/>
      <c r="Q783" s="353"/>
      <c r="R783" s="353"/>
      <c r="S783" s="200"/>
      <c r="T783" s="353"/>
      <c r="U783" s="353"/>
      <c r="V783" s="353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  <c r="AQ783" s="200"/>
      <c r="AR783" s="200"/>
      <c r="AS783" s="200"/>
    </row>
    <row r="784" spans="1:45" ht="16.5" customHeight="1">
      <c r="A784" s="307"/>
      <c r="B784" s="307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359"/>
      <c r="Q784" s="353"/>
      <c r="R784" s="353"/>
      <c r="S784" s="200"/>
      <c r="T784" s="353"/>
      <c r="U784" s="353"/>
      <c r="V784" s="353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  <c r="AQ784" s="200"/>
      <c r="AR784" s="200"/>
      <c r="AS784" s="200"/>
    </row>
    <row r="785" spans="1:45" ht="16.5" customHeight="1">
      <c r="A785" s="307"/>
      <c r="B785" s="307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359"/>
      <c r="Q785" s="353"/>
      <c r="R785" s="353"/>
      <c r="S785" s="200"/>
      <c r="T785" s="353"/>
      <c r="U785" s="353"/>
      <c r="V785" s="353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  <c r="AQ785" s="200"/>
      <c r="AR785" s="200"/>
      <c r="AS785" s="200"/>
    </row>
    <row r="786" spans="1:45" ht="16.5" customHeight="1">
      <c r="A786" s="307"/>
      <c r="B786" s="307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359"/>
      <c r="Q786" s="353"/>
      <c r="R786" s="353"/>
      <c r="S786" s="200"/>
      <c r="T786" s="353"/>
      <c r="U786" s="353"/>
      <c r="V786" s="353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</row>
    <row r="787" spans="1:45" ht="16.5" customHeight="1">
      <c r="A787" s="307"/>
      <c r="B787" s="307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359"/>
      <c r="Q787" s="353"/>
      <c r="R787" s="353"/>
      <c r="S787" s="200"/>
      <c r="T787" s="353"/>
      <c r="U787" s="353"/>
      <c r="V787" s="353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  <c r="AQ787" s="200"/>
      <c r="AR787" s="200"/>
      <c r="AS787" s="200"/>
    </row>
    <row r="788" spans="1:45" ht="16.5" customHeight="1">
      <c r="A788" s="307"/>
      <c r="B788" s="307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359"/>
      <c r="Q788" s="353"/>
      <c r="R788" s="353"/>
      <c r="S788" s="200"/>
      <c r="T788" s="353"/>
      <c r="U788" s="353"/>
      <c r="V788" s="353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  <c r="AQ788" s="200"/>
      <c r="AR788" s="200"/>
      <c r="AS788" s="200"/>
    </row>
    <row r="789" spans="1:45" ht="16.5" customHeight="1">
      <c r="A789" s="307"/>
      <c r="B789" s="307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359"/>
      <c r="Q789" s="353"/>
      <c r="R789" s="353"/>
      <c r="S789" s="200"/>
      <c r="T789" s="353"/>
      <c r="U789" s="353"/>
      <c r="V789" s="353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</row>
    <row r="790" spans="1:45" ht="16.5" customHeight="1">
      <c r="A790" s="307"/>
      <c r="B790" s="307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359"/>
      <c r="Q790" s="353"/>
      <c r="R790" s="353"/>
      <c r="S790" s="200"/>
      <c r="T790" s="353"/>
      <c r="U790" s="353"/>
      <c r="V790" s="353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  <c r="AQ790" s="200"/>
      <c r="AR790" s="200"/>
      <c r="AS790" s="200"/>
    </row>
    <row r="791" spans="1:45" ht="16.5" customHeight="1">
      <c r="A791" s="307"/>
      <c r="B791" s="307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359"/>
      <c r="Q791" s="353"/>
      <c r="R791" s="353"/>
      <c r="S791" s="200"/>
      <c r="T791" s="353"/>
      <c r="U791" s="353"/>
      <c r="V791" s="353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  <c r="AQ791" s="200"/>
      <c r="AR791" s="200"/>
      <c r="AS791" s="200"/>
    </row>
    <row r="792" spans="1:45" ht="16.5" customHeight="1">
      <c r="A792" s="307"/>
      <c r="B792" s="307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359"/>
      <c r="Q792" s="353"/>
      <c r="R792" s="353"/>
      <c r="S792" s="200"/>
      <c r="T792" s="353"/>
      <c r="U792" s="353"/>
      <c r="V792" s="353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  <c r="AQ792" s="200"/>
      <c r="AR792" s="200"/>
      <c r="AS792" s="200"/>
    </row>
    <row r="793" spans="1:45" ht="16.5" customHeight="1">
      <c r="A793" s="307"/>
      <c r="B793" s="307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359"/>
      <c r="Q793" s="353"/>
      <c r="R793" s="353"/>
      <c r="S793" s="200"/>
      <c r="T793" s="353"/>
      <c r="U793" s="353"/>
      <c r="V793" s="353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</row>
    <row r="794" spans="1:45" ht="16.5" customHeight="1">
      <c r="A794" s="307"/>
      <c r="B794" s="307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359"/>
      <c r="Q794" s="353"/>
      <c r="R794" s="353"/>
      <c r="S794" s="200"/>
      <c r="T794" s="353"/>
      <c r="U794" s="353"/>
      <c r="V794" s="353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  <c r="AQ794" s="200"/>
      <c r="AR794" s="200"/>
      <c r="AS794" s="200"/>
    </row>
    <row r="795" spans="1:45" ht="16.5" customHeight="1">
      <c r="A795" s="307"/>
      <c r="B795" s="307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359"/>
      <c r="Q795" s="353"/>
      <c r="R795" s="353"/>
      <c r="S795" s="200"/>
      <c r="T795" s="353"/>
      <c r="U795" s="353"/>
      <c r="V795" s="353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  <c r="AQ795" s="200"/>
      <c r="AR795" s="200"/>
      <c r="AS795" s="200"/>
    </row>
    <row r="796" spans="1:45" ht="16.5" customHeight="1">
      <c r="A796" s="307"/>
      <c r="B796" s="307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359"/>
      <c r="Q796" s="353"/>
      <c r="R796" s="353"/>
      <c r="S796" s="200"/>
      <c r="T796" s="353"/>
      <c r="U796" s="353"/>
      <c r="V796" s="353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  <c r="AQ796" s="200"/>
      <c r="AR796" s="200"/>
      <c r="AS796" s="200"/>
    </row>
    <row r="797" spans="1:45" ht="16.5" customHeight="1">
      <c r="A797" s="307"/>
      <c r="B797" s="307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359"/>
      <c r="Q797" s="353"/>
      <c r="R797" s="353"/>
      <c r="S797" s="200"/>
      <c r="T797" s="353"/>
      <c r="U797" s="353"/>
      <c r="V797" s="353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</row>
    <row r="798" spans="1:45" ht="16.5" customHeight="1">
      <c r="A798" s="307"/>
      <c r="B798" s="307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359"/>
      <c r="Q798" s="353"/>
      <c r="R798" s="353"/>
      <c r="S798" s="200"/>
      <c r="T798" s="353"/>
      <c r="U798" s="353"/>
      <c r="V798" s="353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  <c r="AQ798" s="200"/>
      <c r="AR798" s="200"/>
      <c r="AS798" s="200"/>
    </row>
    <row r="799" spans="1:45" ht="16.5" customHeight="1">
      <c r="A799" s="307"/>
      <c r="B799" s="307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359"/>
      <c r="Q799" s="353"/>
      <c r="R799" s="353"/>
      <c r="S799" s="200"/>
      <c r="T799" s="353"/>
      <c r="U799" s="353"/>
      <c r="V799" s="353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  <c r="AQ799" s="200"/>
      <c r="AR799" s="200"/>
      <c r="AS799" s="200"/>
    </row>
    <row r="800" spans="1:45" ht="16.5" customHeight="1">
      <c r="A800" s="307"/>
      <c r="B800" s="307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359"/>
      <c r="Q800" s="353"/>
      <c r="R800" s="353"/>
      <c r="S800" s="200"/>
      <c r="T800" s="353"/>
      <c r="U800" s="353"/>
      <c r="V800" s="353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</row>
    <row r="801" spans="1:45" ht="16.5" customHeight="1">
      <c r="A801" s="307"/>
      <c r="B801" s="307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359"/>
      <c r="Q801" s="353"/>
      <c r="R801" s="353"/>
      <c r="S801" s="200"/>
      <c r="T801" s="353"/>
      <c r="U801" s="353"/>
      <c r="V801" s="353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  <c r="AQ801" s="200"/>
      <c r="AR801" s="200"/>
      <c r="AS801" s="200"/>
    </row>
    <row r="802" spans="1:45" ht="16.5" customHeight="1">
      <c r="A802" s="307"/>
      <c r="B802" s="307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359"/>
      <c r="Q802" s="353"/>
      <c r="R802" s="353"/>
      <c r="S802" s="200"/>
      <c r="T802" s="353"/>
      <c r="U802" s="353"/>
      <c r="V802" s="353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  <c r="AQ802" s="200"/>
      <c r="AR802" s="200"/>
      <c r="AS802" s="200"/>
    </row>
    <row r="803" spans="1:45" ht="16.5" customHeight="1">
      <c r="A803" s="307"/>
      <c r="B803" s="307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359"/>
      <c r="Q803" s="353"/>
      <c r="R803" s="353"/>
      <c r="S803" s="200"/>
      <c r="T803" s="353"/>
      <c r="U803" s="353"/>
      <c r="V803" s="353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  <c r="AQ803" s="200"/>
      <c r="AR803" s="200"/>
      <c r="AS803" s="200"/>
    </row>
    <row r="804" spans="1:45" ht="16.5" customHeight="1">
      <c r="A804" s="307"/>
      <c r="B804" s="307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359"/>
      <c r="Q804" s="353"/>
      <c r="R804" s="353"/>
      <c r="S804" s="200"/>
      <c r="T804" s="353"/>
      <c r="U804" s="353"/>
      <c r="V804" s="353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  <c r="AQ804" s="200"/>
      <c r="AR804" s="200"/>
      <c r="AS804" s="200"/>
    </row>
    <row r="805" spans="1:45" ht="16.5" customHeight="1">
      <c r="A805" s="307"/>
      <c r="B805" s="307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359"/>
      <c r="Q805" s="353"/>
      <c r="R805" s="353"/>
      <c r="S805" s="200"/>
      <c r="T805" s="353"/>
      <c r="U805" s="353"/>
      <c r="V805" s="353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  <c r="AQ805" s="200"/>
      <c r="AR805" s="200"/>
      <c r="AS805" s="200"/>
    </row>
    <row r="806" spans="1:45" ht="16.5" customHeight="1">
      <c r="A806" s="307"/>
      <c r="B806" s="307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359"/>
      <c r="Q806" s="353"/>
      <c r="R806" s="353"/>
      <c r="S806" s="200"/>
      <c r="T806" s="353"/>
      <c r="U806" s="353"/>
      <c r="V806" s="353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  <c r="AQ806" s="200"/>
      <c r="AR806" s="200"/>
      <c r="AS806" s="200"/>
    </row>
    <row r="807" spans="1:45" ht="16.5" customHeight="1">
      <c r="A807" s="307"/>
      <c r="B807" s="307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359"/>
      <c r="Q807" s="353"/>
      <c r="R807" s="353"/>
      <c r="S807" s="200"/>
      <c r="T807" s="353"/>
      <c r="U807" s="353"/>
      <c r="V807" s="353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  <c r="AQ807" s="200"/>
      <c r="AR807" s="200"/>
      <c r="AS807" s="200"/>
    </row>
    <row r="808" spans="1:45" ht="16.5" customHeight="1">
      <c r="A808" s="307"/>
      <c r="B808" s="307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359"/>
      <c r="Q808" s="353"/>
      <c r="R808" s="353"/>
      <c r="S808" s="200"/>
      <c r="T808" s="353"/>
      <c r="U808" s="353"/>
      <c r="V808" s="353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  <c r="AQ808" s="200"/>
      <c r="AR808" s="200"/>
      <c r="AS808" s="200"/>
    </row>
    <row r="809" spans="1:45" ht="16.5" customHeight="1">
      <c r="A809" s="307"/>
      <c r="B809" s="307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359"/>
      <c r="Q809" s="353"/>
      <c r="R809" s="353"/>
      <c r="S809" s="200"/>
      <c r="T809" s="353"/>
      <c r="U809" s="353"/>
      <c r="V809" s="353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  <c r="AQ809" s="200"/>
      <c r="AR809" s="200"/>
      <c r="AS809" s="200"/>
    </row>
    <row r="810" spans="1:45" ht="16.5" customHeight="1">
      <c r="A810" s="307"/>
      <c r="B810" s="307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359"/>
      <c r="Q810" s="353"/>
      <c r="R810" s="353"/>
      <c r="S810" s="200"/>
      <c r="T810" s="353"/>
      <c r="U810" s="353"/>
      <c r="V810" s="353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  <c r="AQ810" s="200"/>
      <c r="AR810" s="200"/>
      <c r="AS810" s="200"/>
    </row>
    <row r="811" spans="1:45" ht="16.5" customHeight="1">
      <c r="A811" s="307"/>
      <c r="B811" s="307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359"/>
      <c r="Q811" s="353"/>
      <c r="R811" s="353"/>
      <c r="S811" s="200"/>
      <c r="T811" s="353"/>
      <c r="U811" s="353"/>
      <c r="V811" s="353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  <c r="AQ811" s="200"/>
      <c r="AR811" s="200"/>
      <c r="AS811" s="200"/>
    </row>
    <row r="812" spans="1:45" ht="16.5" customHeight="1">
      <c r="A812" s="307"/>
      <c r="B812" s="307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359"/>
      <c r="Q812" s="353"/>
      <c r="R812" s="353"/>
      <c r="S812" s="200"/>
      <c r="T812" s="353"/>
      <c r="U812" s="353"/>
      <c r="V812" s="353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  <c r="AQ812" s="200"/>
      <c r="AR812" s="200"/>
      <c r="AS812" s="200"/>
    </row>
    <row r="813" spans="1:45" ht="16.5" customHeight="1">
      <c r="A813" s="307"/>
      <c r="B813" s="307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359"/>
      <c r="Q813" s="353"/>
      <c r="R813" s="353"/>
      <c r="S813" s="200"/>
      <c r="T813" s="353"/>
      <c r="U813" s="353"/>
      <c r="V813" s="353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</row>
    <row r="814" spans="1:45" ht="16.5" customHeight="1">
      <c r="A814" s="307"/>
      <c r="B814" s="307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359"/>
      <c r="Q814" s="353"/>
      <c r="R814" s="353"/>
      <c r="S814" s="200"/>
      <c r="T814" s="353"/>
      <c r="U814" s="353"/>
      <c r="V814" s="353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  <c r="AQ814" s="200"/>
      <c r="AR814" s="200"/>
      <c r="AS814" s="200"/>
    </row>
    <row r="815" spans="1:45" ht="16.5" customHeight="1">
      <c r="A815" s="307"/>
      <c r="B815" s="307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359"/>
      <c r="Q815" s="353"/>
      <c r="R815" s="353"/>
      <c r="S815" s="200"/>
      <c r="T815" s="353"/>
      <c r="U815" s="353"/>
      <c r="V815" s="353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  <c r="AQ815" s="200"/>
      <c r="AR815" s="200"/>
      <c r="AS815" s="200"/>
    </row>
    <row r="816" spans="1:45" ht="16.5" customHeight="1">
      <c r="A816" s="307"/>
      <c r="B816" s="307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359"/>
      <c r="Q816" s="353"/>
      <c r="R816" s="353"/>
      <c r="S816" s="200"/>
      <c r="T816" s="353"/>
      <c r="U816" s="353"/>
      <c r="V816" s="353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  <c r="AQ816" s="200"/>
      <c r="AR816" s="200"/>
      <c r="AS816" s="200"/>
    </row>
    <row r="817" spans="1:45" ht="16.5" customHeight="1">
      <c r="A817" s="307"/>
      <c r="B817" s="307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359"/>
      <c r="Q817" s="353"/>
      <c r="R817" s="353"/>
      <c r="S817" s="200"/>
      <c r="T817" s="353"/>
      <c r="U817" s="353"/>
      <c r="V817" s="353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  <c r="AQ817" s="200"/>
      <c r="AR817" s="200"/>
      <c r="AS817" s="200"/>
    </row>
    <row r="818" spans="1:45" ht="16.5" customHeight="1">
      <c r="A818" s="307"/>
      <c r="B818" s="307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359"/>
      <c r="Q818" s="353"/>
      <c r="R818" s="353"/>
      <c r="S818" s="200"/>
      <c r="T818" s="353"/>
      <c r="U818" s="353"/>
      <c r="V818" s="353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  <c r="AQ818" s="200"/>
      <c r="AR818" s="200"/>
      <c r="AS818" s="200"/>
    </row>
    <row r="819" spans="1:45" ht="16.5" customHeight="1">
      <c r="A819" s="307"/>
      <c r="B819" s="307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359"/>
      <c r="Q819" s="353"/>
      <c r="R819" s="353"/>
      <c r="S819" s="200"/>
      <c r="T819" s="353"/>
      <c r="U819" s="353"/>
      <c r="V819" s="353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</row>
    <row r="820" spans="1:45" ht="16.5" customHeight="1">
      <c r="A820" s="307"/>
      <c r="B820" s="307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359"/>
      <c r="Q820" s="353"/>
      <c r="R820" s="353"/>
      <c r="S820" s="200"/>
      <c r="T820" s="353"/>
      <c r="U820" s="353"/>
      <c r="V820" s="353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  <c r="AQ820" s="200"/>
      <c r="AR820" s="200"/>
      <c r="AS820" s="200"/>
    </row>
    <row r="821" spans="1:45" ht="16.5" customHeight="1">
      <c r="A821" s="307"/>
      <c r="B821" s="307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359"/>
      <c r="Q821" s="353"/>
      <c r="R821" s="353"/>
      <c r="S821" s="200"/>
      <c r="T821" s="353"/>
      <c r="U821" s="353"/>
      <c r="V821" s="353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  <c r="AQ821" s="200"/>
      <c r="AR821" s="200"/>
      <c r="AS821" s="200"/>
    </row>
    <row r="822" spans="1:45" ht="16.5" customHeight="1">
      <c r="A822" s="307"/>
      <c r="B822" s="307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359"/>
      <c r="Q822" s="353"/>
      <c r="R822" s="353"/>
      <c r="S822" s="200"/>
      <c r="T822" s="353"/>
      <c r="U822" s="353"/>
      <c r="V822" s="353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  <c r="AQ822" s="200"/>
      <c r="AR822" s="200"/>
      <c r="AS822" s="200"/>
    </row>
    <row r="823" spans="1:45" ht="16.5" customHeight="1">
      <c r="A823" s="307"/>
      <c r="B823" s="307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359"/>
      <c r="Q823" s="353"/>
      <c r="R823" s="353"/>
      <c r="S823" s="200"/>
      <c r="T823" s="353"/>
      <c r="U823" s="353"/>
      <c r="V823" s="353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  <c r="AQ823" s="200"/>
      <c r="AR823" s="200"/>
      <c r="AS823" s="200"/>
    </row>
    <row r="824" spans="1:45" ht="16.5" customHeight="1">
      <c r="A824" s="307"/>
      <c r="B824" s="307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359"/>
      <c r="Q824" s="353"/>
      <c r="R824" s="353"/>
      <c r="S824" s="200"/>
      <c r="T824" s="353"/>
      <c r="U824" s="353"/>
      <c r="V824" s="353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  <c r="AQ824" s="200"/>
      <c r="AR824" s="200"/>
      <c r="AS824" s="200"/>
    </row>
    <row r="825" spans="1:45" ht="16.5" customHeight="1">
      <c r="A825" s="307"/>
      <c r="B825" s="307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359"/>
      <c r="Q825" s="353"/>
      <c r="R825" s="353"/>
      <c r="S825" s="200"/>
      <c r="T825" s="353"/>
      <c r="U825" s="353"/>
      <c r="V825" s="353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  <c r="AQ825" s="200"/>
      <c r="AR825" s="200"/>
      <c r="AS825" s="200"/>
    </row>
    <row r="826" spans="1:45" ht="16.5" customHeight="1">
      <c r="A826" s="307"/>
      <c r="B826" s="307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359"/>
      <c r="Q826" s="353"/>
      <c r="R826" s="353"/>
      <c r="S826" s="200"/>
      <c r="T826" s="353"/>
      <c r="U826" s="353"/>
      <c r="V826" s="353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  <c r="AQ826" s="200"/>
      <c r="AR826" s="200"/>
      <c r="AS826" s="200"/>
    </row>
    <row r="827" spans="1:45" ht="16.5" customHeight="1">
      <c r="A827" s="307"/>
      <c r="B827" s="307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359"/>
      <c r="Q827" s="353"/>
      <c r="R827" s="353"/>
      <c r="S827" s="200"/>
      <c r="T827" s="353"/>
      <c r="U827" s="353"/>
      <c r="V827" s="353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  <c r="AQ827" s="200"/>
      <c r="AR827" s="200"/>
      <c r="AS827" s="200"/>
    </row>
    <row r="828" spans="1:45" ht="16.5" customHeight="1">
      <c r="A828" s="307"/>
      <c r="B828" s="307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359"/>
      <c r="Q828" s="353"/>
      <c r="R828" s="353"/>
      <c r="S828" s="200"/>
      <c r="T828" s="353"/>
      <c r="U828" s="353"/>
      <c r="V828" s="353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  <c r="AQ828" s="200"/>
      <c r="AR828" s="200"/>
      <c r="AS828" s="200"/>
    </row>
    <row r="829" spans="1:45" ht="16.5" customHeight="1">
      <c r="A829" s="307"/>
      <c r="B829" s="307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359"/>
      <c r="Q829" s="353"/>
      <c r="R829" s="353"/>
      <c r="S829" s="200"/>
      <c r="T829" s="353"/>
      <c r="U829" s="353"/>
      <c r="V829" s="353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  <c r="AQ829" s="200"/>
      <c r="AR829" s="200"/>
      <c r="AS829" s="200"/>
    </row>
    <row r="830" spans="1:45" ht="16.5" customHeight="1">
      <c r="A830" s="307"/>
      <c r="B830" s="307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359"/>
      <c r="Q830" s="353"/>
      <c r="R830" s="353"/>
      <c r="S830" s="200"/>
      <c r="T830" s="353"/>
      <c r="U830" s="353"/>
      <c r="V830" s="353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  <c r="AQ830" s="200"/>
      <c r="AR830" s="200"/>
      <c r="AS830" s="200"/>
    </row>
    <row r="831" spans="1:45" ht="16.5" customHeight="1">
      <c r="A831" s="307"/>
      <c r="B831" s="307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359"/>
      <c r="Q831" s="353"/>
      <c r="R831" s="353"/>
      <c r="S831" s="200"/>
      <c r="T831" s="353"/>
      <c r="U831" s="353"/>
      <c r="V831" s="353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  <c r="AQ831" s="200"/>
      <c r="AR831" s="200"/>
      <c r="AS831" s="200"/>
    </row>
    <row r="832" spans="1:45" ht="16.5" customHeight="1">
      <c r="A832" s="307"/>
      <c r="B832" s="307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359"/>
      <c r="Q832" s="353"/>
      <c r="R832" s="353"/>
      <c r="S832" s="200"/>
      <c r="T832" s="353"/>
      <c r="U832" s="353"/>
      <c r="V832" s="353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  <c r="AQ832" s="200"/>
      <c r="AR832" s="200"/>
      <c r="AS832" s="200"/>
    </row>
    <row r="833" spans="1:45" ht="16.5" customHeight="1">
      <c r="A833" s="307"/>
      <c r="B833" s="307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359"/>
      <c r="Q833" s="353"/>
      <c r="R833" s="353"/>
      <c r="S833" s="200"/>
      <c r="T833" s="353"/>
      <c r="U833" s="353"/>
      <c r="V833" s="353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  <c r="AQ833" s="200"/>
      <c r="AR833" s="200"/>
      <c r="AS833" s="200"/>
    </row>
    <row r="834" spans="1:45" ht="16.5" customHeight="1">
      <c r="A834" s="307"/>
      <c r="B834" s="307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359"/>
      <c r="Q834" s="353"/>
      <c r="R834" s="353"/>
      <c r="S834" s="200"/>
      <c r="T834" s="353"/>
      <c r="U834" s="353"/>
      <c r="V834" s="353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</row>
    <row r="835" spans="1:45" ht="16.5" customHeight="1">
      <c r="A835" s="307"/>
      <c r="B835" s="307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359"/>
      <c r="Q835" s="353"/>
      <c r="R835" s="353"/>
      <c r="S835" s="200"/>
      <c r="T835" s="353"/>
      <c r="U835" s="353"/>
      <c r="V835" s="353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  <c r="AQ835" s="200"/>
      <c r="AR835" s="200"/>
      <c r="AS835" s="200"/>
    </row>
    <row r="836" spans="1:45" ht="16.5" customHeight="1">
      <c r="A836" s="307"/>
      <c r="B836" s="307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359"/>
      <c r="Q836" s="353"/>
      <c r="R836" s="353"/>
      <c r="S836" s="200"/>
      <c r="T836" s="353"/>
      <c r="U836" s="353"/>
      <c r="V836" s="353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  <c r="AQ836" s="200"/>
      <c r="AR836" s="200"/>
      <c r="AS836" s="200"/>
    </row>
    <row r="837" spans="1:45" ht="16.5" customHeight="1">
      <c r="A837" s="307"/>
      <c r="B837" s="307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359"/>
      <c r="Q837" s="353"/>
      <c r="R837" s="353"/>
      <c r="S837" s="200"/>
      <c r="T837" s="353"/>
      <c r="U837" s="353"/>
      <c r="V837" s="353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</row>
    <row r="838" spans="1:45" ht="16.5" customHeight="1">
      <c r="A838" s="307"/>
      <c r="B838" s="307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359"/>
      <c r="Q838" s="353"/>
      <c r="R838" s="353"/>
      <c r="S838" s="200"/>
      <c r="T838" s="353"/>
      <c r="U838" s="353"/>
      <c r="V838" s="353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  <c r="AQ838" s="200"/>
      <c r="AR838" s="200"/>
      <c r="AS838" s="200"/>
    </row>
    <row r="839" spans="1:45" ht="16.5" customHeight="1">
      <c r="A839" s="307"/>
      <c r="B839" s="307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359"/>
      <c r="Q839" s="353"/>
      <c r="R839" s="353"/>
      <c r="S839" s="200"/>
      <c r="T839" s="353"/>
      <c r="U839" s="353"/>
      <c r="V839" s="353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  <c r="AQ839" s="200"/>
      <c r="AR839" s="200"/>
      <c r="AS839" s="200"/>
    </row>
    <row r="840" spans="1:45" ht="16.5" customHeight="1">
      <c r="A840" s="307"/>
      <c r="B840" s="307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359"/>
      <c r="Q840" s="353"/>
      <c r="R840" s="353"/>
      <c r="S840" s="200"/>
      <c r="T840" s="353"/>
      <c r="U840" s="353"/>
      <c r="V840" s="353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  <c r="AQ840" s="200"/>
      <c r="AR840" s="200"/>
      <c r="AS840" s="200"/>
    </row>
    <row r="841" spans="1:45" ht="16.5" customHeight="1">
      <c r="A841" s="307"/>
      <c r="B841" s="307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359"/>
      <c r="Q841" s="353"/>
      <c r="R841" s="353"/>
      <c r="S841" s="200"/>
      <c r="T841" s="353"/>
      <c r="U841" s="353"/>
      <c r="V841" s="353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  <c r="AQ841" s="200"/>
      <c r="AR841" s="200"/>
      <c r="AS841" s="200"/>
    </row>
    <row r="842" spans="1:45" ht="16.5" customHeight="1">
      <c r="A842" s="307"/>
      <c r="B842" s="307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359"/>
      <c r="Q842" s="353"/>
      <c r="R842" s="353"/>
      <c r="S842" s="200"/>
      <c r="T842" s="353"/>
      <c r="U842" s="353"/>
      <c r="V842" s="353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  <c r="AQ842" s="200"/>
      <c r="AR842" s="200"/>
      <c r="AS842" s="200"/>
    </row>
    <row r="843" spans="1:45" ht="16.5" customHeight="1">
      <c r="A843" s="307"/>
      <c r="B843" s="307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359"/>
      <c r="Q843" s="353"/>
      <c r="R843" s="353"/>
      <c r="S843" s="200"/>
      <c r="T843" s="353"/>
      <c r="U843" s="353"/>
      <c r="V843" s="353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  <c r="AQ843" s="200"/>
      <c r="AR843" s="200"/>
      <c r="AS843" s="200"/>
    </row>
    <row r="844" spans="1:45" ht="16.5" customHeight="1">
      <c r="A844" s="307"/>
      <c r="B844" s="307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359"/>
      <c r="Q844" s="353"/>
      <c r="R844" s="353"/>
      <c r="S844" s="200"/>
      <c r="T844" s="353"/>
      <c r="U844" s="353"/>
      <c r="V844" s="353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  <c r="AQ844" s="200"/>
      <c r="AR844" s="200"/>
      <c r="AS844" s="200"/>
    </row>
    <row r="845" spans="1:45" ht="16.5" customHeight="1">
      <c r="A845" s="307"/>
      <c r="B845" s="307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359"/>
      <c r="Q845" s="353"/>
      <c r="R845" s="353"/>
      <c r="S845" s="200"/>
      <c r="T845" s="353"/>
      <c r="U845" s="353"/>
      <c r="V845" s="353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  <c r="AQ845" s="200"/>
      <c r="AR845" s="200"/>
      <c r="AS845" s="200"/>
    </row>
    <row r="846" spans="1:45" ht="16.5" customHeight="1">
      <c r="A846" s="307"/>
      <c r="B846" s="307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359"/>
      <c r="Q846" s="353"/>
      <c r="R846" s="353"/>
      <c r="S846" s="200"/>
      <c r="T846" s="353"/>
      <c r="U846" s="353"/>
      <c r="V846" s="353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  <c r="AQ846" s="200"/>
      <c r="AR846" s="200"/>
      <c r="AS846" s="200"/>
    </row>
    <row r="847" spans="1:45" ht="16.5" customHeight="1">
      <c r="A847" s="307"/>
      <c r="B847" s="307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359"/>
      <c r="Q847" s="353"/>
      <c r="R847" s="353"/>
      <c r="S847" s="200"/>
      <c r="T847" s="353"/>
      <c r="U847" s="353"/>
      <c r="V847" s="353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  <c r="AQ847" s="200"/>
      <c r="AR847" s="200"/>
      <c r="AS847" s="200"/>
    </row>
    <row r="848" spans="1:45" ht="16.5" customHeight="1">
      <c r="A848" s="307"/>
      <c r="B848" s="307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359"/>
      <c r="Q848" s="353"/>
      <c r="R848" s="353"/>
      <c r="S848" s="200"/>
      <c r="T848" s="353"/>
      <c r="U848" s="353"/>
      <c r="V848" s="353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  <c r="AQ848" s="200"/>
      <c r="AR848" s="200"/>
      <c r="AS848" s="200"/>
    </row>
    <row r="849" spans="1:45" ht="16.5" customHeight="1">
      <c r="A849" s="307"/>
      <c r="B849" s="307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359"/>
      <c r="Q849" s="353"/>
      <c r="R849" s="353"/>
      <c r="S849" s="200"/>
      <c r="T849" s="353"/>
      <c r="U849" s="353"/>
      <c r="V849" s="353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  <c r="AQ849" s="200"/>
      <c r="AR849" s="200"/>
      <c r="AS849" s="200"/>
    </row>
    <row r="850" spans="1:45" ht="16.5" customHeight="1">
      <c r="A850" s="307"/>
      <c r="B850" s="307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359"/>
      <c r="Q850" s="353"/>
      <c r="R850" s="353"/>
      <c r="S850" s="200"/>
      <c r="T850" s="353"/>
      <c r="U850" s="353"/>
      <c r="V850" s="353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  <c r="AQ850" s="200"/>
      <c r="AR850" s="200"/>
      <c r="AS850" s="200"/>
    </row>
    <row r="851" spans="1:45" ht="16.5" customHeight="1">
      <c r="A851" s="307"/>
      <c r="B851" s="307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359"/>
      <c r="Q851" s="353"/>
      <c r="R851" s="353"/>
      <c r="S851" s="200"/>
      <c r="T851" s="353"/>
      <c r="U851" s="353"/>
      <c r="V851" s="353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  <c r="AQ851" s="200"/>
      <c r="AR851" s="200"/>
      <c r="AS851" s="200"/>
    </row>
    <row r="852" spans="1:45" ht="16.5" customHeight="1">
      <c r="A852" s="307"/>
      <c r="B852" s="307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359"/>
      <c r="Q852" s="353"/>
      <c r="R852" s="353"/>
      <c r="S852" s="200"/>
      <c r="T852" s="353"/>
      <c r="U852" s="353"/>
      <c r="V852" s="353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  <c r="AQ852" s="200"/>
      <c r="AR852" s="200"/>
      <c r="AS852" s="200"/>
    </row>
    <row r="853" spans="1:45" ht="16.5" customHeight="1">
      <c r="A853" s="307"/>
      <c r="B853" s="307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359"/>
      <c r="Q853" s="353"/>
      <c r="R853" s="353"/>
      <c r="S853" s="200"/>
      <c r="T853" s="353"/>
      <c r="U853" s="353"/>
      <c r="V853" s="353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  <c r="AQ853" s="200"/>
      <c r="AR853" s="200"/>
      <c r="AS853" s="200"/>
    </row>
    <row r="854" spans="1:45" ht="16.5" customHeight="1">
      <c r="A854" s="307"/>
      <c r="B854" s="307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359"/>
      <c r="Q854" s="353"/>
      <c r="R854" s="353"/>
      <c r="S854" s="200"/>
      <c r="T854" s="353"/>
      <c r="U854" s="353"/>
      <c r="V854" s="353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  <c r="AQ854" s="200"/>
      <c r="AR854" s="200"/>
      <c r="AS854" s="200"/>
    </row>
    <row r="855" spans="1:45" ht="16.5" customHeight="1">
      <c r="A855" s="307"/>
      <c r="B855" s="307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359"/>
      <c r="Q855" s="353"/>
      <c r="R855" s="353"/>
      <c r="S855" s="200"/>
      <c r="T855" s="353"/>
      <c r="U855" s="353"/>
      <c r="V855" s="353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</row>
    <row r="856" spans="1:45" ht="16.5" customHeight="1">
      <c r="A856" s="307"/>
      <c r="B856" s="307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359"/>
      <c r="Q856" s="353"/>
      <c r="R856" s="353"/>
      <c r="S856" s="200"/>
      <c r="T856" s="353"/>
      <c r="U856" s="353"/>
      <c r="V856" s="353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  <c r="AQ856" s="200"/>
      <c r="AR856" s="200"/>
      <c r="AS856" s="200"/>
    </row>
    <row r="857" spans="1:45" ht="16.5" customHeight="1">
      <c r="A857" s="307"/>
      <c r="B857" s="307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359"/>
      <c r="Q857" s="353"/>
      <c r="R857" s="353"/>
      <c r="S857" s="200"/>
      <c r="T857" s="353"/>
      <c r="U857" s="353"/>
      <c r="V857" s="353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  <c r="AQ857" s="200"/>
      <c r="AR857" s="200"/>
      <c r="AS857" s="200"/>
    </row>
    <row r="858" spans="1:45" ht="16.5" customHeight="1">
      <c r="A858" s="307"/>
      <c r="B858" s="307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359"/>
      <c r="Q858" s="353"/>
      <c r="R858" s="353"/>
      <c r="S858" s="200"/>
      <c r="T858" s="353"/>
      <c r="U858" s="353"/>
      <c r="V858" s="353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  <c r="AQ858" s="200"/>
      <c r="AR858" s="200"/>
      <c r="AS858" s="200"/>
    </row>
    <row r="859" spans="1:45" ht="16.5" customHeight="1">
      <c r="A859" s="307"/>
      <c r="B859" s="307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359"/>
      <c r="Q859" s="353"/>
      <c r="R859" s="353"/>
      <c r="S859" s="200"/>
      <c r="T859" s="353"/>
      <c r="U859" s="353"/>
      <c r="V859" s="353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  <c r="AQ859" s="200"/>
      <c r="AR859" s="200"/>
      <c r="AS859" s="200"/>
    </row>
    <row r="860" spans="1:45" ht="16.5" customHeight="1">
      <c r="A860" s="307"/>
      <c r="B860" s="307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359"/>
      <c r="Q860" s="353"/>
      <c r="R860" s="353"/>
      <c r="S860" s="200"/>
      <c r="T860" s="353"/>
      <c r="U860" s="353"/>
      <c r="V860" s="353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  <c r="AQ860" s="200"/>
      <c r="AR860" s="200"/>
      <c r="AS860" s="200"/>
    </row>
    <row r="861" spans="1:45" ht="16.5" customHeight="1">
      <c r="A861" s="307"/>
      <c r="B861" s="307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359"/>
      <c r="Q861" s="353"/>
      <c r="R861" s="353"/>
      <c r="S861" s="200"/>
      <c r="T861" s="353"/>
      <c r="U861" s="353"/>
      <c r="V861" s="353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</row>
    <row r="862" spans="1:45" ht="16.5" customHeight="1">
      <c r="A862" s="307"/>
      <c r="B862" s="307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359"/>
      <c r="Q862" s="353"/>
      <c r="R862" s="353"/>
      <c r="S862" s="200"/>
      <c r="T862" s="353"/>
      <c r="U862" s="353"/>
      <c r="V862" s="353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  <c r="AQ862" s="200"/>
      <c r="AR862" s="200"/>
      <c r="AS862" s="200"/>
    </row>
    <row r="863" spans="1:45" ht="16.5" customHeight="1">
      <c r="A863" s="307"/>
      <c r="B863" s="307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359"/>
      <c r="Q863" s="353"/>
      <c r="R863" s="353"/>
      <c r="S863" s="200"/>
      <c r="T863" s="353"/>
      <c r="U863" s="353"/>
      <c r="V863" s="353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  <c r="AQ863" s="200"/>
      <c r="AR863" s="200"/>
      <c r="AS863" s="200"/>
    </row>
    <row r="864" spans="1:45" ht="16.5" customHeight="1">
      <c r="A864" s="307"/>
      <c r="B864" s="307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359"/>
      <c r="Q864" s="353"/>
      <c r="R864" s="353"/>
      <c r="S864" s="200"/>
      <c r="T864" s="353"/>
      <c r="U864" s="353"/>
      <c r="V864" s="353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  <c r="AQ864" s="200"/>
      <c r="AR864" s="200"/>
      <c r="AS864" s="200"/>
    </row>
    <row r="865" spans="1:45" ht="16.5" customHeight="1">
      <c r="A865" s="307"/>
      <c r="B865" s="307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359"/>
      <c r="Q865" s="353"/>
      <c r="R865" s="353"/>
      <c r="S865" s="200"/>
      <c r="T865" s="353"/>
      <c r="U865" s="353"/>
      <c r="V865" s="353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  <c r="AQ865" s="200"/>
      <c r="AR865" s="200"/>
      <c r="AS865" s="200"/>
    </row>
    <row r="866" spans="1:45" ht="16.5" customHeight="1">
      <c r="A866" s="307"/>
      <c r="B866" s="307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359"/>
      <c r="Q866" s="353"/>
      <c r="R866" s="353"/>
      <c r="S866" s="200"/>
      <c r="T866" s="353"/>
      <c r="U866" s="353"/>
      <c r="V866" s="353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</row>
    <row r="867" spans="1:45" ht="16.5" customHeight="1">
      <c r="A867" s="307"/>
      <c r="B867" s="307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359"/>
      <c r="Q867" s="353"/>
      <c r="R867" s="353"/>
      <c r="S867" s="200"/>
      <c r="T867" s="353"/>
      <c r="U867" s="353"/>
      <c r="V867" s="353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  <c r="AQ867" s="200"/>
      <c r="AR867" s="200"/>
      <c r="AS867" s="200"/>
    </row>
    <row r="868" spans="1:45" ht="16.5" customHeight="1">
      <c r="A868" s="307"/>
      <c r="B868" s="307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359"/>
      <c r="Q868" s="353"/>
      <c r="R868" s="353"/>
      <c r="S868" s="200"/>
      <c r="T868" s="353"/>
      <c r="U868" s="353"/>
      <c r="V868" s="353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  <c r="AQ868" s="200"/>
      <c r="AR868" s="200"/>
      <c r="AS868" s="200"/>
    </row>
    <row r="869" spans="1:45" ht="16.5" customHeight="1">
      <c r="A869" s="307"/>
      <c r="B869" s="307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359"/>
      <c r="Q869" s="353"/>
      <c r="R869" s="353"/>
      <c r="S869" s="200"/>
      <c r="T869" s="353"/>
      <c r="U869" s="353"/>
      <c r="V869" s="353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  <c r="AQ869" s="200"/>
      <c r="AR869" s="200"/>
      <c r="AS869" s="200"/>
    </row>
    <row r="870" spans="1:45" ht="16.5" customHeight="1">
      <c r="A870" s="307"/>
      <c r="B870" s="307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359"/>
      <c r="Q870" s="353"/>
      <c r="R870" s="353"/>
      <c r="S870" s="200"/>
      <c r="T870" s="353"/>
      <c r="U870" s="353"/>
      <c r="V870" s="353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  <c r="AQ870" s="200"/>
      <c r="AR870" s="200"/>
      <c r="AS870" s="200"/>
    </row>
    <row r="871" spans="1:45" ht="16.5" customHeight="1">
      <c r="A871" s="307"/>
      <c r="B871" s="307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359"/>
      <c r="Q871" s="353"/>
      <c r="R871" s="353"/>
      <c r="S871" s="200"/>
      <c r="T871" s="353"/>
      <c r="U871" s="353"/>
      <c r="V871" s="353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  <c r="AQ871" s="200"/>
      <c r="AR871" s="200"/>
      <c r="AS871" s="200"/>
    </row>
    <row r="872" spans="1:45" ht="16.5" customHeight="1">
      <c r="A872" s="307"/>
      <c r="B872" s="307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359"/>
      <c r="Q872" s="353"/>
      <c r="R872" s="353"/>
      <c r="S872" s="200"/>
      <c r="T872" s="353"/>
      <c r="U872" s="353"/>
      <c r="V872" s="353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</row>
    <row r="873" spans="1:45" ht="16.5" customHeight="1">
      <c r="A873" s="307"/>
      <c r="B873" s="307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359"/>
      <c r="Q873" s="353"/>
      <c r="R873" s="353"/>
      <c r="S873" s="200"/>
      <c r="T873" s="353"/>
      <c r="U873" s="353"/>
      <c r="V873" s="353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  <c r="AQ873" s="200"/>
      <c r="AR873" s="200"/>
      <c r="AS873" s="200"/>
    </row>
    <row r="874" spans="1:45" ht="16.5" customHeight="1">
      <c r="A874" s="307"/>
      <c r="B874" s="307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359"/>
      <c r="Q874" s="353"/>
      <c r="R874" s="353"/>
      <c r="S874" s="200"/>
      <c r="T874" s="353"/>
      <c r="U874" s="353"/>
      <c r="V874" s="353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  <c r="AQ874" s="200"/>
      <c r="AR874" s="200"/>
      <c r="AS874" s="200"/>
    </row>
    <row r="875" spans="1:45" ht="16.5" customHeight="1">
      <c r="A875" s="307"/>
      <c r="B875" s="307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359"/>
      <c r="Q875" s="353"/>
      <c r="R875" s="353"/>
      <c r="S875" s="200"/>
      <c r="T875" s="353"/>
      <c r="U875" s="353"/>
      <c r="V875" s="353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  <c r="AQ875" s="200"/>
      <c r="AR875" s="200"/>
      <c r="AS875" s="200"/>
    </row>
    <row r="876" spans="1:45" ht="16.5" customHeight="1">
      <c r="A876" s="307"/>
      <c r="B876" s="307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359"/>
      <c r="Q876" s="353"/>
      <c r="R876" s="353"/>
      <c r="S876" s="200"/>
      <c r="T876" s="353"/>
      <c r="U876" s="353"/>
      <c r="V876" s="353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  <c r="AQ876" s="200"/>
      <c r="AR876" s="200"/>
      <c r="AS876" s="200"/>
    </row>
    <row r="877" spans="1:45" ht="16.5" customHeight="1">
      <c r="A877" s="307"/>
      <c r="B877" s="307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359"/>
      <c r="Q877" s="353"/>
      <c r="R877" s="353"/>
      <c r="S877" s="200"/>
      <c r="T877" s="353"/>
      <c r="U877" s="353"/>
      <c r="V877" s="353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</row>
    <row r="878" spans="1:45" ht="16.5" customHeight="1">
      <c r="A878" s="307"/>
      <c r="B878" s="307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359"/>
      <c r="Q878" s="353"/>
      <c r="R878" s="353"/>
      <c r="S878" s="200"/>
      <c r="T878" s="353"/>
      <c r="U878" s="353"/>
      <c r="V878" s="353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  <c r="AQ878" s="200"/>
      <c r="AR878" s="200"/>
      <c r="AS878" s="200"/>
    </row>
    <row r="879" spans="1:45" ht="16.5" customHeight="1">
      <c r="A879" s="307"/>
      <c r="B879" s="307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359"/>
      <c r="Q879" s="353"/>
      <c r="R879" s="353"/>
      <c r="S879" s="200"/>
      <c r="T879" s="353"/>
      <c r="U879" s="353"/>
      <c r="V879" s="353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  <c r="AQ879" s="200"/>
      <c r="AR879" s="200"/>
      <c r="AS879" s="200"/>
    </row>
    <row r="880" spans="1:45" ht="16.5" customHeight="1">
      <c r="A880" s="307"/>
      <c r="B880" s="307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359"/>
      <c r="Q880" s="353"/>
      <c r="R880" s="353"/>
      <c r="S880" s="200"/>
      <c r="T880" s="353"/>
      <c r="U880" s="353"/>
      <c r="V880" s="353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  <c r="AQ880" s="200"/>
      <c r="AR880" s="200"/>
      <c r="AS880" s="200"/>
    </row>
    <row r="881" spans="1:45" ht="16.5" customHeight="1">
      <c r="A881" s="307"/>
      <c r="B881" s="307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359"/>
      <c r="Q881" s="353"/>
      <c r="R881" s="353"/>
      <c r="S881" s="200"/>
      <c r="T881" s="353"/>
      <c r="U881" s="353"/>
      <c r="V881" s="353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  <c r="AQ881" s="200"/>
      <c r="AR881" s="200"/>
      <c r="AS881" s="200"/>
    </row>
    <row r="882" spans="1:45" ht="16.5" customHeight="1">
      <c r="A882" s="307"/>
      <c r="B882" s="307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359"/>
      <c r="Q882" s="353"/>
      <c r="R882" s="353"/>
      <c r="S882" s="200"/>
      <c r="T882" s="353"/>
      <c r="U882" s="353"/>
      <c r="V882" s="353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  <c r="AQ882" s="200"/>
      <c r="AR882" s="200"/>
      <c r="AS882" s="200"/>
    </row>
    <row r="883" spans="1:45" ht="16.5" customHeight="1">
      <c r="A883" s="307"/>
      <c r="B883" s="307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359"/>
      <c r="Q883" s="353"/>
      <c r="R883" s="353"/>
      <c r="S883" s="200"/>
      <c r="T883" s="353"/>
      <c r="U883" s="353"/>
      <c r="V883" s="353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</row>
    <row r="884" spans="1:45" ht="16.5" customHeight="1">
      <c r="A884" s="307"/>
      <c r="B884" s="307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359"/>
      <c r="Q884" s="353"/>
      <c r="R884" s="353"/>
      <c r="S884" s="200"/>
      <c r="T884" s="353"/>
      <c r="U884" s="353"/>
      <c r="V884" s="353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  <c r="AQ884" s="200"/>
      <c r="AR884" s="200"/>
      <c r="AS884" s="200"/>
    </row>
    <row r="885" spans="1:45" ht="16.5" customHeight="1">
      <c r="A885" s="307"/>
      <c r="B885" s="307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359"/>
      <c r="Q885" s="353"/>
      <c r="R885" s="353"/>
      <c r="S885" s="200"/>
      <c r="T885" s="353"/>
      <c r="U885" s="353"/>
      <c r="V885" s="353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  <c r="AQ885" s="200"/>
      <c r="AR885" s="200"/>
      <c r="AS885" s="200"/>
    </row>
    <row r="886" spans="1:45" ht="16.5" customHeight="1">
      <c r="A886" s="307"/>
      <c r="B886" s="307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359"/>
      <c r="Q886" s="353"/>
      <c r="R886" s="353"/>
      <c r="S886" s="200"/>
      <c r="T886" s="353"/>
      <c r="U886" s="353"/>
      <c r="V886" s="353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  <c r="AQ886" s="200"/>
      <c r="AR886" s="200"/>
      <c r="AS886" s="200"/>
    </row>
    <row r="887" spans="1:45" ht="16.5" customHeight="1">
      <c r="A887" s="307"/>
      <c r="B887" s="307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359"/>
      <c r="Q887" s="353"/>
      <c r="R887" s="353"/>
      <c r="S887" s="200"/>
      <c r="T887" s="353"/>
      <c r="U887" s="353"/>
      <c r="V887" s="353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  <c r="AQ887" s="200"/>
      <c r="AR887" s="200"/>
      <c r="AS887" s="200"/>
    </row>
    <row r="888" spans="1:45" ht="16.5" customHeight="1">
      <c r="A888" s="307"/>
      <c r="B888" s="307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359"/>
      <c r="Q888" s="353"/>
      <c r="R888" s="353"/>
      <c r="S888" s="200"/>
      <c r="T888" s="353"/>
      <c r="U888" s="353"/>
      <c r="V888" s="353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</row>
    <row r="889" spans="1:45" ht="16.5" customHeight="1">
      <c r="A889" s="307"/>
      <c r="B889" s="307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359"/>
      <c r="Q889" s="353"/>
      <c r="R889" s="353"/>
      <c r="S889" s="200"/>
      <c r="T889" s="353"/>
      <c r="U889" s="353"/>
      <c r="V889" s="353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  <c r="AQ889" s="200"/>
      <c r="AR889" s="200"/>
      <c r="AS889" s="200"/>
    </row>
    <row r="890" spans="1:45" ht="16.5" customHeight="1">
      <c r="A890" s="307"/>
      <c r="B890" s="307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359"/>
      <c r="Q890" s="353"/>
      <c r="R890" s="353"/>
      <c r="S890" s="200"/>
      <c r="T890" s="353"/>
      <c r="U890" s="353"/>
      <c r="V890" s="353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</row>
    <row r="891" spans="1:45" ht="16.5" customHeight="1">
      <c r="A891" s="307"/>
      <c r="B891" s="307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359"/>
      <c r="Q891" s="353"/>
      <c r="R891" s="353"/>
      <c r="S891" s="200"/>
      <c r="T891" s="353"/>
      <c r="U891" s="353"/>
      <c r="V891" s="353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  <c r="AQ891" s="200"/>
      <c r="AR891" s="200"/>
      <c r="AS891" s="200"/>
    </row>
    <row r="892" spans="1:45" ht="16.5" customHeight="1">
      <c r="A892" s="307"/>
      <c r="B892" s="307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359"/>
      <c r="Q892" s="353"/>
      <c r="R892" s="353"/>
      <c r="S892" s="200"/>
      <c r="T892" s="353"/>
      <c r="U892" s="353"/>
      <c r="V892" s="353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  <c r="AQ892" s="200"/>
      <c r="AR892" s="200"/>
      <c r="AS892" s="200"/>
    </row>
    <row r="893" spans="1:45" ht="16.5" customHeight="1">
      <c r="A893" s="307"/>
      <c r="B893" s="307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359"/>
      <c r="Q893" s="353"/>
      <c r="R893" s="353"/>
      <c r="S893" s="200"/>
      <c r="T893" s="353"/>
      <c r="U893" s="353"/>
      <c r="V893" s="353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  <c r="AQ893" s="200"/>
      <c r="AR893" s="200"/>
      <c r="AS893" s="200"/>
    </row>
    <row r="894" spans="1:45" ht="16.5" customHeight="1">
      <c r="A894" s="307"/>
      <c r="B894" s="307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359"/>
      <c r="Q894" s="353"/>
      <c r="R894" s="353"/>
      <c r="S894" s="200"/>
      <c r="T894" s="353"/>
      <c r="U894" s="353"/>
      <c r="V894" s="353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</row>
    <row r="895" spans="1:45" ht="16.5" customHeight="1">
      <c r="A895" s="307"/>
      <c r="B895" s="307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359"/>
      <c r="Q895" s="353"/>
      <c r="R895" s="353"/>
      <c r="S895" s="200"/>
      <c r="T895" s="353"/>
      <c r="U895" s="353"/>
      <c r="V895" s="353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  <c r="AQ895" s="200"/>
      <c r="AR895" s="200"/>
      <c r="AS895" s="200"/>
    </row>
    <row r="896" spans="1:45" ht="16.5" customHeight="1">
      <c r="A896" s="307"/>
      <c r="B896" s="307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359"/>
      <c r="Q896" s="353"/>
      <c r="R896" s="353"/>
      <c r="S896" s="200"/>
      <c r="T896" s="353"/>
      <c r="U896" s="353"/>
      <c r="V896" s="353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  <c r="AQ896" s="200"/>
      <c r="AR896" s="200"/>
      <c r="AS896" s="200"/>
    </row>
    <row r="897" spans="1:45" ht="16.5" customHeight="1">
      <c r="A897" s="307"/>
      <c r="B897" s="307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359"/>
      <c r="Q897" s="353"/>
      <c r="R897" s="353"/>
      <c r="S897" s="200"/>
      <c r="T897" s="353"/>
      <c r="U897" s="353"/>
      <c r="V897" s="353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  <c r="AQ897" s="200"/>
      <c r="AR897" s="200"/>
      <c r="AS897" s="200"/>
    </row>
    <row r="898" spans="1:45" ht="16.5" customHeight="1">
      <c r="A898" s="307"/>
      <c r="B898" s="307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359"/>
      <c r="Q898" s="353"/>
      <c r="R898" s="353"/>
      <c r="S898" s="200"/>
      <c r="T898" s="353"/>
      <c r="U898" s="353"/>
      <c r="V898" s="353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</row>
    <row r="899" spans="1:45" ht="16.5" customHeight="1">
      <c r="A899" s="307"/>
      <c r="B899" s="307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359"/>
      <c r="Q899" s="353"/>
      <c r="R899" s="353"/>
      <c r="S899" s="200"/>
      <c r="T899" s="353"/>
      <c r="U899" s="353"/>
      <c r="V899" s="353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</row>
    <row r="900" spans="1:45" ht="16.5" customHeight="1">
      <c r="A900" s="307"/>
      <c r="B900" s="307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359"/>
      <c r="Q900" s="353"/>
      <c r="R900" s="353"/>
      <c r="S900" s="200"/>
      <c r="T900" s="353"/>
      <c r="U900" s="353"/>
      <c r="V900" s="353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  <c r="AQ900" s="200"/>
      <c r="AR900" s="200"/>
      <c r="AS900" s="200"/>
    </row>
    <row r="901" spans="1:45" ht="16.5" customHeight="1">
      <c r="A901" s="307"/>
      <c r="B901" s="307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359"/>
      <c r="Q901" s="353"/>
      <c r="R901" s="353"/>
      <c r="S901" s="200"/>
      <c r="T901" s="353"/>
      <c r="U901" s="353"/>
      <c r="V901" s="353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</row>
    <row r="902" spans="1:45" ht="16.5" customHeight="1">
      <c r="A902" s="307"/>
      <c r="B902" s="307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359"/>
      <c r="Q902" s="353"/>
      <c r="R902" s="353"/>
      <c r="S902" s="200"/>
      <c r="T902" s="353"/>
      <c r="U902" s="353"/>
      <c r="V902" s="353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  <c r="AQ902" s="200"/>
      <c r="AR902" s="200"/>
      <c r="AS902" s="200"/>
    </row>
    <row r="903" spans="1:45" ht="16.5" customHeight="1">
      <c r="A903" s="307"/>
      <c r="B903" s="307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359"/>
      <c r="Q903" s="353"/>
      <c r="R903" s="353"/>
      <c r="S903" s="200"/>
      <c r="T903" s="353"/>
      <c r="U903" s="353"/>
      <c r="V903" s="353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  <c r="AQ903" s="200"/>
      <c r="AR903" s="200"/>
      <c r="AS903" s="200"/>
    </row>
    <row r="904" spans="1:45" ht="16.5" customHeight="1">
      <c r="A904" s="307"/>
      <c r="B904" s="307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359"/>
      <c r="Q904" s="353"/>
      <c r="R904" s="353"/>
      <c r="S904" s="200"/>
      <c r="T904" s="353"/>
      <c r="U904" s="353"/>
      <c r="V904" s="353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</row>
    <row r="905" spans="1:45" ht="16.5" customHeight="1">
      <c r="A905" s="307"/>
      <c r="B905" s="307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359"/>
      <c r="Q905" s="353"/>
      <c r="R905" s="353"/>
      <c r="S905" s="200"/>
      <c r="T905" s="353"/>
      <c r="U905" s="353"/>
      <c r="V905" s="353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</row>
    <row r="906" spans="1:45" ht="16.5" customHeight="1">
      <c r="A906" s="307"/>
      <c r="B906" s="307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359"/>
      <c r="Q906" s="353"/>
      <c r="R906" s="353"/>
      <c r="S906" s="200"/>
      <c r="T906" s="353"/>
      <c r="U906" s="353"/>
      <c r="V906" s="353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  <c r="AQ906" s="200"/>
      <c r="AR906" s="200"/>
      <c r="AS906" s="200"/>
    </row>
    <row r="907" spans="1:45" ht="16.5" customHeight="1">
      <c r="A907" s="307"/>
      <c r="B907" s="307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359"/>
      <c r="Q907" s="353"/>
      <c r="R907" s="353"/>
      <c r="S907" s="200"/>
      <c r="T907" s="353"/>
      <c r="U907" s="353"/>
      <c r="V907" s="353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  <c r="AQ907" s="200"/>
      <c r="AR907" s="200"/>
      <c r="AS907" s="200"/>
    </row>
    <row r="908" spans="1:45" ht="16.5" customHeight="1">
      <c r="A908" s="307"/>
      <c r="B908" s="307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359"/>
      <c r="Q908" s="353"/>
      <c r="R908" s="353"/>
      <c r="S908" s="200"/>
      <c r="T908" s="353"/>
      <c r="U908" s="353"/>
      <c r="V908" s="353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  <c r="AQ908" s="200"/>
      <c r="AR908" s="200"/>
      <c r="AS908" s="200"/>
    </row>
    <row r="909" spans="1:45" ht="16.5" customHeight="1">
      <c r="A909" s="307"/>
      <c r="B909" s="307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359"/>
      <c r="Q909" s="353"/>
      <c r="R909" s="353"/>
      <c r="S909" s="200"/>
      <c r="T909" s="353"/>
      <c r="U909" s="353"/>
      <c r="V909" s="353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  <c r="AQ909" s="200"/>
      <c r="AR909" s="200"/>
      <c r="AS909" s="200"/>
    </row>
    <row r="910" spans="1:45" ht="16.5" customHeight="1">
      <c r="A910" s="307"/>
      <c r="B910" s="307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359"/>
      <c r="Q910" s="353"/>
      <c r="R910" s="353"/>
      <c r="S910" s="200"/>
      <c r="T910" s="353"/>
      <c r="U910" s="353"/>
      <c r="V910" s="353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</row>
    <row r="911" spans="1:45" ht="16.5" customHeight="1">
      <c r="A911" s="307"/>
      <c r="B911" s="307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359"/>
      <c r="Q911" s="353"/>
      <c r="R911" s="353"/>
      <c r="S911" s="200"/>
      <c r="T911" s="353"/>
      <c r="U911" s="353"/>
      <c r="V911" s="353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  <c r="AQ911" s="200"/>
      <c r="AR911" s="200"/>
      <c r="AS911" s="200"/>
    </row>
    <row r="912" spans="1:45" ht="16.5" customHeight="1">
      <c r="A912" s="307"/>
      <c r="B912" s="307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359"/>
      <c r="Q912" s="353"/>
      <c r="R912" s="353"/>
      <c r="S912" s="200"/>
      <c r="T912" s="353"/>
      <c r="U912" s="353"/>
      <c r="V912" s="353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  <c r="AQ912" s="200"/>
      <c r="AR912" s="200"/>
      <c r="AS912" s="200"/>
    </row>
    <row r="913" spans="1:45" ht="16.5" customHeight="1">
      <c r="A913" s="307"/>
      <c r="B913" s="307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359"/>
      <c r="Q913" s="353"/>
      <c r="R913" s="353"/>
      <c r="S913" s="200"/>
      <c r="T913" s="353"/>
      <c r="U913" s="353"/>
      <c r="V913" s="353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  <c r="AQ913" s="200"/>
      <c r="AR913" s="200"/>
      <c r="AS913" s="200"/>
    </row>
    <row r="914" spans="1:45" ht="16.5" customHeight="1">
      <c r="A914" s="307"/>
      <c r="B914" s="307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359"/>
      <c r="Q914" s="353"/>
      <c r="R914" s="353"/>
      <c r="S914" s="200"/>
      <c r="T914" s="353"/>
      <c r="U914" s="353"/>
      <c r="V914" s="353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  <c r="AQ914" s="200"/>
      <c r="AR914" s="200"/>
      <c r="AS914" s="200"/>
    </row>
    <row r="915" spans="1:45" ht="16.5" customHeight="1">
      <c r="A915" s="307"/>
      <c r="B915" s="307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359"/>
      <c r="Q915" s="353"/>
      <c r="R915" s="353"/>
      <c r="S915" s="200"/>
      <c r="T915" s="353"/>
      <c r="U915" s="353"/>
      <c r="V915" s="353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  <c r="AQ915" s="200"/>
      <c r="AR915" s="200"/>
      <c r="AS915" s="200"/>
    </row>
    <row r="916" spans="1:45" ht="16.5" customHeight="1">
      <c r="A916" s="307"/>
      <c r="B916" s="307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359"/>
      <c r="Q916" s="353"/>
      <c r="R916" s="353"/>
      <c r="S916" s="200"/>
      <c r="T916" s="353"/>
      <c r="U916" s="353"/>
      <c r="V916" s="353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</row>
    <row r="917" spans="1:45" ht="16.5" customHeight="1">
      <c r="A917" s="307"/>
      <c r="B917" s="307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359"/>
      <c r="Q917" s="353"/>
      <c r="R917" s="353"/>
      <c r="S917" s="200"/>
      <c r="T917" s="353"/>
      <c r="U917" s="353"/>
      <c r="V917" s="353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  <c r="AQ917" s="200"/>
      <c r="AR917" s="200"/>
      <c r="AS917" s="200"/>
    </row>
    <row r="918" spans="1:45" ht="16.5" customHeight="1">
      <c r="A918" s="307"/>
      <c r="B918" s="307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359"/>
      <c r="Q918" s="353"/>
      <c r="R918" s="353"/>
      <c r="S918" s="200"/>
      <c r="T918" s="353"/>
      <c r="U918" s="353"/>
      <c r="V918" s="353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  <c r="AQ918" s="200"/>
      <c r="AR918" s="200"/>
      <c r="AS918" s="200"/>
    </row>
    <row r="919" spans="1:45" ht="16.5" customHeight="1">
      <c r="A919" s="307"/>
      <c r="B919" s="307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359"/>
      <c r="Q919" s="353"/>
      <c r="R919" s="353"/>
      <c r="S919" s="200"/>
      <c r="T919" s="353"/>
      <c r="U919" s="353"/>
      <c r="V919" s="353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  <c r="AQ919" s="200"/>
      <c r="AR919" s="200"/>
      <c r="AS919" s="200"/>
    </row>
    <row r="920" spans="1:45" ht="16.5" customHeight="1">
      <c r="A920" s="307"/>
      <c r="B920" s="307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359"/>
      <c r="Q920" s="353"/>
      <c r="R920" s="353"/>
      <c r="S920" s="200"/>
      <c r="T920" s="353"/>
      <c r="U920" s="353"/>
      <c r="V920" s="353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Q920" s="200"/>
      <c r="AR920" s="200"/>
      <c r="AS920" s="200"/>
    </row>
    <row r="921" spans="1:45" ht="16.5" customHeight="1">
      <c r="A921" s="307"/>
      <c r="B921" s="307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359"/>
      <c r="Q921" s="353"/>
      <c r="R921" s="353"/>
      <c r="S921" s="200"/>
      <c r="T921" s="353"/>
      <c r="U921" s="353"/>
      <c r="V921" s="353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  <c r="AQ921" s="200"/>
      <c r="AR921" s="200"/>
      <c r="AS921" s="200"/>
    </row>
    <row r="922" spans="1:45" ht="16.5" customHeight="1">
      <c r="A922" s="307"/>
      <c r="B922" s="307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359"/>
      <c r="Q922" s="353"/>
      <c r="R922" s="353"/>
      <c r="S922" s="200"/>
      <c r="T922" s="353"/>
      <c r="U922" s="353"/>
      <c r="V922" s="353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Q922" s="200"/>
      <c r="AR922" s="200"/>
      <c r="AS922" s="200"/>
    </row>
    <row r="923" spans="1:45" ht="16.5" customHeight="1">
      <c r="A923" s="307"/>
      <c r="B923" s="307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359"/>
      <c r="Q923" s="353"/>
      <c r="R923" s="353"/>
      <c r="S923" s="200"/>
      <c r="T923" s="353"/>
      <c r="U923" s="353"/>
      <c r="V923" s="353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  <c r="AQ923" s="200"/>
      <c r="AR923" s="200"/>
      <c r="AS923" s="200"/>
    </row>
    <row r="924" spans="1:45" ht="16.5" customHeight="1">
      <c r="A924" s="307"/>
      <c r="B924" s="307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359"/>
      <c r="Q924" s="353"/>
      <c r="R924" s="353"/>
      <c r="S924" s="200"/>
      <c r="T924" s="353"/>
      <c r="U924" s="353"/>
      <c r="V924" s="353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  <c r="AQ924" s="200"/>
      <c r="AR924" s="200"/>
      <c r="AS924" s="200"/>
    </row>
    <row r="925" spans="1:45" ht="16.5" customHeight="1">
      <c r="A925" s="307"/>
      <c r="B925" s="307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359"/>
      <c r="Q925" s="353"/>
      <c r="R925" s="353"/>
      <c r="S925" s="200"/>
      <c r="T925" s="353"/>
      <c r="U925" s="353"/>
      <c r="V925" s="353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  <c r="AQ925" s="200"/>
      <c r="AR925" s="200"/>
      <c r="AS925" s="200"/>
    </row>
    <row r="926" spans="1:45" ht="16.5" customHeight="1">
      <c r="A926" s="307"/>
      <c r="B926" s="307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359"/>
      <c r="Q926" s="353"/>
      <c r="R926" s="353"/>
      <c r="S926" s="200"/>
      <c r="T926" s="353"/>
      <c r="U926" s="353"/>
      <c r="V926" s="353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</row>
    <row r="927" spans="1:45" ht="16.5" customHeight="1">
      <c r="A927" s="307"/>
      <c r="B927" s="307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359"/>
      <c r="Q927" s="353"/>
      <c r="R927" s="353"/>
      <c r="S927" s="200"/>
      <c r="T927" s="353"/>
      <c r="U927" s="353"/>
      <c r="V927" s="353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  <c r="AQ927" s="200"/>
      <c r="AR927" s="200"/>
      <c r="AS927" s="200"/>
    </row>
    <row r="928" spans="1:45" ht="16.5" customHeight="1">
      <c r="A928" s="307"/>
      <c r="B928" s="307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359"/>
      <c r="Q928" s="353"/>
      <c r="R928" s="353"/>
      <c r="S928" s="200"/>
      <c r="T928" s="353"/>
      <c r="U928" s="353"/>
      <c r="V928" s="353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  <c r="AQ928" s="200"/>
      <c r="AR928" s="200"/>
      <c r="AS928" s="200"/>
    </row>
    <row r="929" spans="1:45" ht="16.5" customHeight="1">
      <c r="A929" s="307"/>
      <c r="B929" s="307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359"/>
      <c r="Q929" s="353"/>
      <c r="R929" s="353"/>
      <c r="S929" s="200"/>
      <c r="T929" s="353"/>
      <c r="U929" s="353"/>
      <c r="V929" s="353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</row>
    <row r="930" spans="1:45" ht="16.5" customHeight="1">
      <c r="A930" s="307"/>
      <c r="B930" s="307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359"/>
      <c r="Q930" s="353"/>
      <c r="R930" s="353"/>
      <c r="S930" s="200"/>
      <c r="T930" s="353"/>
      <c r="U930" s="353"/>
      <c r="V930" s="353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  <c r="AQ930" s="200"/>
      <c r="AR930" s="200"/>
      <c r="AS930" s="200"/>
    </row>
    <row r="931" spans="1:45" ht="16.5" customHeight="1">
      <c r="A931" s="307"/>
      <c r="B931" s="307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359"/>
      <c r="Q931" s="353"/>
      <c r="R931" s="353"/>
      <c r="S931" s="200"/>
      <c r="T931" s="353"/>
      <c r="U931" s="353"/>
      <c r="V931" s="353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  <c r="AQ931" s="200"/>
      <c r="AR931" s="200"/>
      <c r="AS931" s="200"/>
    </row>
    <row r="932" spans="1:45" ht="16.5" customHeight="1">
      <c r="A932" s="307"/>
      <c r="B932" s="307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359"/>
      <c r="Q932" s="353"/>
      <c r="R932" s="353"/>
      <c r="S932" s="200"/>
      <c r="T932" s="353"/>
      <c r="U932" s="353"/>
      <c r="V932" s="353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  <c r="AQ932" s="200"/>
      <c r="AR932" s="200"/>
      <c r="AS932" s="200"/>
    </row>
    <row r="933" spans="1:45" ht="16.5" customHeight="1">
      <c r="A933" s="307"/>
      <c r="B933" s="307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359"/>
      <c r="Q933" s="353"/>
      <c r="R933" s="353"/>
      <c r="S933" s="200"/>
      <c r="T933" s="353"/>
      <c r="U933" s="353"/>
      <c r="V933" s="353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  <c r="AQ933" s="200"/>
      <c r="AR933" s="200"/>
      <c r="AS933" s="200"/>
    </row>
    <row r="934" spans="1:45" ht="16.5" customHeight="1">
      <c r="A934" s="307"/>
      <c r="B934" s="307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359"/>
      <c r="Q934" s="353"/>
      <c r="R934" s="353"/>
      <c r="S934" s="200"/>
      <c r="T934" s="353"/>
      <c r="U934" s="353"/>
      <c r="V934" s="353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  <c r="AQ934" s="200"/>
      <c r="AR934" s="200"/>
      <c r="AS934" s="200"/>
    </row>
    <row r="935" spans="1:45" ht="16.5" customHeight="1">
      <c r="A935" s="307"/>
      <c r="B935" s="307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359"/>
      <c r="Q935" s="353"/>
      <c r="R935" s="353"/>
      <c r="S935" s="200"/>
      <c r="T935" s="353"/>
      <c r="U935" s="353"/>
      <c r="V935" s="353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  <c r="AQ935" s="200"/>
      <c r="AR935" s="200"/>
      <c r="AS935" s="200"/>
    </row>
    <row r="936" spans="1:45" ht="16.5" customHeight="1">
      <c r="A936" s="307"/>
      <c r="B936" s="307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359"/>
      <c r="Q936" s="353"/>
      <c r="R936" s="353"/>
      <c r="S936" s="200"/>
      <c r="T936" s="353"/>
      <c r="U936" s="353"/>
      <c r="V936" s="353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  <c r="AQ936" s="200"/>
      <c r="AR936" s="200"/>
      <c r="AS936" s="200"/>
    </row>
    <row r="937" spans="1:45" ht="16.5" customHeight="1">
      <c r="A937" s="307"/>
      <c r="B937" s="307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359"/>
      <c r="Q937" s="353"/>
      <c r="R937" s="353"/>
      <c r="S937" s="200"/>
      <c r="T937" s="353"/>
      <c r="U937" s="353"/>
      <c r="V937" s="353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  <c r="AQ937" s="200"/>
      <c r="AR937" s="200"/>
      <c r="AS937" s="200"/>
    </row>
    <row r="938" spans="1:45" ht="16.5" customHeight="1">
      <c r="A938" s="307"/>
      <c r="B938" s="307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359"/>
      <c r="Q938" s="353"/>
      <c r="R938" s="353"/>
      <c r="S938" s="200"/>
      <c r="T938" s="353"/>
      <c r="U938" s="353"/>
      <c r="V938" s="353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  <c r="AQ938" s="200"/>
      <c r="AR938" s="200"/>
      <c r="AS938" s="200"/>
    </row>
    <row r="939" spans="1:45" ht="16.5" customHeight="1">
      <c r="A939" s="307"/>
      <c r="B939" s="307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359"/>
      <c r="Q939" s="353"/>
      <c r="R939" s="353"/>
      <c r="S939" s="200"/>
      <c r="T939" s="353"/>
      <c r="U939" s="353"/>
      <c r="V939" s="353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  <c r="AQ939" s="200"/>
      <c r="AR939" s="200"/>
      <c r="AS939" s="200"/>
    </row>
    <row r="940" spans="1:45" ht="16.5" customHeight="1">
      <c r="A940" s="307"/>
      <c r="B940" s="307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359"/>
      <c r="Q940" s="353"/>
      <c r="R940" s="353"/>
      <c r="S940" s="200"/>
      <c r="T940" s="353"/>
      <c r="U940" s="353"/>
      <c r="V940" s="353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  <c r="AQ940" s="200"/>
      <c r="AR940" s="200"/>
      <c r="AS940" s="200"/>
    </row>
    <row r="941" spans="1:45" ht="16.5" customHeight="1">
      <c r="A941" s="307"/>
      <c r="B941" s="307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359"/>
      <c r="Q941" s="353"/>
      <c r="R941" s="353"/>
      <c r="S941" s="200"/>
      <c r="T941" s="353"/>
      <c r="U941" s="353"/>
      <c r="V941" s="353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  <c r="AQ941" s="200"/>
      <c r="AR941" s="200"/>
      <c r="AS941" s="200"/>
    </row>
    <row r="942" spans="1:45" ht="16.5" customHeight="1">
      <c r="A942" s="307"/>
      <c r="B942" s="307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359"/>
      <c r="Q942" s="353"/>
      <c r="R942" s="353"/>
      <c r="S942" s="200"/>
      <c r="T942" s="353"/>
      <c r="U942" s="353"/>
      <c r="V942" s="353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  <c r="AQ942" s="200"/>
      <c r="AR942" s="200"/>
      <c r="AS942" s="200"/>
    </row>
    <row r="943" spans="1:45" ht="16.5" customHeight="1">
      <c r="A943" s="307"/>
      <c r="B943" s="307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359"/>
      <c r="Q943" s="353"/>
      <c r="R943" s="353"/>
      <c r="S943" s="200"/>
      <c r="T943" s="353"/>
      <c r="U943" s="353"/>
      <c r="V943" s="353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  <c r="AQ943" s="200"/>
      <c r="AR943" s="200"/>
      <c r="AS943" s="200"/>
    </row>
    <row r="944" spans="1:45" ht="16.5" customHeight="1">
      <c r="A944" s="307"/>
      <c r="B944" s="307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359"/>
      <c r="Q944" s="353"/>
      <c r="R944" s="353"/>
      <c r="S944" s="200"/>
      <c r="T944" s="353"/>
      <c r="U944" s="353"/>
      <c r="V944" s="353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</row>
    <row r="945" spans="1:45" ht="16.5" customHeight="1">
      <c r="A945" s="307"/>
      <c r="B945" s="307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359"/>
      <c r="Q945" s="353"/>
      <c r="R945" s="353"/>
      <c r="S945" s="200"/>
      <c r="T945" s="353"/>
      <c r="U945" s="353"/>
      <c r="V945" s="353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  <c r="AQ945" s="200"/>
      <c r="AR945" s="200"/>
      <c r="AS945" s="200"/>
    </row>
    <row r="946" spans="1:45" ht="16.5" customHeight="1">
      <c r="A946" s="307"/>
      <c r="B946" s="307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359"/>
      <c r="Q946" s="353"/>
      <c r="R946" s="353"/>
      <c r="S946" s="200"/>
      <c r="T946" s="353"/>
      <c r="U946" s="353"/>
      <c r="V946" s="353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  <c r="AQ946" s="200"/>
      <c r="AR946" s="200"/>
      <c r="AS946" s="200"/>
    </row>
    <row r="947" spans="1:45" ht="16.5" customHeight="1">
      <c r="A947" s="307"/>
      <c r="B947" s="307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359"/>
      <c r="Q947" s="353"/>
      <c r="R947" s="353"/>
      <c r="S947" s="200"/>
      <c r="T947" s="353"/>
      <c r="U947" s="353"/>
      <c r="V947" s="353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  <c r="AQ947" s="200"/>
      <c r="AR947" s="200"/>
      <c r="AS947" s="200"/>
    </row>
    <row r="948" spans="1:45" ht="16.5" customHeight="1">
      <c r="A948" s="307"/>
      <c r="B948" s="307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359"/>
      <c r="Q948" s="353"/>
      <c r="R948" s="353"/>
      <c r="S948" s="200"/>
      <c r="T948" s="353"/>
      <c r="U948" s="353"/>
      <c r="V948" s="353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  <c r="AQ948" s="200"/>
      <c r="AR948" s="200"/>
      <c r="AS948" s="200"/>
    </row>
    <row r="949" spans="1:45" ht="16.5" customHeight="1">
      <c r="A949" s="307"/>
      <c r="B949" s="307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359"/>
      <c r="Q949" s="353"/>
      <c r="R949" s="353"/>
      <c r="S949" s="200"/>
      <c r="T949" s="353"/>
      <c r="U949" s="353"/>
      <c r="V949" s="353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  <c r="AQ949" s="200"/>
      <c r="AR949" s="200"/>
      <c r="AS949" s="200"/>
    </row>
    <row r="950" spans="1:45" ht="16.5" customHeight="1">
      <c r="A950" s="307"/>
      <c r="B950" s="307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359"/>
      <c r="Q950" s="353"/>
      <c r="R950" s="353"/>
      <c r="S950" s="200"/>
      <c r="T950" s="353"/>
      <c r="U950" s="353"/>
      <c r="V950" s="353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</row>
    <row r="951" spans="1:45" ht="16.5" customHeight="1">
      <c r="A951" s="307"/>
      <c r="B951" s="307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359"/>
      <c r="Q951" s="353"/>
      <c r="R951" s="353"/>
      <c r="S951" s="200"/>
      <c r="T951" s="353"/>
      <c r="U951" s="353"/>
      <c r="V951" s="353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  <c r="AQ951" s="200"/>
      <c r="AR951" s="200"/>
      <c r="AS951" s="200"/>
    </row>
    <row r="952" spans="1:45" ht="16.5" customHeight="1">
      <c r="A952" s="307"/>
      <c r="B952" s="307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359"/>
      <c r="Q952" s="353"/>
      <c r="R952" s="353"/>
      <c r="S952" s="200"/>
      <c r="T952" s="353"/>
      <c r="U952" s="353"/>
      <c r="V952" s="353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200"/>
      <c r="AQ952" s="200"/>
      <c r="AR952" s="200"/>
      <c r="AS952" s="200"/>
    </row>
    <row r="953" spans="1:45" ht="16.5" customHeight="1">
      <c r="A953" s="307"/>
      <c r="B953" s="307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359"/>
      <c r="Q953" s="353"/>
      <c r="R953" s="353"/>
      <c r="S953" s="200"/>
      <c r="T953" s="353"/>
      <c r="U953" s="353"/>
      <c r="V953" s="353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200"/>
      <c r="AQ953" s="200"/>
      <c r="AR953" s="200"/>
      <c r="AS953" s="200"/>
    </row>
    <row r="954" spans="1:45" ht="16.5" customHeight="1">
      <c r="A954" s="307"/>
      <c r="B954" s="307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359"/>
      <c r="Q954" s="353"/>
      <c r="R954" s="353"/>
      <c r="S954" s="200"/>
      <c r="T954" s="353"/>
      <c r="U954" s="353"/>
      <c r="V954" s="353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200"/>
      <c r="AQ954" s="200"/>
      <c r="AR954" s="200"/>
      <c r="AS954" s="200"/>
    </row>
    <row r="955" spans="1:45" ht="16.5" customHeight="1">
      <c r="A955" s="307"/>
      <c r="B955" s="307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359"/>
      <c r="Q955" s="353"/>
      <c r="R955" s="353"/>
      <c r="S955" s="200"/>
      <c r="T955" s="353"/>
      <c r="U955" s="353"/>
      <c r="V955" s="353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  <c r="AQ955" s="200"/>
      <c r="AR955" s="200"/>
      <c r="AS955" s="200"/>
    </row>
    <row r="956" spans="1:45" ht="16.5" customHeight="1">
      <c r="A956" s="307"/>
      <c r="B956" s="307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359"/>
      <c r="Q956" s="353"/>
      <c r="R956" s="353"/>
      <c r="S956" s="200"/>
      <c r="T956" s="353"/>
      <c r="U956" s="353"/>
      <c r="V956" s="353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200"/>
      <c r="AQ956" s="200"/>
      <c r="AR956" s="200"/>
      <c r="AS956" s="200"/>
    </row>
    <row r="957" spans="1:45" ht="16.5" customHeight="1">
      <c r="A957" s="307"/>
      <c r="B957" s="307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359"/>
      <c r="Q957" s="353"/>
      <c r="R957" s="353"/>
      <c r="S957" s="200"/>
      <c r="T957" s="353"/>
      <c r="U957" s="353"/>
      <c r="V957" s="353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200"/>
      <c r="AQ957" s="200"/>
      <c r="AR957" s="200"/>
      <c r="AS957" s="200"/>
    </row>
    <row r="958" spans="1:45" ht="16.5" customHeight="1">
      <c r="A958" s="307"/>
      <c r="B958" s="307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359"/>
      <c r="Q958" s="353"/>
      <c r="R958" s="353"/>
      <c r="S958" s="200"/>
      <c r="T958" s="353"/>
      <c r="U958" s="353"/>
      <c r="V958" s="353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200"/>
      <c r="AQ958" s="200"/>
      <c r="AR958" s="200"/>
      <c r="AS958" s="200"/>
    </row>
    <row r="959" spans="1:45" ht="16.5" customHeight="1">
      <c r="A959" s="307"/>
      <c r="B959" s="307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359"/>
      <c r="Q959" s="353"/>
      <c r="R959" s="353"/>
      <c r="S959" s="200"/>
      <c r="T959" s="353"/>
      <c r="U959" s="353"/>
      <c r="V959" s="353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200"/>
      <c r="AQ959" s="200"/>
      <c r="AR959" s="200"/>
      <c r="AS959" s="200"/>
    </row>
    <row r="960" spans="1:45" ht="16.5" customHeight="1">
      <c r="A960" s="307"/>
      <c r="B960" s="307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359"/>
      <c r="Q960" s="353"/>
      <c r="R960" s="353"/>
      <c r="S960" s="200"/>
      <c r="T960" s="353"/>
      <c r="U960" s="353"/>
      <c r="V960" s="353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200"/>
      <c r="AQ960" s="200"/>
      <c r="AR960" s="200"/>
      <c r="AS960" s="200"/>
    </row>
    <row r="961" spans="1:45" ht="16.5" customHeight="1">
      <c r="A961" s="307"/>
      <c r="B961" s="307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359"/>
      <c r="Q961" s="353"/>
      <c r="R961" s="353"/>
      <c r="S961" s="200"/>
      <c r="T961" s="353"/>
      <c r="U961" s="353"/>
      <c r="V961" s="353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  <c r="AQ961" s="200"/>
      <c r="AR961" s="200"/>
      <c r="AS961" s="200"/>
    </row>
    <row r="962" spans="1:45" ht="16.5" customHeight="1">
      <c r="A962" s="307"/>
      <c r="B962" s="307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359"/>
      <c r="Q962" s="353"/>
      <c r="R962" s="353"/>
      <c r="S962" s="200"/>
      <c r="T962" s="353"/>
      <c r="U962" s="353"/>
      <c r="V962" s="353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200"/>
      <c r="AQ962" s="200"/>
      <c r="AR962" s="200"/>
      <c r="AS962" s="200"/>
    </row>
    <row r="963" spans="1:45" ht="16.5" customHeight="1">
      <c r="A963" s="307"/>
      <c r="B963" s="307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359"/>
      <c r="Q963" s="353"/>
      <c r="R963" s="353"/>
      <c r="S963" s="200"/>
      <c r="T963" s="353"/>
      <c r="U963" s="353"/>
      <c r="V963" s="353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200"/>
      <c r="AQ963" s="200"/>
      <c r="AR963" s="200"/>
      <c r="AS963" s="200"/>
    </row>
    <row r="964" spans="1:45" ht="16.5" customHeight="1">
      <c r="A964" s="307"/>
      <c r="B964" s="307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359"/>
      <c r="Q964" s="353"/>
      <c r="R964" s="353"/>
      <c r="S964" s="200"/>
      <c r="T964" s="353"/>
      <c r="U964" s="353"/>
      <c r="V964" s="353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200"/>
      <c r="AQ964" s="200"/>
      <c r="AR964" s="200"/>
      <c r="AS964" s="200"/>
    </row>
    <row r="965" spans="1:45" ht="16.5" customHeight="1">
      <c r="A965" s="307"/>
      <c r="B965" s="307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359"/>
      <c r="Q965" s="353"/>
      <c r="R965" s="353"/>
      <c r="S965" s="200"/>
      <c r="T965" s="353"/>
      <c r="U965" s="353"/>
      <c r="V965" s="353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200"/>
      <c r="AQ965" s="200"/>
      <c r="AR965" s="200"/>
      <c r="AS965" s="200"/>
    </row>
    <row r="966" spans="1:45" ht="16.5" customHeight="1">
      <c r="A966" s="307"/>
      <c r="B966" s="307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359"/>
      <c r="Q966" s="353"/>
      <c r="R966" s="353"/>
      <c r="S966" s="200"/>
      <c r="T966" s="353"/>
      <c r="U966" s="353"/>
      <c r="V966" s="353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  <c r="AQ966" s="200"/>
      <c r="AR966" s="200"/>
      <c r="AS966" s="200"/>
    </row>
    <row r="967" spans="1:45" ht="16.5" customHeight="1">
      <c r="A967" s="307"/>
      <c r="B967" s="307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359"/>
      <c r="Q967" s="353"/>
      <c r="R967" s="353"/>
      <c r="S967" s="200"/>
      <c r="T967" s="353"/>
      <c r="U967" s="353"/>
      <c r="V967" s="353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200"/>
      <c r="AQ967" s="200"/>
      <c r="AR967" s="200"/>
      <c r="AS967" s="200"/>
    </row>
    <row r="968" spans="1:45" ht="16.5" customHeight="1">
      <c r="A968" s="307"/>
      <c r="B968" s="307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359"/>
      <c r="Q968" s="353"/>
      <c r="R968" s="353"/>
      <c r="S968" s="200"/>
      <c r="T968" s="353"/>
      <c r="U968" s="353"/>
      <c r="V968" s="353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200"/>
      <c r="AQ968" s="200"/>
      <c r="AR968" s="200"/>
      <c r="AS968" s="200"/>
    </row>
    <row r="969" spans="1:45" ht="16.5" customHeight="1">
      <c r="A969" s="307"/>
      <c r="B969" s="307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359"/>
      <c r="Q969" s="353"/>
      <c r="R969" s="353"/>
      <c r="S969" s="200"/>
      <c r="T969" s="353"/>
      <c r="U969" s="353"/>
      <c r="V969" s="353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200"/>
      <c r="AQ969" s="200"/>
      <c r="AR969" s="200"/>
      <c r="AS969" s="200"/>
    </row>
    <row r="970" spans="1:45" ht="16.5" customHeight="1">
      <c r="A970" s="307"/>
      <c r="B970" s="307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359"/>
      <c r="Q970" s="353"/>
      <c r="R970" s="353"/>
      <c r="S970" s="200"/>
      <c r="T970" s="353"/>
      <c r="U970" s="353"/>
      <c r="V970" s="353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200"/>
      <c r="AQ970" s="200"/>
      <c r="AR970" s="200"/>
      <c r="AS970" s="200"/>
    </row>
    <row r="971" spans="1:45" ht="16.5" customHeight="1">
      <c r="A971" s="307"/>
      <c r="B971" s="307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359"/>
      <c r="Q971" s="353"/>
      <c r="R971" s="353"/>
      <c r="S971" s="200"/>
      <c r="T971" s="353"/>
      <c r="U971" s="353"/>
      <c r="V971" s="353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200"/>
      <c r="AQ971" s="200"/>
      <c r="AR971" s="200"/>
      <c r="AS971" s="200"/>
    </row>
    <row r="972" spans="1:45" ht="16.5" customHeight="1">
      <c r="A972" s="307"/>
      <c r="B972" s="307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359"/>
      <c r="Q972" s="353"/>
      <c r="R972" s="353"/>
      <c r="S972" s="200"/>
      <c r="T972" s="353"/>
      <c r="U972" s="353"/>
      <c r="V972" s="353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  <c r="AQ972" s="200"/>
      <c r="AR972" s="200"/>
      <c r="AS972" s="200"/>
    </row>
    <row r="973" spans="1:45" ht="16.5" customHeight="1">
      <c r="A973" s="307"/>
      <c r="B973" s="307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359"/>
      <c r="Q973" s="353"/>
      <c r="R973" s="353"/>
      <c r="S973" s="200"/>
      <c r="T973" s="353"/>
      <c r="U973" s="353"/>
      <c r="V973" s="353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200"/>
      <c r="AQ973" s="200"/>
      <c r="AR973" s="200"/>
      <c r="AS973" s="200"/>
    </row>
    <row r="974" spans="1:45" ht="16.5" customHeight="1">
      <c r="A974" s="307"/>
      <c r="B974" s="307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359"/>
      <c r="Q974" s="353"/>
      <c r="R974" s="353"/>
      <c r="S974" s="200"/>
      <c r="T974" s="353"/>
      <c r="U974" s="353"/>
      <c r="V974" s="353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200"/>
      <c r="AQ974" s="200"/>
      <c r="AR974" s="200"/>
      <c r="AS974" s="200"/>
    </row>
    <row r="975" spans="1:45" ht="16.5" customHeight="1">
      <c r="A975" s="307"/>
      <c r="B975" s="307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359"/>
      <c r="Q975" s="353"/>
      <c r="R975" s="353"/>
      <c r="S975" s="200"/>
      <c r="T975" s="353"/>
      <c r="U975" s="353"/>
      <c r="V975" s="353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200"/>
      <c r="AQ975" s="200"/>
      <c r="AR975" s="200"/>
      <c r="AS975" s="200"/>
    </row>
    <row r="976" spans="1:45" ht="16.5" customHeight="1">
      <c r="A976" s="307"/>
      <c r="B976" s="307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359"/>
      <c r="Q976" s="353"/>
      <c r="R976" s="353"/>
      <c r="S976" s="200"/>
      <c r="T976" s="353"/>
      <c r="U976" s="353"/>
      <c r="V976" s="353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200"/>
      <c r="AQ976" s="200"/>
      <c r="AR976" s="200"/>
      <c r="AS976" s="200"/>
    </row>
    <row r="977" spans="1:45" ht="16.5" customHeight="1">
      <c r="A977" s="307"/>
      <c r="B977" s="307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359"/>
      <c r="Q977" s="353"/>
      <c r="R977" s="353"/>
      <c r="S977" s="200"/>
      <c r="T977" s="353"/>
      <c r="U977" s="353"/>
      <c r="V977" s="353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200"/>
      <c r="AQ977" s="200"/>
      <c r="AR977" s="200"/>
      <c r="AS977" s="200"/>
    </row>
    <row r="978" spans="1:45" ht="16.5" customHeight="1">
      <c r="A978" s="307"/>
      <c r="B978" s="307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359"/>
      <c r="Q978" s="353"/>
      <c r="R978" s="353"/>
      <c r="S978" s="200"/>
      <c r="T978" s="353"/>
      <c r="U978" s="353"/>
      <c r="V978" s="353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200"/>
      <c r="AQ978" s="200"/>
      <c r="AR978" s="200"/>
      <c r="AS978" s="200"/>
    </row>
    <row r="979" spans="1:45" ht="16.5" customHeight="1">
      <c r="A979" s="307"/>
      <c r="B979" s="307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359"/>
      <c r="Q979" s="353"/>
      <c r="R979" s="353"/>
      <c r="S979" s="200"/>
      <c r="T979" s="353"/>
      <c r="U979" s="353"/>
      <c r="V979" s="353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200"/>
      <c r="AQ979" s="200"/>
      <c r="AR979" s="200"/>
      <c r="AS979" s="200"/>
    </row>
    <row r="980" spans="1:45" ht="16.5" customHeight="1">
      <c r="A980" s="307"/>
      <c r="B980" s="307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359"/>
      <c r="Q980" s="353"/>
      <c r="R980" s="353"/>
      <c r="S980" s="200"/>
      <c r="T980" s="353"/>
      <c r="U980" s="353"/>
      <c r="V980" s="353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200"/>
      <c r="AQ980" s="200"/>
      <c r="AR980" s="200"/>
      <c r="AS980" s="200"/>
    </row>
    <row r="981" spans="1:45" ht="16.5" customHeight="1">
      <c r="A981" s="307"/>
      <c r="B981" s="307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359"/>
      <c r="Q981" s="353"/>
      <c r="R981" s="353"/>
      <c r="S981" s="200"/>
      <c r="T981" s="353"/>
      <c r="U981" s="353"/>
      <c r="V981" s="353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200"/>
      <c r="AQ981" s="200"/>
      <c r="AR981" s="200"/>
      <c r="AS981" s="200"/>
    </row>
    <row r="982" spans="1:45" ht="16.5" customHeight="1">
      <c r="A982" s="307"/>
      <c r="B982" s="307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359"/>
      <c r="Q982" s="353"/>
      <c r="R982" s="353"/>
      <c r="S982" s="200"/>
      <c r="T982" s="353"/>
      <c r="U982" s="353"/>
      <c r="V982" s="353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200"/>
      <c r="AQ982" s="200"/>
      <c r="AR982" s="200"/>
      <c r="AS982" s="200"/>
    </row>
    <row r="983" spans="1:45" ht="16.5" customHeight="1">
      <c r="A983" s="307"/>
      <c r="B983" s="307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359"/>
      <c r="Q983" s="353"/>
      <c r="R983" s="353"/>
      <c r="S983" s="200"/>
      <c r="T983" s="353"/>
      <c r="U983" s="353"/>
      <c r="V983" s="353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200"/>
      <c r="AQ983" s="200"/>
      <c r="AR983" s="200"/>
      <c r="AS983" s="200"/>
    </row>
    <row r="984" spans="1:45" ht="16.5" customHeight="1">
      <c r="A984" s="307"/>
      <c r="B984" s="307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359"/>
      <c r="Q984" s="353"/>
      <c r="R984" s="353"/>
      <c r="S984" s="200"/>
      <c r="T984" s="353"/>
      <c r="U984" s="353"/>
      <c r="V984" s="353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200"/>
      <c r="AQ984" s="200"/>
      <c r="AR984" s="200"/>
      <c r="AS984" s="200"/>
    </row>
    <row r="985" spans="1:45" ht="16.5" customHeight="1">
      <c r="A985" s="307"/>
      <c r="B985" s="307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359"/>
      <c r="Q985" s="353"/>
      <c r="R985" s="353"/>
      <c r="S985" s="200"/>
      <c r="T985" s="353"/>
      <c r="U985" s="353"/>
      <c r="V985" s="353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200"/>
      <c r="AQ985" s="200"/>
      <c r="AR985" s="200"/>
      <c r="AS985" s="200"/>
    </row>
    <row r="986" spans="1:45" ht="16.5" customHeight="1">
      <c r="A986" s="307"/>
      <c r="B986" s="307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359"/>
      <c r="Q986" s="353"/>
      <c r="R986" s="353"/>
      <c r="S986" s="200"/>
      <c r="T986" s="353"/>
      <c r="U986" s="353"/>
      <c r="V986" s="353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200"/>
      <c r="AQ986" s="200"/>
      <c r="AR986" s="200"/>
      <c r="AS986" s="200"/>
    </row>
    <row r="987" spans="1:45" ht="16.5" customHeight="1">
      <c r="A987" s="307"/>
      <c r="B987" s="307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359"/>
      <c r="Q987" s="353"/>
      <c r="R987" s="353"/>
      <c r="S987" s="200"/>
      <c r="T987" s="353"/>
      <c r="U987" s="353"/>
      <c r="V987" s="353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200"/>
      <c r="AQ987" s="200"/>
      <c r="AR987" s="200"/>
      <c r="AS987" s="200"/>
    </row>
    <row r="988" spans="1:45" ht="16.5" customHeight="1">
      <c r="A988" s="307"/>
      <c r="B988" s="307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359"/>
      <c r="Q988" s="353"/>
      <c r="R988" s="353"/>
      <c r="S988" s="200"/>
      <c r="T988" s="353"/>
      <c r="U988" s="353"/>
      <c r="V988" s="353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200"/>
      <c r="AQ988" s="200"/>
      <c r="AR988" s="200"/>
      <c r="AS988" s="200"/>
    </row>
    <row r="989" spans="1:45" ht="16.5" customHeight="1">
      <c r="A989" s="307"/>
      <c r="B989" s="307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359"/>
      <c r="Q989" s="353"/>
      <c r="R989" s="353"/>
      <c r="S989" s="200"/>
      <c r="T989" s="353"/>
      <c r="U989" s="353"/>
      <c r="V989" s="353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200"/>
      <c r="AQ989" s="200"/>
      <c r="AR989" s="200"/>
      <c r="AS989" s="200"/>
    </row>
    <row r="990" spans="1:45" ht="16.5" customHeight="1">
      <c r="A990" s="307"/>
      <c r="B990" s="307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359"/>
      <c r="Q990" s="353"/>
      <c r="R990" s="353"/>
      <c r="S990" s="200"/>
      <c r="T990" s="353"/>
      <c r="U990" s="353"/>
      <c r="V990" s="353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200"/>
      <c r="AQ990" s="200"/>
      <c r="AR990" s="200"/>
      <c r="AS990" s="200"/>
    </row>
    <row r="991" spans="1:45" ht="16.5" customHeight="1">
      <c r="A991" s="307"/>
      <c r="B991" s="307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359"/>
      <c r="Q991" s="353"/>
      <c r="R991" s="353"/>
      <c r="S991" s="200"/>
      <c r="T991" s="353"/>
      <c r="U991" s="353"/>
      <c r="V991" s="353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200"/>
      <c r="AQ991" s="200"/>
      <c r="AR991" s="200"/>
      <c r="AS991" s="200"/>
    </row>
    <row r="992" spans="1:45" ht="16.5" customHeight="1">
      <c r="A992" s="307"/>
      <c r="B992" s="307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359"/>
      <c r="Q992" s="353"/>
      <c r="R992" s="353"/>
      <c r="S992" s="200"/>
      <c r="T992" s="353"/>
      <c r="U992" s="353"/>
      <c r="V992" s="353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200"/>
      <c r="AQ992" s="200"/>
      <c r="AR992" s="200"/>
      <c r="AS992" s="200"/>
    </row>
    <row r="993" spans="1:45" ht="16.5" customHeight="1">
      <c r="A993" s="307"/>
      <c r="B993" s="307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359"/>
      <c r="Q993" s="353"/>
      <c r="R993" s="353"/>
      <c r="S993" s="200"/>
      <c r="T993" s="353"/>
      <c r="U993" s="353"/>
      <c r="V993" s="353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200"/>
      <c r="AQ993" s="200"/>
      <c r="AR993" s="200"/>
      <c r="AS993" s="200"/>
    </row>
    <row r="994" spans="1:45" ht="16.5" customHeight="1">
      <c r="A994" s="307"/>
      <c r="B994" s="307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359"/>
      <c r="Q994" s="353"/>
      <c r="R994" s="353"/>
      <c r="S994" s="200"/>
      <c r="T994" s="353"/>
      <c r="U994" s="353"/>
      <c r="V994" s="353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200"/>
      <c r="AQ994" s="200"/>
      <c r="AR994" s="200"/>
      <c r="AS994" s="200"/>
    </row>
    <row r="995" spans="1:45" ht="16.5" customHeight="1">
      <c r="A995" s="307"/>
      <c r="B995" s="307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359"/>
      <c r="Q995" s="353"/>
      <c r="R995" s="353"/>
      <c r="S995" s="200"/>
      <c r="T995" s="353"/>
      <c r="U995" s="353"/>
      <c r="V995" s="353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200"/>
      <c r="AQ995" s="200"/>
      <c r="AR995" s="200"/>
      <c r="AS995" s="200"/>
    </row>
    <row r="996" spans="1:45" ht="16.5" customHeight="1">
      <c r="A996" s="307"/>
      <c r="B996" s="307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359"/>
      <c r="Q996" s="353"/>
      <c r="R996" s="353"/>
      <c r="S996" s="200"/>
      <c r="T996" s="353"/>
      <c r="U996" s="353"/>
      <c r="V996" s="353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200"/>
      <c r="AQ996" s="200"/>
      <c r="AR996" s="200"/>
      <c r="AS996" s="200"/>
    </row>
    <row r="997" spans="1:45" ht="16.5" customHeight="1">
      <c r="A997" s="307"/>
      <c r="B997" s="307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359"/>
      <c r="Q997" s="353"/>
      <c r="R997" s="353"/>
      <c r="S997" s="200"/>
      <c r="T997" s="353"/>
      <c r="U997" s="353"/>
      <c r="V997" s="353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200"/>
      <c r="AQ997" s="200"/>
      <c r="AR997" s="200"/>
      <c r="AS997" s="200"/>
    </row>
    <row r="998" spans="1:45" ht="16.5" customHeight="1">
      <c r="A998" s="307"/>
      <c r="B998" s="307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359"/>
      <c r="Q998" s="353"/>
      <c r="R998" s="353"/>
      <c r="S998" s="200"/>
      <c r="T998" s="353"/>
      <c r="U998" s="353"/>
      <c r="V998" s="353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200"/>
      <c r="AQ998" s="200"/>
      <c r="AR998" s="200"/>
      <c r="AS998" s="200"/>
    </row>
    <row r="999" spans="1:45" ht="16.5" customHeight="1">
      <c r="A999" s="307"/>
      <c r="B999" s="307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359"/>
      <c r="Q999" s="353"/>
      <c r="R999" s="353"/>
      <c r="S999" s="200"/>
      <c r="T999" s="353"/>
      <c r="U999" s="353"/>
      <c r="V999" s="353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200"/>
      <c r="AQ999" s="200"/>
      <c r="AR999" s="200"/>
      <c r="AS999" s="200"/>
    </row>
    <row r="1000" spans="1:45" ht="16.5" customHeight="1">
      <c r="A1000" s="307"/>
      <c r="B1000" s="307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359"/>
      <c r="Q1000" s="353"/>
      <c r="R1000" s="353"/>
      <c r="S1000" s="200"/>
      <c r="T1000" s="353"/>
      <c r="U1000" s="353"/>
      <c r="V1000" s="353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200"/>
      <c r="AQ1000" s="200"/>
      <c r="AR1000" s="200"/>
      <c r="AS1000" s="200"/>
    </row>
    <row r="1001" spans="1:45" ht="16.5" customHeight="1">
      <c r="A1001" s="307"/>
      <c r="B1001" s="307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359"/>
      <c r="Q1001" s="353"/>
      <c r="R1001" s="353"/>
      <c r="S1001" s="200"/>
      <c r="T1001" s="353"/>
      <c r="U1001" s="353"/>
      <c r="V1001" s="353"/>
      <c r="W1001" s="200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0"/>
      <c r="AK1001" s="200"/>
      <c r="AL1001" s="200"/>
      <c r="AM1001" s="200"/>
      <c r="AN1001" s="200"/>
      <c r="AO1001" s="200"/>
      <c r="AP1001" s="200"/>
      <c r="AQ1001" s="200"/>
      <c r="AR1001" s="200"/>
      <c r="AS1001" s="200"/>
    </row>
    <row r="1002" spans="1:45" ht="16.5" customHeight="1">
      <c r="A1002" s="307"/>
      <c r="B1002" s="307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359"/>
      <c r="Q1002" s="353"/>
      <c r="R1002" s="353"/>
      <c r="S1002" s="200"/>
      <c r="T1002" s="353"/>
      <c r="U1002" s="353"/>
      <c r="V1002" s="353"/>
      <c r="W1002" s="200"/>
      <c r="X1002" s="200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H1002" s="200"/>
      <c r="AI1002" s="200"/>
      <c r="AJ1002" s="200"/>
      <c r="AK1002" s="200"/>
      <c r="AL1002" s="200"/>
      <c r="AM1002" s="200"/>
      <c r="AN1002" s="200"/>
      <c r="AO1002" s="200"/>
      <c r="AP1002" s="200"/>
      <c r="AQ1002" s="200"/>
      <c r="AR1002" s="200"/>
      <c r="AS1002" s="200"/>
    </row>
    <row r="1003" spans="1:45" ht="16.5" customHeight="1">
      <c r="A1003" s="307"/>
      <c r="B1003" s="307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359"/>
      <c r="Q1003" s="353"/>
      <c r="R1003" s="353"/>
      <c r="S1003" s="200"/>
      <c r="T1003" s="353"/>
      <c r="U1003" s="353"/>
      <c r="V1003" s="353"/>
      <c r="W1003" s="200"/>
      <c r="X1003" s="200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H1003" s="200"/>
      <c r="AI1003" s="200"/>
      <c r="AJ1003" s="200"/>
      <c r="AK1003" s="200"/>
      <c r="AL1003" s="200"/>
      <c r="AM1003" s="200"/>
      <c r="AN1003" s="200"/>
      <c r="AO1003" s="200"/>
      <c r="AP1003" s="200"/>
      <c r="AQ1003" s="200"/>
      <c r="AR1003" s="200"/>
      <c r="AS1003" s="200"/>
    </row>
    <row r="1004" spans="1:45" ht="16.5" customHeight="1">
      <c r="A1004" s="307"/>
      <c r="B1004" s="307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359"/>
      <c r="Q1004" s="353"/>
      <c r="R1004" s="353"/>
      <c r="S1004" s="200"/>
      <c r="T1004" s="353"/>
      <c r="U1004" s="353"/>
      <c r="V1004" s="353"/>
      <c r="W1004" s="200"/>
      <c r="X1004" s="200"/>
      <c r="Y1004" s="200"/>
      <c r="Z1004" s="200"/>
      <c r="AA1004" s="200"/>
      <c r="AB1004" s="200"/>
      <c r="AC1004" s="200"/>
      <c r="AD1004" s="200"/>
      <c r="AE1004" s="200"/>
      <c r="AF1004" s="200"/>
      <c r="AG1004" s="200"/>
      <c r="AH1004" s="200"/>
      <c r="AI1004" s="200"/>
      <c r="AJ1004" s="200"/>
      <c r="AK1004" s="200"/>
      <c r="AL1004" s="200"/>
      <c r="AM1004" s="200"/>
      <c r="AN1004" s="200"/>
      <c r="AO1004" s="200"/>
      <c r="AP1004" s="200"/>
      <c r="AQ1004" s="200"/>
      <c r="AR1004" s="200"/>
      <c r="AS1004" s="200"/>
    </row>
    <row r="1005" spans="1:45" ht="16.5" customHeight="1">
      <c r="A1005" s="307"/>
      <c r="B1005" s="307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359"/>
      <c r="Q1005" s="353"/>
      <c r="R1005" s="353"/>
      <c r="S1005" s="200"/>
      <c r="T1005" s="353"/>
      <c r="U1005" s="353"/>
      <c r="V1005" s="353"/>
      <c r="W1005" s="200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0"/>
      <c r="AK1005" s="200"/>
      <c r="AL1005" s="200"/>
      <c r="AM1005" s="200"/>
      <c r="AN1005" s="200"/>
      <c r="AO1005" s="200"/>
      <c r="AP1005" s="200"/>
      <c r="AQ1005" s="200"/>
      <c r="AR1005" s="200"/>
      <c r="AS1005" s="200"/>
    </row>
    <row r="1006" spans="1:45" ht="16.5" customHeight="1">
      <c r="A1006" s="307"/>
      <c r="B1006" s="307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359"/>
      <c r="Q1006" s="353"/>
      <c r="R1006" s="353"/>
      <c r="S1006" s="200"/>
      <c r="T1006" s="353"/>
      <c r="U1006" s="353"/>
      <c r="V1006" s="353"/>
      <c r="W1006" s="200"/>
      <c r="X1006" s="200"/>
      <c r="Y1006" s="200"/>
      <c r="Z1006" s="200"/>
      <c r="AA1006" s="200"/>
      <c r="AB1006" s="200"/>
      <c r="AC1006" s="200"/>
      <c r="AD1006" s="200"/>
      <c r="AE1006" s="200"/>
      <c r="AF1006" s="200"/>
      <c r="AG1006" s="200"/>
      <c r="AH1006" s="200"/>
      <c r="AI1006" s="200"/>
      <c r="AJ1006" s="200"/>
      <c r="AK1006" s="200"/>
      <c r="AL1006" s="200"/>
      <c r="AM1006" s="200"/>
      <c r="AN1006" s="200"/>
      <c r="AO1006" s="200"/>
      <c r="AP1006" s="200"/>
      <c r="AQ1006" s="200"/>
      <c r="AR1006" s="200"/>
      <c r="AS1006" s="200"/>
    </row>
    <row r="1007" spans="1:45" ht="16.5" customHeight="1">
      <c r="A1007" s="307"/>
      <c r="B1007" s="307"/>
      <c r="C1007" s="200"/>
      <c r="D1007" s="200"/>
      <c r="E1007" s="200"/>
      <c r="F1007" s="200"/>
      <c r="G1007" s="200"/>
      <c r="H1007" s="200"/>
      <c r="I1007" s="200"/>
      <c r="J1007" s="200"/>
      <c r="K1007" s="200"/>
      <c r="L1007" s="200"/>
      <c r="M1007" s="200"/>
      <c r="N1007" s="200"/>
      <c r="O1007" s="200"/>
      <c r="P1007" s="359"/>
      <c r="Q1007" s="353"/>
      <c r="R1007" s="353"/>
      <c r="S1007" s="200"/>
      <c r="T1007" s="353"/>
      <c r="U1007" s="353"/>
      <c r="V1007" s="353"/>
      <c r="W1007" s="200"/>
      <c r="X1007" s="200"/>
      <c r="Y1007" s="200"/>
      <c r="Z1007" s="200"/>
      <c r="AA1007" s="200"/>
      <c r="AB1007" s="200"/>
      <c r="AC1007" s="200"/>
      <c r="AD1007" s="200"/>
      <c r="AE1007" s="200"/>
      <c r="AF1007" s="200"/>
      <c r="AG1007" s="200"/>
      <c r="AH1007" s="200"/>
      <c r="AI1007" s="200"/>
      <c r="AJ1007" s="200"/>
      <c r="AK1007" s="200"/>
      <c r="AL1007" s="200"/>
      <c r="AM1007" s="200"/>
      <c r="AN1007" s="200"/>
      <c r="AO1007" s="200"/>
      <c r="AP1007" s="200"/>
      <c r="AQ1007" s="200"/>
      <c r="AR1007" s="200"/>
      <c r="AS1007" s="200"/>
    </row>
    <row r="1008" spans="1:45" ht="16.5" customHeight="1">
      <c r="A1008" s="307"/>
      <c r="B1008" s="307"/>
      <c r="C1008" s="200"/>
      <c r="D1008" s="200"/>
      <c r="E1008" s="200"/>
      <c r="F1008" s="200"/>
      <c r="G1008" s="200"/>
      <c r="H1008" s="200"/>
      <c r="I1008" s="200"/>
      <c r="J1008" s="200"/>
      <c r="K1008" s="200"/>
      <c r="L1008" s="200"/>
      <c r="M1008" s="200"/>
      <c r="N1008" s="200"/>
      <c r="O1008" s="200"/>
      <c r="P1008" s="359"/>
      <c r="Q1008" s="353"/>
      <c r="R1008" s="353"/>
      <c r="S1008" s="200"/>
      <c r="T1008" s="353"/>
      <c r="U1008" s="353"/>
      <c r="V1008" s="353"/>
      <c r="W1008" s="200"/>
      <c r="X1008" s="200"/>
      <c r="Y1008" s="200"/>
      <c r="Z1008" s="200"/>
      <c r="AA1008" s="200"/>
      <c r="AB1008" s="200"/>
      <c r="AC1008" s="200"/>
      <c r="AD1008" s="200"/>
      <c r="AE1008" s="200"/>
      <c r="AF1008" s="200"/>
      <c r="AG1008" s="200"/>
      <c r="AH1008" s="200"/>
      <c r="AI1008" s="200"/>
      <c r="AJ1008" s="200"/>
      <c r="AK1008" s="200"/>
      <c r="AL1008" s="200"/>
      <c r="AM1008" s="200"/>
      <c r="AN1008" s="200"/>
      <c r="AO1008" s="200"/>
      <c r="AP1008" s="200"/>
      <c r="AQ1008" s="200"/>
      <c r="AR1008" s="200"/>
      <c r="AS1008" s="200"/>
    </row>
    <row r="1009" spans="1:45" ht="16.5" customHeight="1">
      <c r="A1009" s="307"/>
      <c r="B1009" s="307"/>
      <c r="C1009" s="200"/>
      <c r="D1009" s="200"/>
      <c r="E1009" s="200"/>
      <c r="F1009" s="200"/>
      <c r="G1009" s="200"/>
      <c r="H1009" s="200"/>
      <c r="I1009" s="200"/>
      <c r="J1009" s="200"/>
      <c r="K1009" s="200"/>
      <c r="L1009" s="200"/>
      <c r="M1009" s="200"/>
      <c r="N1009" s="200"/>
      <c r="O1009" s="200"/>
      <c r="P1009" s="359"/>
      <c r="Q1009" s="353"/>
      <c r="R1009" s="353"/>
      <c r="S1009" s="200"/>
      <c r="T1009" s="353"/>
      <c r="U1009" s="353"/>
      <c r="V1009" s="353"/>
      <c r="W1009" s="200"/>
      <c r="X1009" s="200"/>
      <c r="Y1009" s="200"/>
      <c r="Z1009" s="200"/>
      <c r="AA1009" s="200"/>
      <c r="AB1009" s="200"/>
      <c r="AC1009" s="200"/>
      <c r="AD1009" s="200"/>
      <c r="AE1009" s="200"/>
      <c r="AF1009" s="200"/>
      <c r="AG1009" s="200"/>
      <c r="AH1009" s="200"/>
      <c r="AI1009" s="200"/>
      <c r="AJ1009" s="200"/>
      <c r="AK1009" s="200"/>
      <c r="AL1009" s="200"/>
      <c r="AM1009" s="200"/>
      <c r="AN1009" s="200"/>
      <c r="AO1009" s="200"/>
      <c r="AP1009" s="200"/>
      <c r="AQ1009" s="200"/>
      <c r="AR1009" s="200"/>
      <c r="AS1009" s="200"/>
    </row>
    <row r="1010" spans="1:45" ht="16.5" customHeight="1">
      <c r="A1010" s="307"/>
      <c r="B1010" s="307"/>
      <c r="C1010" s="200"/>
      <c r="D1010" s="200"/>
      <c r="E1010" s="200"/>
      <c r="F1010" s="200"/>
      <c r="G1010" s="200"/>
      <c r="H1010" s="200"/>
      <c r="I1010" s="200"/>
      <c r="J1010" s="200"/>
      <c r="K1010" s="200"/>
      <c r="L1010" s="200"/>
      <c r="M1010" s="200"/>
      <c r="N1010" s="200"/>
      <c r="O1010" s="200"/>
      <c r="P1010" s="359"/>
      <c r="Q1010" s="353"/>
      <c r="R1010" s="353"/>
      <c r="S1010" s="200"/>
      <c r="T1010" s="353"/>
      <c r="U1010" s="353"/>
      <c r="V1010" s="353"/>
      <c r="W1010" s="200"/>
      <c r="X1010" s="200"/>
      <c r="Y1010" s="200"/>
      <c r="Z1010" s="200"/>
      <c r="AA1010" s="200"/>
      <c r="AB1010" s="200"/>
      <c r="AC1010" s="200"/>
      <c r="AD1010" s="200"/>
      <c r="AE1010" s="200"/>
      <c r="AF1010" s="200"/>
      <c r="AG1010" s="200"/>
      <c r="AH1010" s="200"/>
      <c r="AI1010" s="200"/>
      <c r="AJ1010" s="200"/>
      <c r="AK1010" s="200"/>
      <c r="AL1010" s="200"/>
      <c r="AM1010" s="200"/>
      <c r="AN1010" s="200"/>
      <c r="AO1010" s="200"/>
      <c r="AP1010" s="200"/>
      <c r="AQ1010" s="200"/>
      <c r="AR1010" s="200"/>
      <c r="AS1010" s="200"/>
    </row>
    <row r="1011" spans="1:45" ht="16.5" customHeight="1">
      <c r="A1011" s="307"/>
      <c r="B1011" s="307"/>
      <c r="C1011" s="200"/>
      <c r="D1011" s="200"/>
      <c r="E1011" s="200"/>
      <c r="F1011" s="200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359"/>
      <c r="Q1011" s="353"/>
      <c r="R1011" s="353"/>
      <c r="S1011" s="200"/>
      <c r="T1011" s="353"/>
      <c r="U1011" s="353"/>
      <c r="V1011" s="353"/>
      <c r="W1011" s="200"/>
      <c r="X1011" s="200"/>
      <c r="Y1011" s="200"/>
      <c r="Z1011" s="200"/>
      <c r="AA1011" s="200"/>
      <c r="AB1011" s="200"/>
      <c r="AC1011" s="200"/>
      <c r="AD1011" s="200"/>
      <c r="AE1011" s="200"/>
      <c r="AF1011" s="200"/>
      <c r="AG1011" s="200"/>
      <c r="AH1011" s="200"/>
      <c r="AI1011" s="200"/>
      <c r="AJ1011" s="200"/>
      <c r="AK1011" s="200"/>
      <c r="AL1011" s="200"/>
      <c r="AM1011" s="200"/>
      <c r="AN1011" s="200"/>
      <c r="AO1011" s="200"/>
      <c r="AP1011" s="200"/>
      <c r="AQ1011" s="200"/>
      <c r="AR1011" s="200"/>
      <c r="AS1011" s="200"/>
    </row>
    <row r="1012" spans="1:45" ht="16.5" customHeight="1">
      <c r="A1012" s="307"/>
      <c r="B1012" s="307"/>
      <c r="C1012" s="200"/>
      <c r="D1012" s="200"/>
      <c r="E1012" s="200"/>
      <c r="F1012" s="200"/>
      <c r="G1012" s="200"/>
      <c r="H1012" s="200"/>
      <c r="I1012" s="200"/>
      <c r="J1012" s="200"/>
      <c r="K1012" s="200"/>
      <c r="L1012" s="200"/>
      <c r="M1012" s="200"/>
      <c r="N1012" s="200"/>
      <c r="O1012" s="200"/>
      <c r="P1012" s="359"/>
      <c r="Q1012" s="353"/>
      <c r="R1012" s="353"/>
      <c r="S1012" s="200"/>
      <c r="T1012" s="353"/>
      <c r="U1012" s="353"/>
      <c r="V1012" s="353"/>
      <c r="W1012" s="200"/>
      <c r="X1012" s="200"/>
      <c r="Y1012" s="200"/>
      <c r="Z1012" s="200"/>
      <c r="AA1012" s="200"/>
      <c r="AB1012" s="200"/>
      <c r="AC1012" s="200"/>
      <c r="AD1012" s="200"/>
      <c r="AE1012" s="200"/>
      <c r="AF1012" s="200"/>
      <c r="AG1012" s="200"/>
      <c r="AH1012" s="200"/>
      <c r="AI1012" s="200"/>
      <c r="AJ1012" s="200"/>
      <c r="AK1012" s="200"/>
      <c r="AL1012" s="200"/>
      <c r="AM1012" s="200"/>
      <c r="AN1012" s="200"/>
      <c r="AO1012" s="200"/>
      <c r="AP1012" s="200"/>
      <c r="AQ1012" s="200"/>
      <c r="AR1012" s="200"/>
      <c r="AS1012" s="200"/>
    </row>
    <row r="1013" spans="1:45" ht="16.5" customHeight="1">
      <c r="A1013" s="307"/>
      <c r="B1013" s="307"/>
      <c r="C1013" s="200"/>
      <c r="D1013" s="200"/>
      <c r="E1013" s="200"/>
      <c r="F1013" s="200"/>
      <c r="G1013" s="200"/>
      <c r="H1013" s="200"/>
      <c r="I1013" s="200"/>
      <c r="J1013" s="200"/>
      <c r="K1013" s="200"/>
      <c r="L1013" s="200"/>
      <c r="M1013" s="200"/>
      <c r="N1013" s="200"/>
      <c r="O1013" s="200"/>
      <c r="P1013" s="359"/>
      <c r="Q1013" s="353"/>
      <c r="R1013" s="353"/>
      <c r="S1013" s="200"/>
      <c r="T1013" s="353"/>
      <c r="U1013" s="353"/>
      <c r="V1013" s="353"/>
      <c r="W1013" s="200"/>
      <c r="X1013" s="200"/>
      <c r="Y1013" s="200"/>
      <c r="Z1013" s="200"/>
      <c r="AA1013" s="200"/>
      <c r="AB1013" s="200"/>
      <c r="AC1013" s="200"/>
      <c r="AD1013" s="200"/>
      <c r="AE1013" s="200"/>
      <c r="AF1013" s="200"/>
      <c r="AG1013" s="200"/>
      <c r="AH1013" s="200"/>
      <c r="AI1013" s="200"/>
      <c r="AJ1013" s="200"/>
      <c r="AK1013" s="200"/>
      <c r="AL1013" s="200"/>
      <c r="AM1013" s="200"/>
      <c r="AN1013" s="200"/>
      <c r="AO1013" s="200"/>
      <c r="AP1013" s="200"/>
      <c r="AQ1013" s="200"/>
      <c r="AR1013" s="200"/>
      <c r="AS1013" s="200"/>
    </row>
    <row r="1014" spans="1:45" ht="16.5" customHeight="1">
      <c r="A1014" s="307"/>
      <c r="B1014" s="307"/>
      <c r="C1014" s="200"/>
      <c r="D1014" s="200"/>
      <c r="E1014" s="200"/>
      <c r="F1014" s="200"/>
      <c r="G1014" s="200"/>
      <c r="H1014" s="200"/>
      <c r="I1014" s="200"/>
      <c r="J1014" s="200"/>
      <c r="K1014" s="200"/>
      <c r="L1014" s="200"/>
      <c r="M1014" s="200"/>
      <c r="N1014" s="200"/>
      <c r="O1014" s="200"/>
      <c r="P1014" s="359"/>
      <c r="Q1014" s="353"/>
      <c r="R1014" s="353"/>
      <c r="S1014" s="200"/>
      <c r="T1014" s="353"/>
      <c r="U1014" s="353"/>
      <c r="V1014" s="353"/>
      <c r="W1014" s="200"/>
      <c r="X1014" s="200"/>
      <c r="Y1014" s="200"/>
      <c r="Z1014" s="200"/>
      <c r="AA1014" s="200"/>
      <c r="AB1014" s="200"/>
      <c r="AC1014" s="200"/>
      <c r="AD1014" s="200"/>
      <c r="AE1014" s="200"/>
      <c r="AF1014" s="200"/>
      <c r="AG1014" s="200"/>
      <c r="AH1014" s="200"/>
      <c r="AI1014" s="200"/>
      <c r="AJ1014" s="200"/>
      <c r="AK1014" s="200"/>
      <c r="AL1014" s="200"/>
      <c r="AM1014" s="200"/>
      <c r="AN1014" s="200"/>
      <c r="AO1014" s="200"/>
      <c r="AP1014" s="200"/>
      <c r="AQ1014" s="200"/>
      <c r="AR1014" s="200"/>
      <c r="AS1014" s="200"/>
    </row>
    <row r="1015" spans="1:45" ht="16.5" customHeight="1">
      <c r="A1015" s="307"/>
      <c r="B1015" s="307"/>
      <c r="C1015" s="200"/>
      <c r="D1015" s="200"/>
      <c r="E1015" s="200"/>
      <c r="F1015" s="200"/>
      <c r="G1015" s="200"/>
      <c r="H1015" s="200"/>
      <c r="I1015" s="200"/>
      <c r="J1015" s="200"/>
      <c r="K1015" s="200"/>
      <c r="L1015" s="200"/>
      <c r="M1015" s="200"/>
      <c r="N1015" s="200"/>
      <c r="O1015" s="200"/>
      <c r="P1015" s="359"/>
      <c r="Q1015" s="353"/>
      <c r="R1015" s="353"/>
      <c r="S1015" s="200"/>
      <c r="T1015" s="353"/>
      <c r="U1015" s="353"/>
      <c r="V1015" s="353"/>
      <c r="W1015" s="200"/>
      <c r="X1015" s="200"/>
      <c r="Y1015" s="200"/>
      <c r="Z1015" s="200"/>
      <c r="AA1015" s="200"/>
      <c r="AB1015" s="200"/>
      <c r="AC1015" s="200"/>
      <c r="AD1015" s="200"/>
      <c r="AE1015" s="200"/>
      <c r="AF1015" s="200"/>
      <c r="AG1015" s="200"/>
      <c r="AH1015" s="200"/>
      <c r="AI1015" s="200"/>
      <c r="AJ1015" s="200"/>
      <c r="AK1015" s="200"/>
      <c r="AL1015" s="200"/>
      <c r="AM1015" s="200"/>
      <c r="AN1015" s="200"/>
      <c r="AO1015" s="200"/>
      <c r="AP1015" s="200"/>
      <c r="AQ1015" s="200"/>
      <c r="AR1015" s="200"/>
      <c r="AS1015" s="200"/>
    </row>
    <row r="1016" spans="1:45" ht="16.5" customHeight="1">
      <c r="A1016" s="307"/>
      <c r="B1016" s="307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359"/>
      <c r="Q1016" s="353"/>
      <c r="R1016" s="353"/>
      <c r="S1016" s="200"/>
      <c r="T1016" s="353"/>
      <c r="U1016" s="353"/>
      <c r="V1016" s="353"/>
      <c r="W1016" s="200"/>
      <c r="X1016" s="200"/>
      <c r="Y1016" s="200"/>
      <c r="Z1016" s="200"/>
      <c r="AA1016" s="200"/>
      <c r="AB1016" s="200"/>
      <c r="AC1016" s="200"/>
      <c r="AD1016" s="200"/>
      <c r="AE1016" s="200"/>
      <c r="AF1016" s="200"/>
      <c r="AG1016" s="200"/>
      <c r="AH1016" s="200"/>
      <c r="AI1016" s="200"/>
      <c r="AJ1016" s="200"/>
      <c r="AK1016" s="200"/>
      <c r="AL1016" s="200"/>
      <c r="AM1016" s="200"/>
      <c r="AN1016" s="200"/>
      <c r="AO1016" s="200"/>
      <c r="AP1016" s="200"/>
      <c r="AQ1016" s="200"/>
      <c r="AR1016" s="200"/>
      <c r="AS1016" s="200"/>
    </row>
    <row r="1017" spans="1:45" ht="16.5" customHeight="1">
      <c r="A1017" s="307"/>
      <c r="B1017" s="307"/>
      <c r="C1017" s="200"/>
      <c r="D1017" s="200"/>
      <c r="E1017" s="200"/>
      <c r="F1017" s="200"/>
      <c r="G1017" s="200"/>
      <c r="H1017" s="200"/>
      <c r="I1017" s="200"/>
      <c r="J1017" s="200"/>
      <c r="K1017" s="200"/>
      <c r="L1017" s="200"/>
      <c r="M1017" s="200"/>
      <c r="N1017" s="200"/>
      <c r="O1017" s="200"/>
      <c r="P1017" s="359"/>
      <c r="Q1017" s="353"/>
      <c r="R1017" s="353"/>
      <c r="S1017" s="200"/>
      <c r="T1017" s="353"/>
      <c r="U1017" s="353"/>
      <c r="V1017" s="353"/>
      <c r="W1017" s="200"/>
      <c r="X1017" s="200"/>
      <c r="Y1017" s="200"/>
      <c r="Z1017" s="200"/>
      <c r="AA1017" s="200"/>
      <c r="AB1017" s="200"/>
      <c r="AC1017" s="200"/>
      <c r="AD1017" s="200"/>
      <c r="AE1017" s="200"/>
      <c r="AF1017" s="200"/>
      <c r="AG1017" s="200"/>
      <c r="AH1017" s="200"/>
      <c r="AI1017" s="200"/>
      <c r="AJ1017" s="200"/>
      <c r="AK1017" s="200"/>
      <c r="AL1017" s="200"/>
      <c r="AM1017" s="200"/>
      <c r="AN1017" s="200"/>
      <c r="AO1017" s="200"/>
      <c r="AP1017" s="200"/>
      <c r="AQ1017" s="200"/>
      <c r="AR1017" s="200"/>
      <c r="AS1017" s="200"/>
    </row>
    <row r="1018" spans="1:45" ht="16.5" customHeight="1">
      <c r="A1018" s="307"/>
      <c r="B1018" s="307"/>
      <c r="C1018" s="200"/>
      <c r="D1018" s="200"/>
      <c r="E1018" s="200"/>
      <c r="F1018" s="200"/>
      <c r="G1018" s="200"/>
      <c r="H1018" s="200"/>
      <c r="I1018" s="200"/>
      <c r="J1018" s="200"/>
      <c r="K1018" s="200"/>
      <c r="L1018" s="200"/>
      <c r="M1018" s="200"/>
      <c r="N1018" s="200"/>
      <c r="O1018" s="200"/>
      <c r="P1018" s="359"/>
      <c r="Q1018" s="353"/>
      <c r="R1018" s="353"/>
      <c r="S1018" s="200"/>
      <c r="T1018" s="353"/>
      <c r="U1018" s="353"/>
      <c r="V1018" s="353"/>
      <c r="W1018" s="200"/>
      <c r="X1018" s="200"/>
      <c r="Y1018" s="200"/>
      <c r="Z1018" s="200"/>
      <c r="AA1018" s="200"/>
      <c r="AB1018" s="200"/>
      <c r="AC1018" s="200"/>
      <c r="AD1018" s="200"/>
      <c r="AE1018" s="200"/>
      <c r="AF1018" s="200"/>
      <c r="AG1018" s="200"/>
      <c r="AH1018" s="200"/>
      <c r="AI1018" s="200"/>
      <c r="AJ1018" s="200"/>
      <c r="AK1018" s="200"/>
      <c r="AL1018" s="200"/>
      <c r="AM1018" s="200"/>
      <c r="AN1018" s="200"/>
      <c r="AO1018" s="200"/>
      <c r="AP1018" s="200"/>
      <c r="AQ1018" s="200"/>
      <c r="AR1018" s="200"/>
      <c r="AS1018" s="200"/>
    </row>
    <row r="1019" spans="1:45" ht="16.5" customHeight="1">
      <c r="A1019" s="307"/>
      <c r="B1019" s="307"/>
      <c r="C1019" s="200"/>
      <c r="D1019" s="200"/>
      <c r="E1019" s="200"/>
      <c r="F1019" s="200"/>
      <c r="G1019" s="200"/>
      <c r="H1019" s="200"/>
      <c r="I1019" s="200"/>
      <c r="J1019" s="200"/>
      <c r="K1019" s="200"/>
      <c r="L1019" s="200"/>
      <c r="M1019" s="200"/>
      <c r="N1019" s="200"/>
      <c r="O1019" s="200"/>
      <c r="P1019" s="359"/>
      <c r="Q1019" s="353"/>
      <c r="R1019" s="353"/>
      <c r="S1019" s="200"/>
      <c r="T1019" s="353"/>
      <c r="U1019" s="353"/>
      <c r="V1019" s="353"/>
      <c r="W1019" s="200"/>
      <c r="X1019" s="200"/>
      <c r="Y1019" s="200"/>
      <c r="Z1019" s="200"/>
      <c r="AA1019" s="200"/>
      <c r="AB1019" s="200"/>
      <c r="AC1019" s="200"/>
      <c r="AD1019" s="200"/>
      <c r="AE1019" s="200"/>
      <c r="AF1019" s="200"/>
      <c r="AG1019" s="200"/>
      <c r="AH1019" s="200"/>
      <c r="AI1019" s="200"/>
      <c r="AJ1019" s="200"/>
      <c r="AK1019" s="200"/>
      <c r="AL1019" s="200"/>
      <c r="AM1019" s="200"/>
      <c r="AN1019" s="200"/>
      <c r="AO1019" s="200"/>
      <c r="AP1019" s="200"/>
      <c r="AQ1019" s="200"/>
      <c r="AR1019" s="200"/>
      <c r="AS1019" s="200"/>
    </row>
    <row r="1020" spans="1:45" ht="16.5" customHeight="1">
      <c r="A1020" s="307"/>
      <c r="B1020" s="307"/>
      <c r="C1020" s="200"/>
      <c r="D1020" s="200"/>
      <c r="E1020" s="200"/>
      <c r="F1020" s="200"/>
      <c r="G1020" s="200"/>
      <c r="H1020" s="200"/>
      <c r="I1020" s="200"/>
      <c r="J1020" s="200"/>
      <c r="K1020" s="200"/>
      <c r="L1020" s="200"/>
      <c r="M1020" s="200"/>
      <c r="N1020" s="200"/>
      <c r="O1020" s="200"/>
      <c r="P1020" s="359"/>
      <c r="Q1020" s="353"/>
      <c r="R1020" s="353"/>
      <c r="S1020" s="200"/>
      <c r="T1020" s="353"/>
      <c r="U1020" s="353"/>
      <c r="V1020" s="353"/>
      <c r="W1020" s="200"/>
      <c r="X1020" s="200"/>
      <c r="Y1020" s="200"/>
      <c r="Z1020" s="200"/>
      <c r="AA1020" s="200"/>
      <c r="AB1020" s="200"/>
      <c r="AC1020" s="200"/>
      <c r="AD1020" s="200"/>
      <c r="AE1020" s="200"/>
      <c r="AF1020" s="200"/>
      <c r="AG1020" s="200"/>
      <c r="AH1020" s="200"/>
      <c r="AI1020" s="200"/>
      <c r="AJ1020" s="200"/>
      <c r="AK1020" s="200"/>
      <c r="AL1020" s="200"/>
      <c r="AM1020" s="200"/>
      <c r="AN1020" s="200"/>
      <c r="AO1020" s="200"/>
      <c r="AP1020" s="200"/>
      <c r="AQ1020" s="200"/>
      <c r="AR1020" s="200"/>
      <c r="AS1020" s="200"/>
    </row>
    <row r="1021" spans="1:45" ht="16.5" customHeight="1">
      <c r="A1021" s="307"/>
      <c r="B1021" s="307"/>
      <c r="C1021" s="200"/>
      <c r="D1021" s="200"/>
      <c r="E1021" s="200"/>
      <c r="F1021" s="200"/>
      <c r="G1021" s="200"/>
      <c r="H1021" s="200"/>
      <c r="I1021" s="200"/>
      <c r="J1021" s="200"/>
      <c r="K1021" s="200"/>
      <c r="L1021" s="200"/>
      <c r="M1021" s="200"/>
      <c r="N1021" s="200"/>
      <c r="O1021" s="200"/>
      <c r="P1021" s="359"/>
      <c r="Q1021" s="353"/>
      <c r="R1021" s="353"/>
      <c r="S1021" s="200"/>
      <c r="T1021" s="353"/>
      <c r="U1021" s="353"/>
      <c r="V1021" s="353"/>
      <c r="W1021" s="200"/>
      <c r="X1021" s="200"/>
      <c r="Y1021" s="200"/>
      <c r="Z1021" s="200"/>
      <c r="AA1021" s="200"/>
      <c r="AB1021" s="200"/>
      <c r="AC1021" s="200"/>
      <c r="AD1021" s="200"/>
      <c r="AE1021" s="200"/>
      <c r="AF1021" s="200"/>
      <c r="AG1021" s="200"/>
      <c r="AH1021" s="200"/>
      <c r="AI1021" s="200"/>
      <c r="AJ1021" s="200"/>
      <c r="AK1021" s="200"/>
      <c r="AL1021" s="200"/>
      <c r="AM1021" s="200"/>
      <c r="AN1021" s="200"/>
      <c r="AO1021" s="200"/>
      <c r="AP1021" s="200"/>
      <c r="AQ1021" s="200"/>
      <c r="AR1021" s="200"/>
      <c r="AS1021" s="200"/>
    </row>
    <row r="1022" spans="1:45" ht="16.5" customHeight="1">
      <c r="A1022" s="307"/>
      <c r="B1022" s="307"/>
      <c r="C1022" s="200"/>
      <c r="D1022" s="200"/>
      <c r="E1022" s="200"/>
      <c r="F1022" s="200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359"/>
      <c r="Q1022" s="353"/>
      <c r="R1022" s="353"/>
      <c r="S1022" s="200"/>
      <c r="T1022" s="353"/>
      <c r="U1022" s="353"/>
      <c r="V1022" s="353"/>
      <c r="W1022" s="200"/>
      <c r="X1022" s="200"/>
      <c r="Y1022" s="200"/>
      <c r="Z1022" s="200"/>
      <c r="AA1022" s="200"/>
      <c r="AB1022" s="200"/>
      <c r="AC1022" s="200"/>
      <c r="AD1022" s="200"/>
      <c r="AE1022" s="200"/>
      <c r="AF1022" s="200"/>
      <c r="AG1022" s="200"/>
      <c r="AH1022" s="200"/>
      <c r="AI1022" s="200"/>
      <c r="AJ1022" s="200"/>
      <c r="AK1022" s="200"/>
      <c r="AL1022" s="200"/>
      <c r="AM1022" s="200"/>
      <c r="AN1022" s="200"/>
      <c r="AO1022" s="200"/>
      <c r="AP1022" s="200"/>
      <c r="AQ1022" s="200"/>
      <c r="AR1022" s="200"/>
      <c r="AS1022" s="200"/>
    </row>
    <row r="1023" spans="1:45" ht="16.5" customHeight="1">
      <c r="A1023" s="307"/>
      <c r="B1023" s="307"/>
      <c r="C1023" s="200"/>
      <c r="D1023" s="200"/>
      <c r="E1023" s="200"/>
      <c r="F1023" s="200"/>
      <c r="G1023" s="200"/>
      <c r="H1023" s="200"/>
      <c r="I1023" s="200"/>
      <c r="J1023" s="200"/>
      <c r="K1023" s="200"/>
      <c r="L1023" s="200"/>
      <c r="M1023" s="200"/>
      <c r="N1023" s="200"/>
      <c r="O1023" s="200"/>
      <c r="P1023" s="359"/>
      <c r="Q1023" s="353"/>
      <c r="R1023" s="353"/>
      <c r="S1023" s="200"/>
      <c r="T1023" s="353"/>
      <c r="U1023" s="353"/>
      <c r="V1023" s="353"/>
      <c r="W1023" s="200"/>
      <c r="X1023" s="200"/>
      <c r="Y1023" s="200"/>
      <c r="Z1023" s="200"/>
      <c r="AA1023" s="200"/>
      <c r="AB1023" s="200"/>
      <c r="AC1023" s="200"/>
      <c r="AD1023" s="200"/>
      <c r="AE1023" s="200"/>
      <c r="AF1023" s="200"/>
      <c r="AG1023" s="200"/>
      <c r="AH1023" s="200"/>
      <c r="AI1023" s="200"/>
      <c r="AJ1023" s="200"/>
      <c r="AK1023" s="200"/>
      <c r="AL1023" s="200"/>
      <c r="AM1023" s="200"/>
      <c r="AN1023" s="200"/>
      <c r="AO1023" s="200"/>
      <c r="AP1023" s="200"/>
      <c r="AQ1023" s="200"/>
      <c r="AR1023" s="200"/>
      <c r="AS1023" s="200"/>
    </row>
    <row r="1024" spans="1:45" ht="16.5" customHeight="1">
      <c r="A1024" s="307"/>
      <c r="B1024" s="307"/>
      <c r="C1024" s="200"/>
      <c r="D1024" s="200"/>
      <c r="E1024" s="200"/>
      <c r="F1024" s="200"/>
      <c r="G1024" s="200"/>
      <c r="H1024" s="200"/>
      <c r="I1024" s="200"/>
      <c r="J1024" s="200"/>
      <c r="K1024" s="200"/>
      <c r="L1024" s="200"/>
      <c r="M1024" s="200"/>
      <c r="N1024" s="200"/>
      <c r="O1024" s="200"/>
      <c r="P1024" s="359"/>
      <c r="Q1024" s="353"/>
      <c r="R1024" s="353"/>
      <c r="S1024" s="200"/>
      <c r="T1024" s="353"/>
      <c r="U1024" s="353"/>
      <c r="V1024" s="353"/>
      <c r="W1024" s="200"/>
      <c r="X1024" s="200"/>
      <c r="Y1024" s="200"/>
      <c r="Z1024" s="200"/>
      <c r="AA1024" s="200"/>
      <c r="AB1024" s="200"/>
      <c r="AC1024" s="200"/>
      <c r="AD1024" s="200"/>
      <c r="AE1024" s="200"/>
      <c r="AF1024" s="200"/>
      <c r="AG1024" s="200"/>
      <c r="AH1024" s="200"/>
      <c r="AI1024" s="200"/>
      <c r="AJ1024" s="200"/>
      <c r="AK1024" s="200"/>
      <c r="AL1024" s="200"/>
      <c r="AM1024" s="200"/>
      <c r="AN1024" s="200"/>
      <c r="AO1024" s="200"/>
      <c r="AP1024" s="200"/>
      <c r="AQ1024" s="200"/>
      <c r="AR1024" s="200"/>
      <c r="AS1024" s="200"/>
    </row>
    <row r="1025" spans="1:45" ht="16.5" customHeight="1">
      <c r="A1025" s="307"/>
      <c r="B1025" s="307"/>
      <c r="C1025" s="200"/>
      <c r="D1025" s="200"/>
      <c r="E1025" s="200"/>
      <c r="F1025" s="200"/>
      <c r="G1025" s="200"/>
      <c r="H1025" s="200"/>
      <c r="I1025" s="200"/>
      <c r="J1025" s="200"/>
      <c r="K1025" s="200"/>
      <c r="L1025" s="200"/>
      <c r="M1025" s="200"/>
      <c r="N1025" s="200"/>
      <c r="O1025" s="200"/>
      <c r="P1025" s="359"/>
      <c r="Q1025" s="353"/>
      <c r="R1025" s="353"/>
      <c r="S1025" s="200"/>
      <c r="T1025" s="353"/>
      <c r="U1025" s="353"/>
      <c r="V1025" s="353"/>
      <c r="W1025" s="200"/>
      <c r="X1025" s="200"/>
      <c r="Y1025" s="200"/>
      <c r="Z1025" s="200"/>
      <c r="AA1025" s="200"/>
      <c r="AB1025" s="200"/>
      <c r="AC1025" s="200"/>
      <c r="AD1025" s="200"/>
      <c r="AE1025" s="200"/>
      <c r="AF1025" s="200"/>
      <c r="AG1025" s="200"/>
      <c r="AH1025" s="200"/>
      <c r="AI1025" s="200"/>
      <c r="AJ1025" s="200"/>
      <c r="AK1025" s="200"/>
      <c r="AL1025" s="200"/>
      <c r="AM1025" s="200"/>
      <c r="AN1025" s="200"/>
      <c r="AO1025" s="200"/>
      <c r="AP1025" s="200"/>
      <c r="AQ1025" s="200"/>
      <c r="AR1025" s="200"/>
      <c r="AS1025" s="200"/>
    </row>
    <row r="1026" spans="1:45" ht="16.5" customHeight="1">
      <c r="A1026" s="307"/>
      <c r="B1026" s="307"/>
      <c r="C1026" s="200"/>
      <c r="D1026" s="200"/>
      <c r="E1026" s="200"/>
      <c r="F1026" s="200"/>
      <c r="G1026" s="200"/>
      <c r="H1026" s="200"/>
      <c r="I1026" s="200"/>
      <c r="J1026" s="200"/>
      <c r="K1026" s="200"/>
      <c r="L1026" s="200"/>
      <c r="M1026" s="200"/>
      <c r="N1026" s="200"/>
      <c r="O1026" s="200"/>
      <c r="P1026" s="359"/>
      <c r="Q1026" s="353"/>
      <c r="R1026" s="353"/>
      <c r="S1026" s="200"/>
      <c r="T1026" s="353"/>
      <c r="U1026" s="353"/>
      <c r="V1026" s="353"/>
      <c r="W1026" s="200"/>
      <c r="X1026" s="200"/>
      <c r="Y1026" s="200"/>
      <c r="Z1026" s="200"/>
      <c r="AA1026" s="200"/>
      <c r="AB1026" s="200"/>
      <c r="AC1026" s="200"/>
      <c r="AD1026" s="200"/>
      <c r="AE1026" s="200"/>
      <c r="AF1026" s="200"/>
      <c r="AG1026" s="200"/>
      <c r="AH1026" s="200"/>
      <c r="AI1026" s="200"/>
      <c r="AJ1026" s="200"/>
      <c r="AK1026" s="200"/>
      <c r="AL1026" s="200"/>
      <c r="AM1026" s="200"/>
      <c r="AN1026" s="200"/>
      <c r="AO1026" s="200"/>
      <c r="AP1026" s="200"/>
      <c r="AQ1026" s="200"/>
      <c r="AR1026" s="200"/>
      <c r="AS1026" s="200"/>
    </row>
    <row r="1027" spans="1:45" ht="16.5" customHeight="1">
      <c r="A1027" s="307"/>
      <c r="B1027" s="307"/>
      <c r="C1027" s="200"/>
      <c r="D1027" s="200"/>
      <c r="E1027" s="200"/>
      <c r="F1027" s="200"/>
      <c r="G1027" s="200"/>
      <c r="H1027" s="200"/>
      <c r="I1027" s="200"/>
      <c r="J1027" s="200"/>
      <c r="K1027" s="200"/>
      <c r="L1027" s="200"/>
      <c r="M1027" s="200"/>
      <c r="N1027" s="200"/>
      <c r="O1027" s="200"/>
      <c r="P1027" s="359"/>
      <c r="Q1027" s="353"/>
      <c r="R1027" s="353"/>
      <c r="S1027" s="200"/>
      <c r="T1027" s="353"/>
      <c r="U1027" s="353"/>
      <c r="V1027" s="353"/>
      <c r="W1027" s="200"/>
      <c r="X1027" s="200"/>
      <c r="Y1027" s="200"/>
      <c r="Z1027" s="200"/>
      <c r="AA1027" s="200"/>
      <c r="AB1027" s="200"/>
      <c r="AC1027" s="200"/>
      <c r="AD1027" s="200"/>
      <c r="AE1027" s="200"/>
      <c r="AF1027" s="200"/>
      <c r="AG1027" s="200"/>
      <c r="AH1027" s="200"/>
      <c r="AI1027" s="200"/>
      <c r="AJ1027" s="200"/>
      <c r="AK1027" s="200"/>
      <c r="AL1027" s="200"/>
      <c r="AM1027" s="200"/>
      <c r="AN1027" s="200"/>
      <c r="AO1027" s="200"/>
      <c r="AP1027" s="200"/>
      <c r="AQ1027" s="200"/>
      <c r="AR1027" s="200"/>
      <c r="AS1027" s="200"/>
    </row>
    <row r="1028" spans="1:45" ht="16.5" customHeight="1">
      <c r="A1028" s="307"/>
      <c r="B1028" s="307"/>
      <c r="C1028" s="200"/>
      <c r="D1028" s="200"/>
      <c r="E1028" s="200"/>
      <c r="F1028" s="200"/>
      <c r="G1028" s="200"/>
      <c r="H1028" s="200"/>
      <c r="I1028" s="200"/>
      <c r="J1028" s="200"/>
      <c r="K1028" s="200"/>
      <c r="L1028" s="200"/>
      <c r="M1028" s="200"/>
      <c r="N1028" s="200"/>
      <c r="O1028" s="200"/>
      <c r="P1028" s="359"/>
      <c r="Q1028" s="353"/>
      <c r="R1028" s="353"/>
      <c r="S1028" s="200"/>
      <c r="T1028" s="353"/>
      <c r="U1028" s="353"/>
      <c r="V1028" s="353"/>
      <c r="W1028" s="200"/>
      <c r="X1028" s="200"/>
      <c r="Y1028" s="200"/>
      <c r="Z1028" s="200"/>
      <c r="AA1028" s="200"/>
      <c r="AB1028" s="200"/>
      <c r="AC1028" s="200"/>
      <c r="AD1028" s="200"/>
      <c r="AE1028" s="200"/>
      <c r="AF1028" s="200"/>
      <c r="AG1028" s="200"/>
      <c r="AH1028" s="200"/>
      <c r="AI1028" s="200"/>
      <c r="AJ1028" s="200"/>
      <c r="AK1028" s="200"/>
      <c r="AL1028" s="200"/>
      <c r="AM1028" s="200"/>
      <c r="AN1028" s="200"/>
      <c r="AO1028" s="200"/>
      <c r="AP1028" s="200"/>
      <c r="AQ1028" s="200"/>
      <c r="AR1028" s="200"/>
      <c r="AS1028" s="200"/>
    </row>
    <row r="1029" spans="1:45" ht="16.5" customHeight="1">
      <c r="A1029" s="307"/>
      <c r="B1029" s="307"/>
      <c r="C1029" s="200"/>
      <c r="D1029" s="200"/>
      <c r="E1029" s="200"/>
      <c r="F1029" s="200"/>
      <c r="G1029" s="200"/>
      <c r="H1029" s="200"/>
      <c r="I1029" s="200"/>
      <c r="J1029" s="200"/>
      <c r="K1029" s="200"/>
      <c r="L1029" s="200"/>
      <c r="M1029" s="200"/>
      <c r="N1029" s="200"/>
      <c r="O1029" s="200"/>
      <c r="P1029" s="359"/>
      <c r="Q1029" s="353"/>
      <c r="R1029" s="353"/>
      <c r="S1029" s="200"/>
      <c r="T1029" s="353"/>
      <c r="U1029" s="353"/>
      <c r="V1029" s="353"/>
      <c r="W1029" s="200"/>
      <c r="X1029" s="200"/>
      <c r="Y1029" s="200"/>
      <c r="Z1029" s="200"/>
      <c r="AA1029" s="200"/>
      <c r="AB1029" s="200"/>
      <c r="AC1029" s="200"/>
      <c r="AD1029" s="200"/>
      <c r="AE1029" s="200"/>
      <c r="AF1029" s="200"/>
      <c r="AG1029" s="200"/>
      <c r="AH1029" s="200"/>
      <c r="AI1029" s="200"/>
      <c r="AJ1029" s="200"/>
      <c r="AK1029" s="200"/>
      <c r="AL1029" s="200"/>
      <c r="AM1029" s="200"/>
      <c r="AN1029" s="200"/>
      <c r="AO1029" s="200"/>
      <c r="AP1029" s="200"/>
      <c r="AQ1029" s="200"/>
      <c r="AR1029" s="200"/>
      <c r="AS1029" s="200"/>
    </row>
    <row r="1030" spans="1:45" ht="16.5" customHeight="1">
      <c r="A1030" s="307"/>
      <c r="B1030" s="307"/>
      <c r="C1030" s="200"/>
      <c r="D1030" s="200"/>
      <c r="E1030" s="200"/>
      <c r="F1030" s="200"/>
      <c r="G1030" s="200"/>
      <c r="H1030" s="200"/>
      <c r="I1030" s="200"/>
      <c r="J1030" s="200"/>
      <c r="K1030" s="200"/>
      <c r="L1030" s="200"/>
      <c r="M1030" s="200"/>
      <c r="N1030" s="200"/>
      <c r="O1030" s="200"/>
      <c r="P1030" s="359"/>
      <c r="Q1030" s="353"/>
      <c r="R1030" s="353"/>
      <c r="S1030" s="200"/>
      <c r="T1030" s="353"/>
      <c r="U1030" s="353"/>
      <c r="V1030" s="353"/>
      <c r="W1030" s="200"/>
      <c r="X1030" s="200"/>
      <c r="Y1030" s="200"/>
      <c r="Z1030" s="200"/>
      <c r="AA1030" s="200"/>
      <c r="AB1030" s="200"/>
      <c r="AC1030" s="200"/>
      <c r="AD1030" s="200"/>
      <c r="AE1030" s="200"/>
      <c r="AF1030" s="200"/>
      <c r="AG1030" s="200"/>
      <c r="AH1030" s="200"/>
      <c r="AI1030" s="200"/>
      <c r="AJ1030" s="200"/>
      <c r="AK1030" s="200"/>
      <c r="AL1030" s="200"/>
      <c r="AM1030" s="200"/>
      <c r="AN1030" s="200"/>
      <c r="AO1030" s="200"/>
      <c r="AP1030" s="200"/>
      <c r="AQ1030" s="200"/>
      <c r="AR1030" s="200"/>
      <c r="AS1030" s="200"/>
    </row>
    <row r="1031" spans="1:45" ht="16.5" customHeight="1">
      <c r="A1031" s="307"/>
      <c r="B1031" s="307"/>
      <c r="C1031" s="200"/>
      <c r="D1031" s="200"/>
      <c r="E1031" s="200"/>
      <c r="F1031" s="200"/>
      <c r="G1031" s="200"/>
      <c r="H1031" s="200"/>
      <c r="I1031" s="200"/>
      <c r="J1031" s="200"/>
      <c r="K1031" s="200"/>
      <c r="L1031" s="200"/>
      <c r="M1031" s="200"/>
      <c r="N1031" s="200"/>
      <c r="O1031" s="200"/>
      <c r="P1031" s="359"/>
      <c r="Q1031" s="353"/>
      <c r="R1031" s="353"/>
      <c r="S1031" s="200"/>
      <c r="T1031" s="353"/>
      <c r="U1031" s="353"/>
      <c r="V1031" s="353"/>
      <c r="W1031" s="200"/>
      <c r="X1031" s="200"/>
      <c r="Y1031" s="200"/>
      <c r="Z1031" s="200"/>
      <c r="AA1031" s="200"/>
      <c r="AB1031" s="200"/>
      <c r="AC1031" s="200"/>
      <c r="AD1031" s="200"/>
      <c r="AE1031" s="200"/>
      <c r="AF1031" s="200"/>
      <c r="AG1031" s="200"/>
      <c r="AH1031" s="200"/>
      <c r="AI1031" s="200"/>
      <c r="AJ1031" s="200"/>
      <c r="AK1031" s="200"/>
      <c r="AL1031" s="200"/>
      <c r="AM1031" s="200"/>
      <c r="AN1031" s="200"/>
      <c r="AO1031" s="200"/>
      <c r="AP1031" s="200"/>
      <c r="AQ1031" s="200"/>
      <c r="AR1031" s="200"/>
      <c r="AS1031" s="200"/>
    </row>
    <row r="1032" spans="1:45" ht="16.5" customHeight="1">
      <c r="A1032" s="307"/>
      <c r="B1032" s="307"/>
      <c r="C1032" s="200"/>
      <c r="D1032" s="200"/>
      <c r="E1032" s="200"/>
      <c r="F1032" s="200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359"/>
      <c r="Q1032" s="353"/>
      <c r="R1032" s="353"/>
      <c r="S1032" s="200"/>
      <c r="T1032" s="353"/>
      <c r="U1032" s="353"/>
      <c r="V1032" s="353"/>
      <c r="W1032" s="200"/>
      <c r="X1032" s="200"/>
      <c r="Y1032" s="200"/>
      <c r="Z1032" s="200"/>
      <c r="AA1032" s="200"/>
      <c r="AB1032" s="200"/>
      <c r="AC1032" s="200"/>
      <c r="AD1032" s="200"/>
      <c r="AE1032" s="200"/>
      <c r="AF1032" s="200"/>
      <c r="AG1032" s="200"/>
      <c r="AH1032" s="200"/>
      <c r="AI1032" s="200"/>
      <c r="AJ1032" s="200"/>
      <c r="AK1032" s="200"/>
      <c r="AL1032" s="200"/>
      <c r="AM1032" s="200"/>
      <c r="AN1032" s="200"/>
      <c r="AO1032" s="200"/>
      <c r="AP1032" s="200"/>
      <c r="AQ1032" s="200"/>
      <c r="AR1032" s="200"/>
      <c r="AS1032" s="200"/>
    </row>
    <row r="1033" spans="1:45" ht="16.5" customHeight="1">
      <c r="A1033" s="307"/>
      <c r="B1033" s="307"/>
      <c r="C1033" s="200"/>
      <c r="D1033" s="200"/>
      <c r="E1033" s="200"/>
      <c r="F1033" s="200"/>
      <c r="G1033" s="200"/>
      <c r="H1033" s="200"/>
      <c r="I1033" s="200"/>
      <c r="J1033" s="200"/>
      <c r="K1033" s="200"/>
      <c r="L1033" s="200"/>
      <c r="M1033" s="200"/>
      <c r="N1033" s="200"/>
      <c r="O1033" s="200"/>
      <c r="P1033" s="359"/>
      <c r="Q1033" s="353"/>
      <c r="R1033" s="353"/>
      <c r="S1033" s="200"/>
      <c r="T1033" s="353"/>
      <c r="U1033" s="353"/>
      <c r="V1033" s="353"/>
      <c r="W1033" s="200"/>
      <c r="X1033" s="200"/>
      <c r="Y1033" s="200"/>
      <c r="Z1033" s="200"/>
      <c r="AA1033" s="200"/>
      <c r="AB1033" s="200"/>
      <c r="AC1033" s="200"/>
      <c r="AD1033" s="200"/>
      <c r="AE1033" s="200"/>
      <c r="AF1033" s="200"/>
      <c r="AG1033" s="200"/>
      <c r="AH1033" s="200"/>
      <c r="AI1033" s="200"/>
      <c r="AJ1033" s="200"/>
      <c r="AK1033" s="200"/>
      <c r="AL1033" s="200"/>
      <c r="AM1033" s="200"/>
      <c r="AN1033" s="200"/>
      <c r="AO1033" s="200"/>
      <c r="AP1033" s="200"/>
      <c r="AQ1033" s="200"/>
      <c r="AR1033" s="200"/>
      <c r="AS1033" s="200"/>
    </row>
    <row r="1034" spans="1:45" ht="16.5" customHeight="1">
      <c r="A1034" s="307"/>
      <c r="B1034" s="307"/>
      <c r="C1034" s="200"/>
      <c r="D1034" s="200"/>
      <c r="E1034" s="200"/>
      <c r="F1034" s="200"/>
      <c r="G1034" s="200"/>
      <c r="H1034" s="200"/>
      <c r="I1034" s="200"/>
      <c r="J1034" s="200"/>
      <c r="K1034" s="200"/>
      <c r="L1034" s="200"/>
      <c r="M1034" s="200"/>
      <c r="N1034" s="200"/>
      <c r="O1034" s="200"/>
      <c r="P1034" s="359"/>
      <c r="Q1034" s="353"/>
      <c r="R1034" s="353"/>
      <c r="S1034" s="200"/>
      <c r="T1034" s="353"/>
      <c r="U1034" s="353"/>
      <c r="V1034" s="353"/>
      <c r="W1034" s="200"/>
      <c r="X1034" s="200"/>
      <c r="Y1034" s="200"/>
      <c r="Z1034" s="200"/>
      <c r="AA1034" s="200"/>
      <c r="AB1034" s="200"/>
      <c r="AC1034" s="200"/>
      <c r="AD1034" s="200"/>
      <c r="AE1034" s="200"/>
      <c r="AF1034" s="200"/>
      <c r="AG1034" s="200"/>
      <c r="AH1034" s="200"/>
      <c r="AI1034" s="200"/>
      <c r="AJ1034" s="200"/>
      <c r="AK1034" s="200"/>
      <c r="AL1034" s="200"/>
      <c r="AM1034" s="200"/>
      <c r="AN1034" s="200"/>
      <c r="AO1034" s="200"/>
      <c r="AP1034" s="200"/>
      <c r="AQ1034" s="200"/>
      <c r="AR1034" s="200"/>
      <c r="AS1034" s="200"/>
    </row>
    <row r="1035" spans="1:45" ht="16.5" customHeight="1">
      <c r="A1035" s="307"/>
      <c r="B1035" s="307"/>
      <c r="C1035" s="200"/>
      <c r="D1035" s="200"/>
      <c r="E1035" s="200"/>
      <c r="F1035" s="200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359"/>
      <c r="Q1035" s="353"/>
      <c r="R1035" s="353"/>
      <c r="S1035" s="200"/>
      <c r="T1035" s="353"/>
      <c r="U1035" s="353"/>
      <c r="V1035" s="353"/>
      <c r="W1035" s="200"/>
      <c r="X1035" s="200"/>
      <c r="Y1035" s="200"/>
      <c r="Z1035" s="200"/>
      <c r="AA1035" s="200"/>
      <c r="AB1035" s="200"/>
      <c r="AC1035" s="200"/>
      <c r="AD1035" s="200"/>
      <c r="AE1035" s="200"/>
      <c r="AF1035" s="200"/>
      <c r="AG1035" s="200"/>
      <c r="AH1035" s="200"/>
      <c r="AI1035" s="200"/>
      <c r="AJ1035" s="200"/>
      <c r="AK1035" s="200"/>
      <c r="AL1035" s="200"/>
      <c r="AM1035" s="200"/>
      <c r="AN1035" s="200"/>
      <c r="AO1035" s="200"/>
      <c r="AP1035" s="200"/>
      <c r="AQ1035" s="200"/>
      <c r="AR1035" s="200"/>
      <c r="AS1035" s="200"/>
    </row>
    <row r="1036" spans="1:45" ht="16.5" customHeight="1">
      <c r="A1036" s="307"/>
      <c r="B1036" s="307"/>
      <c r="C1036" s="200"/>
      <c r="D1036" s="200"/>
      <c r="E1036" s="200"/>
      <c r="F1036" s="200"/>
      <c r="G1036" s="200"/>
      <c r="H1036" s="200"/>
      <c r="I1036" s="200"/>
      <c r="J1036" s="200"/>
      <c r="K1036" s="200"/>
      <c r="L1036" s="200"/>
      <c r="M1036" s="200"/>
      <c r="N1036" s="200"/>
      <c r="O1036" s="200"/>
      <c r="P1036" s="359"/>
      <c r="Q1036" s="353"/>
      <c r="R1036" s="353"/>
      <c r="S1036" s="200"/>
      <c r="T1036" s="353"/>
      <c r="U1036" s="353"/>
      <c r="V1036" s="353"/>
      <c r="W1036" s="200"/>
      <c r="X1036" s="200"/>
      <c r="Y1036" s="200"/>
      <c r="Z1036" s="200"/>
      <c r="AA1036" s="200"/>
      <c r="AB1036" s="200"/>
      <c r="AC1036" s="200"/>
      <c r="AD1036" s="200"/>
      <c r="AE1036" s="200"/>
      <c r="AF1036" s="200"/>
      <c r="AG1036" s="200"/>
      <c r="AH1036" s="200"/>
      <c r="AI1036" s="200"/>
      <c r="AJ1036" s="200"/>
      <c r="AK1036" s="200"/>
      <c r="AL1036" s="200"/>
      <c r="AM1036" s="200"/>
      <c r="AN1036" s="200"/>
      <c r="AO1036" s="200"/>
      <c r="AP1036" s="200"/>
      <c r="AQ1036" s="200"/>
      <c r="AR1036" s="200"/>
      <c r="AS1036" s="200"/>
    </row>
    <row r="1037" spans="1:45" ht="16.5" customHeight="1">
      <c r="A1037" s="307"/>
      <c r="B1037" s="307"/>
      <c r="C1037" s="200"/>
      <c r="D1037" s="200"/>
      <c r="E1037" s="200"/>
      <c r="F1037" s="200"/>
      <c r="G1037" s="200"/>
      <c r="H1037" s="200"/>
      <c r="I1037" s="200"/>
      <c r="J1037" s="200"/>
      <c r="K1037" s="200"/>
      <c r="L1037" s="200"/>
      <c r="M1037" s="200"/>
      <c r="N1037" s="200"/>
      <c r="O1037" s="200"/>
      <c r="P1037" s="359"/>
      <c r="Q1037" s="353"/>
      <c r="R1037" s="353"/>
      <c r="S1037" s="200"/>
      <c r="T1037" s="353"/>
      <c r="U1037" s="353"/>
      <c r="V1037" s="353"/>
      <c r="W1037" s="200"/>
      <c r="X1037" s="200"/>
      <c r="Y1037" s="200"/>
      <c r="Z1037" s="200"/>
      <c r="AA1037" s="200"/>
      <c r="AB1037" s="200"/>
      <c r="AC1037" s="200"/>
      <c r="AD1037" s="200"/>
      <c r="AE1037" s="200"/>
      <c r="AF1037" s="200"/>
      <c r="AG1037" s="200"/>
      <c r="AH1037" s="200"/>
      <c r="AI1037" s="200"/>
      <c r="AJ1037" s="200"/>
      <c r="AK1037" s="200"/>
      <c r="AL1037" s="200"/>
      <c r="AM1037" s="200"/>
      <c r="AN1037" s="200"/>
      <c r="AO1037" s="200"/>
      <c r="AP1037" s="200"/>
      <c r="AQ1037" s="200"/>
      <c r="AR1037" s="200"/>
      <c r="AS1037" s="200"/>
    </row>
    <row r="1038" spans="1:45" ht="16.5" customHeight="1">
      <c r="A1038" s="307"/>
      <c r="B1038" s="307"/>
      <c r="C1038" s="200"/>
      <c r="D1038" s="200"/>
      <c r="E1038" s="200"/>
      <c r="F1038" s="200"/>
      <c r="G1038" s="200"/>
      <c r="H1038" s="200"/>
      <c r="I1038" s="200"/>
      <c r="J1038" s="200"/>
      <c r="K1038" s="200"/>
      <c r="L1038" s="200"/>
      <c r="M1038" s="200"/>
      <c r="N1038" s="200"/>
      <c r="O1038" s="200"/>
      <c r="P1038" s="359"/>
      <c r="Q1038" s="353"/>
      <c r="R1038" s="353"/>
      <c r="S1038" s="200"/>
      <c r="T1038" s="353"/>
      <c r="U1038" s="353"/>
      <c r="V1038" s="353"/>
      <c r="W1038" s="200"/>
      <c r="X1038" s="200"/>
      <c r="Y1038" s="200"/>
      <c r="Z1038" s="200"/>
      <c r="AA1038" s="200"/>
      <c r="AB1038" s="200"/>
      <c r="AC1038" s="200"/>
      <c r="AD1038" s="200"/>
      <c r="AE1038" s="200"/>
      <c r="AF1038" s="200"/>
      <c r="AG1038" s="200"/>
      <c r="AH1038" s="200"/>
      <c r="AI1038" s="200"/>
      <c r="AJ1038" s="200"/>
      <c r="AK1038" s="200"/>
      <c r="AL1038" s="200"/>
      <c r="AM1038" s="200"/>
      <c r="AN1038" s="200"/>
      <c r="AO1038" s="200"/>
      <c r="AP1038" s="200"/>
      <c r="AQ1038" s="200"/>
      <c r="AR1038" s="200"/>
      <c r="AS1038" s="200"/>
    </row>
    <row r="1039" spans="1:45" ht="16.5" customHeight="1">
      <c r="A1039" s="307"/>
      <c r="B1039" s="307"/>
      <c r="C1039" s="200"/>
      <c r="D1039" s="200"/>
      <c r="E1039" s="200"/>
      <c r="F1039" s="200"/>
      <c r="G1039" s="200"/>
      <c r="H1039" s="200"/>
      <c r="I1039" s="200"/>
      <c r="J1039" s="200"/>
      <c r="K1039" s="200"/>
      <c r="L1039" s="200"/>
      <c r="M1039" s="200"/>
      <c r="N1039" s="200"/>
      <c r="O1039" s="200"/>
      <c r="P1039" s="359"/>
      <c r="Q1039" s="353"/>
      <c r="R1039" s="353"/>
      <c r="S1039" s="200"/>
      <c r="T1039" s="353"/>
      <c r="U1039" s="353"/>
      <c r="V1039" s="353"/>
      <c r="W1039" s="200"/>
      <c r="X1039" s="200"/>
      <c r="Y1039" s="200"/>
      <c r="Z1039" s="200"/>
      <c r="AA1039" s="200"/>
      <c r="AB1039" s="200"/>
      <c r="AC1039" s="200"/>
      <c r="AD1039" s="200"/>
      <c r="AE1039" s="200"/>
      <c r="AF1039" s="200"/>
      <c r="AG1039" s="200"/>
      <c r="AH1039" s="200"/>
      <c r="AI1039" s="200"/>
      <c r="AJ1039" s="200"/>
      <c r="AK1039" s="200"/>
      <c r="AL1039" s="200"/>
      <c r="AM1039" s="200"/>
      <c r="AN1039" s="200"/>
      <c r="AO1039" s="200"/>
      <c r="AP1039" s="200"/>
      <c r="AQ1039" s="200"/>
      <c r="AR1039" s="200"/>
      <c r="AS1039" s="200"/>
    </row>
    <row r="1040" spans="1:45" ht="16.5" customHeight="1">
      <c r="A1040" s="307"/>
      <c r="B1040" s="307"/>
      <c r="C1040" s="200"/>
      <c r="D1040" s="200"/>
      <c r="E1040" s="200"/>
      <c r="F1040" s="200"/>
      <c r="G1040" s="200"/>
      <c r="H1040" s="200"/>
      <c r="I1040" s="200"/>
      <c r="J1040" s="200"/>
      <c r="K1040" s="200"/>
      <c r="L1040" s="200"/>
      <c r="M1040" s="200"/>
      <c r="N1040" s="200"/>
      <c r="O1040" s="200"/>
      <c r="P1040" s="359"/>
      <c r="Q1040" s="353"/>
      <c r="R1040" s="353"/>
      <c r="S1040" s="200"/>
      <c r="T1040" s="353"/>
      <c r="U1040" s="353"/>
      <c r="V1040" s="353"/>
      <c r="W1040" s="200"/>
      <c r="X1040" s="200"/>
      <c r="Y1040" s="200"/>
      <c r="Z1040" s="200"/>
      <c r="AA1040" s="200"/>
      <c r="AB1040" s="200"/>
      <c r="AC1040" s="200"/>
      <c r="AD1040" s="200"/>
      <c r="AE1040" s="200"/>
      <c r="AF1040" s="200"/>
      <c r="AG1040" s="200"/>
      <c r="AH1040" s="200"/>
      <c r="AI1040" s="200"/>
      <c r="AJ1040" s="200"/>
      <c r="AK1040" s="200"/>
      <c r="AL1040" s="200"/>
      <c r="AM1040" s="200"/>
      <c r="AN1040" s="200"/>
      <c r="AO1040" s="200"/>
      <c r="AP1040" s="200"/>
      <c r="AQ1040" s="200"/>
      <c r="AR1040" s="200"/>
      <c r="AS1040" s="200"/>
    </row>
    <row r="1041" spans="1:45" ht="16.5" customHeight="1">
      <c r="A1041" s="307"/>
      <c r="B1041" s="307"/>
      <c r="C1041" s="200"/>
      <c r="D1041" s="200"/>
      <c r="E1041" s="200"/>
      <c r="F1041" s="200"/>
      <c r="G1041" s="200"/>
      <c r="H1041" s="200"/>
      <c r="I1041" s="200"/>
      <c r="J1041" s="200"/>
      <c r="K1041" s="200"/>
      <c r="L1041" s="200"/>
      <c r="M1041" s="200"/>
      <c r="N1041" s="200"/>
      <c r="O1041" s="200"/>
      <c r="P1041" s="359"/>
      <c r="Q1041" s="353"/>
      <c r="R1041" s="353"/>
      <c r="S1041" s="200"/>
      <c r="T1041" s="353"/>
      <c r="U1041" s="353"/>
      <c r="V1041" s="353"/>
      <c r="W1041" s="200"/>
      <c r="X1041" s="200"/>
      <c r="Y1041" s="200"/>
      <c r="Z1041" s="200"/>
      <c r="AA1041" s="200"/>
      <c r="AB1041" s="200"/>
      <c r="AC1041" s="200"/>
      <c r="AD1041" s="200"/>
      <c r="AE1041" s="200"/>
      <c r="AF1041" s="200"/>
      <c r="AG1041" s="200"/>
      <c r="AH1041" s="200"/>
      <c r="AI1041" s="200"/>
      <c r="AJ1041" s="200"/>
      <c r="AK1041" s="200"/>
      <c r="AL1041" s="200"/>
      <c r="AM1041" s="200"/>
      <c r="AN1041" s="200"/>
      <c r="AO1041" s="200"/>
      <c r="AP1041" s="200"/>
      <c r="AQ1041" s="200"/>
      <c r="AR1041" s="200"/>
      <c r="AS1041" s="200"/>
    </row>
    <row r="1042" spans="1:45" ht="16.5" customHeight="1">
      <c r="A1042" s="307"/>
      <c r="B1042" s="307"/>
      <c r="C1042" s="200"/>
      <c r="D1042" s="200"/>
      <c r="E1042" s="200"/>
      <c r="F1042" s="200"/>
      <c r="G1042" s="200"/>
      <c r="H1042" s="200"/>
      <c r="I1042" s="200"/>
      <c r="J1042" s="200"/>
      <c r="K1042" s="200"/>
      <c r="L1042" s="200"/>
      <c r="M1042" s="200"/>
      <c r="N1042" s="200"/>
      <c r="O1042" s="200"/>
      <c r="P1042" s="359"/>
      <c r="Q1042" s="353"/>
      <c r="R1042" s="353"/>
      <c r="S1042" s="200"/>
      <c r="T1042" s="353"/>
      <c r="U1042" s="353"/>
      <c r="V1042" s="353"/>
      <c r="W1042" s="200"/>
      <c r="X1042" s="200"/>
      <c r="Y1042" s="200"/>
      <c r="Z1042" s="200"/>
      <c r="AA1042" s="200"/>
      <c r="AB1042" s="200"/>
      <c r="AC1042" s="200"/>
      <c r="AD1042" s="200"/>
      <c r="AE1042" s="200"/>
      <c r="AF1042" s="200"/>
      <c r="AG1042" s="200"/>
      <c r="AH1042" s="200"/>
      <c r="AI1042" s="200"/>
      <c r="AJ1042" s="200"/>
      <c r="AK1042" s="200"/>
      <c r="AL1042" s="200"/>
      <c r="AM1042" s="200"/>
      <c r="AN1042" s="200"/>
      <c r="AO1042" s="200"/>
      <c r="AP1042" s="200"/>
      <c r="AQ1042" s="200"/>
      <c r="AR1042" s="200"/>
      <c r="AS1042" s="200"/>
    </row>
    <row r="1043" spans="1:45" ht="16.5" customHeight="1">
      <c r="A1043" s="307"/>
      <c r="B1043" s="307"/>
      <c r="C1043" s="200"/>
      <c r="D1043" s="200"/>
      <c r="E1043" s="200"/>
      <c r="F1043" s="200"/>
      <c r="G1043" s="200"/>
      <c r="H1043" s="200"/>
      <c r="I1043" s="200"/>
      <c r="J1043" s="200"/>
      <c r="K1043" s="200"/>
      <c r="L1043" s="200"/>
      <c r="M1043" s="200"/>
      <c r="N1043" s="200"/>
      <c r="O1043" s="200"/>
      <c r="P1043" s="359"/>
      <c r="Q1043" s="353"/>
      <c r="R1043" s="353"/>
      <c r="S1043" s="200"/>
      <c r="T1043" s="353"/>
      <c r="U1043" s="353"/>
      <c r="V1043" s="353"/>
      <c r="W1043" s="200"/>
      <c r="X1043" s="200"/>
      <c r="Y1043" s="200"/>
      <c r="Z1043" s="200"/>
      <c r="AA1043" s="200"/>
      <c r="AB1043" s="200"/>
      <c r="AC1043" s="200"/>
      <c r="AD1043" s="200"/>
      <c r="AE1043" s="200"/>
      <c r="AF1043" s="200"/>
      <c r="AG1043" s="200"/>
      <c r="AH1043" s="200"/>
      <c r="AI1043" s="200"/>
      <c r="AJ1043" s="200"/>
      <c r="AK1043" s="200"/>
      <c r="AL1043" s="200"/>
      <c r="AM1043" s="200"/>
      <c r="AN1043" s="200"/>
      <c r="AO1043" s="200"/>
      <c r="AP1043" s="200"/>
      <c r="AQ1043" s="200"/>
      <c r="AR1043" s="200"/>
      <c r="AS1043" s="200"/>
    </row>
    <row r="1044" spans="1:45" ht="16.5" customHeight="1">
      <c r="A1044" s="307"/>
      <c r="B1044" s="307"/>
      <c r="C1044" s="200"/>
      <c r="D1044" s="200"/>
      <c r="E1044" s="200"/>
      <c r="F1044" s="200"/>
      <c r="G1044" s="200"/>
      <c r="H1044" s="200"/>
      <c r="I1044" s="200"/>
      <c r="J1044" s="200"/>
      <c r="K1044" s="200"/>
      <c r="L1044" s="200"/>
      <c r="M1044" s="200"/>
      <c r="N1044" s="200"/>
      <c r="O1044" s="200"/>
      <c r="P1044" s="359"/>
      <c r="Q1044" s="353"/>
      <c r="R1044" s="353"/>
      <c r="S1044" s="200"/>
      <c r="T1044" s="353"/>
      <c r="U1044" s="353"/>
      <c r="V1044" s="353"/>
      <c r="W1044" s="200"/>
      <c r="X1044" s="200"/>
      <c r="Y1044" s="200"/>
      <c r="Z1044" s="200"/>
      <c r="AA1044" s="200"/>
      <c r="AB1044" s="200"/>
      <c r="AC1044" s="200"/>
      <c r="AD1044" s="200"/>
      <c r="AE1044" s="200"/>
      <c r="AF1044" s="200"/>
      <c r="AG1044" s="200"/>
      <c r="AH1044" s="200"/>
      <c r="AI1044" s="200"/>
      <c r="AJ1044" s="200"/>
      <c r="AK1044" s="200"/>
      <c r="AL1044" s="200"/>
      <c r="AM1044" s="200"/>
      <c r="AN1044" s="200"/>
      <c r="AO1044" s="200"/>
      <c r="AP1044" s="200"/>
      <c r="AQ1044" s="200"/>
      <c r="AR1044" s="200"/>
      <c r="AS1044" s="200"/>
    </row>
    <row r="1045" spans="1:45" ht="16.5" customHeight="1">
      <c r="A1045" s="307"/>
      <c r="B1045" s="307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359"/>
      <c r="Q1045" s="353"/>
      <c r="R1045" s="353"/>
      <c r="S1045" s="200"/>
      <c r="T1045" s="353"/>
      <c r="U1045" s="353"/>
      <c r="V1045" s="353"/>
      <c r="W1045" s="200"/>
      <c r="X1045" s="200"/>
      <c r="Y1045" s="200"/>
      <c r="Z1045" s="200"/>
      <c r="AA1045" s="200"/>
      <c r="AB1045" s="200"/>
      <c r="AC1045" s="200"/>
      <c r="AD1045" s="200"/>
      <c r="AE1045" s="200"/>
      <c r="AF1045" s="200"/>
      <c r="AG1045" s="200"/>
      <c r="AH1045" s="200"/>
      <c r="AI1045" s="200"/>
      <c r="AJ1045" s="200"/>
      <c r="AK1045" s="200"/>
      <c r="AL1045" s="200"/>
      <c r="AM1045" s="200"/>
      <c r="AN1045" s="200"/>
      <c r="AO1045" s="200"/>
      <c r="AP1045" s="200"/>
      <c r="AQ1045" s="200"/>
      <c r="AR1045" s="200"/>
      <c r="AS1045" s="200"/>
    </row>
    <row r="1046" spans="1:45" ht="16.5" customHeight="1">
      <c r="A1046" s="307"/>
      <c r="B1046" s="307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359"/>
      <c r="Q1046" s="353"/>
      <c r="R1046" s="353"/>
      <c r="S1046" s="200"/>
      <c r="T1046" s="353"/>
      <c r="U1046" s="353"/>
      <c r="V1046" s="353"/>
      <c r="W1046" s="200"/>
      <c r="X1046" s="200"/>
      <c r="Y1046" s="200"/>
      <c r="Z1046" s="200"/>
      <c r="AA1046" s="200"/>
      <c r="AB1046" s="200"/>
      <c r="AC1046" s="200"/>
      <c r="AD1046" s="200"/>
      <c r="AE1046" s="200"/>
      <c r="AF1046" s="200"/>
      <c r="AG1046" s="200"/>
      <c r="AH1046" s="200"/>
      <c r="AI1046" s="200"/>
      <c r="AJ1046" s="200"/>
      <c r="AK1046" s="200"/>
      <c r="AL1046" s="200"/>
      <c r="AM1046" s="200"/>
      <c r="AN1046" s="200"/>
      <c r="AO1046" s="200"/>
      <c r="AP1046" s="200"/>
      <c r="AQ1046" s="200"/>
      <c r="AR1046" s="200"/>
      <c r="AS1046" s="200"/>
    </row>
    <row r="1047" spans="1:45" ht="16.5" customHeight="1">
      <c r="A1047" s="307"/>
      <c r="B1047" s="307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359"/>
      <c r="Q1047" s="353"/>
      <c r="R1047" s="353"/>
      <c r="S1047" s="200"/>
      <c r="T1047" s="353"/>
      <c r="U1047" s="353"/>
      <c r="V1047" s="353"/>
      <c r="W1047" s="200"/>
      <c r="X1047" s="200"/>
      <c r="Y1047" s="200"/>
      <c r="Z1047" s="200"/>
      <c r="AA1047" s="200"/>
      <c r="AB1047" s="200"/>
      <c r="AC1047" s="200"/>
      <c r="AD1047" s="200"/>
      <c r="AE1047" s="200"/>
      <c r="AF1047" s="200"/>
      <c r="AG1047" s="200"/>
      <c r="AH1047" s="200"/>
      <c r="AI1047" s="200"/>
      <c r="AJ1047" s="200"/>
      <c r="AK1047" s="200"/>
      <c r="AL1047" s="200"/>
      <c r="AM1047" s="200"/>
      <c r="AN1047" s="200"/>
      <c r="AO1047" s="200"/>
      <c r="AP1047" s="200"/>
      <c r="AQ1047" s="200"/>
      <c r="AR1047" s="200"/>
      <c r="AS1047" s="200"/>
    </row>
    <row r="1048" spans="1:45" ht="16.5" customHeight="1">
      <c r="A1048" s="307"/>
      <c r="B1048" s="307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359"/>
      <c r="Q1048" s="353"/>
      <c r="R1048" s="353"/>
      <c r="S1048" s="200"/>
      <c r="T1048" s="353"/>
      <c r="U1048" s="353"/>
      <c r="V1048" s="353"/>
      <c r="W1048" s="200"/>
      <c r="X1048" s="200"/>
      <c r="Y1048" s="200"/>
      <c r="Z1048" s="200"/>
      <c r="AA1048" s="200"/>
      <c r="AB1048" s="200"/>
      <c r="AC1048" s="200"/>
      <c r="AD1048" s="200"/>
      <c r="AE1048" s="200"/>
      <c r="AF1048" s="200"/>
      <c r="AG1048" s="200"/>
      <c r="AH1048" s="200"/>
      <c r="AI1048" s="200"/>
      <c r="AJ1048" s="200"/>
      <c r="AK1048" s="200"/>
      <c r="AL1048" s="200"/>
      <c r="AM1048" s="200"/>
      <c r="AN1048" s="200"/>
      <c r="AO1048" s="200"/>
      <c r="AP1048" s="200"/>
      <c r="AQ1048" s="200"/>
      <c r="AR1048" s="200"/>
      <c r="AS1048" s="200"/>
    </row>
    <row r="1049" spans="1:45" ht="16.5" customHeight="1">
      <c r="A1049" s="307"/>
      <c r="B1049" s="307"/>
      <c r="C1049" s="200"/>
      <c r="D1049" s="200"/>
      <c r="E1049" s="200"/>
      <c r="F1049" s="200"/>
      <c r="G1049" s="200"/>
      <c r="H1049" s="200"/>
      <c r="I1049" s="200"/>
      <c r="J1049" s="200"/>
      <c r="K1049" s="200"/>
      <c r="L1049" s="200"/>
      <c r="M1049" s="200"/>
      <c r="N1049" s="200"/>
      <c r="O1049" s="200"/>
      <c r="P1049" s="359"/>
      <c r="Q1049" s="353"/>
      <c r="R1049" s="353"/>
      <c r="S1049" s="200"/>
      <c r="T1049" s="353"/>
      <c r="U1049" s="353"/>
      <c r="V1049" s="353"/>
      <c r="W1049" s="200"/>
      <c r="X1049" s="200"/>
      <c r="Y1049" s="200"/>
      <c r="Z1049" s="200"/>
      <c r="AA1049" s="200"/>
      <c r="AB1049" s="200"/>
      <c r="AC1049" s="200"/>
      <c r="AD1049" s="200"/>
      <c r="AE1049" s="200"/>
      <c r="AF1049" s="200"/>
      <c r="AG1049" s="200"/>
      <c r="AH1049" s="200"/>
      <c r="AI1049" s="200"/>
      <c r="AJ1049" s="200"/>
      <c r="AK1049" s="200"/>
      <c r="AL1049" s="200"/>
      <c r="AM1049" s="200"/>
      <c r="AN1049" s="200"/>
      <c r="AO1049" s="200"/>
      <c r="AP1049" s="200"/>
      <c r="AQ1049" s="200"/>
      <c r="AR1049" s="200"/>
      <c r="AS1049" s="200"/>
    </row>
    <row r="1050" spans="1:45" ht="16.5" customHeight="1">
      <c r="A1050" s="307"/>
      <c r="B1050" s="307"/>
      <c r="C1050" s="200"/>
      <c r="D1050" s="200"/>
      <c r="E1050" s="200"/>
      <c r="F1050" s="200"/>
      <c r="G1050" s="200"/>
      <c r="H1050" s="200"/>
      <c r="I1050" s="200"/>
      <c r="J1050" s="200"/>
      <c r="K1050" s="200"/>
      <c r="L1050" s="200"/>
      <c r="M1050" s="200"/>
      <c r="N1050" s="200"/>
      <c r="O1050" s="200"/>
      <c r="P1050" s="359"/>
      <c r="Q1050" s="353"/>
      <c r="R1050" s="353"/>
      <c r="S1050" s="200"/>
      <c r="T1050" s="353"/>
      <c r="U1050" s="353"/>
      <c r="V1050" s="353"/>
      <c r="W1050" s="200"/>
      <c r="X1050" s="200"/>
      <c r="Y1050" s="200"/>
      <c r="Z1050" s="200"/>
      <c r="AA1050" s="200"/>
      <c r="AB1050" s="200"/>
      <c r="AC1050" s="200"/>
      <c r="AD1050" s="200"/>
      <c r="AE1050" s="200"/>
      <c r="AF1050" s="200"/>
      <c r="AG1050" s="200"/>
      <c r="AH1050" s="200"/>
      <c r="AI1050" s="200"/>
      <c r="AJ1050" s="200"/>
      <c r="AK1050" s="200"/>
      <c r="AL1050" s="200"/>
      <c r="AM1050" s="200"/>
      <c r="AN1050" s="200"/>
      <c r="AO1050" s="200"/>
      <c r="AP1050" s="200"/>
      <c r="AQ1050" s="200"/>
      <c r="AR1050" s="200"/>
      <c r="AS1050" s="200"/>
    </row>
    <row r="1051" spans="1:45" ht="16.5" customHeight="1">
      <c r="A1051" s="307"/>
      <c r="B1051" s="307"/>
      <c r="C1051" s="200"/>
      <c r="D1051" s="200"/>
      <c r="E1051" s="200"/>
      <c r="F1051" s="200"/>
      <c r="G1051" s="200"/>
      <c r="H1051" s="200"/>
      <c r="I1051" s="200"/>
      <c r="J1051" s="200"/>
      <c r="K1051" s="200"/>
      <c r="L1051" s="200"/>
      <c r="M1051" s="200"/>
      <c r="N1051" s="200"/>
      <c r="O1051" s="200"/>
      <c r="P1051" s="359"/>
      <c r="Q1051" s="353"/>
      <c r="R1051" s="353"/>
      <c r="S1051" s="200"/>
      <c r="T1051" s="353"/>
      <c r="U1051" s="353"/>
      <c r="V1051" s="353"/>
      <c r="W1051" s="200"/>
      <c r="X1051" s="200"/>
      <c r="Y1051" s="200"/>
      <c r="Z1051" s="200"/>
      <c r="AA1051" s="200"/>
      <c r="AB1051" s="200"/>
      <c r="AC1051" s="200"/>
      <c r="AD1051" s="200"/>
      <c r="AE1051" s="200"/>
      <c r="AF1051" s="200"/>
      <c r="AG1051" s="200"/>
      <c r="AH1051" s="200"/>
      <c r="AI1051" s="200"/>
      <c r="AJ1051" s="200"/>
      <c r="AK1051" s="200"/>
      <c r="AL1051" s="200"/>
      <c r="AM1051" s="200"/>
      <c r="AN1051" s="200"/>
      <c r="AO1051" s="200"/>
      <c r="AP1051" s="200"/>
      <c r="AQ1051" s="200"/>
      <c r="AR1051" s="200"/>
      <c r="AS1051" s="200"/>
    </row>
    <row r="1052" spans="1:45" ht="16.5" customHeight="1">
      <c r="A1052" s="307"/>
      <c r="B1052" s="307"/>
      <c r="C1052" s="200"/>
      <c r="D1052" s="200"/>
      <c r="E1052" s="200"/>
      <c r="F1052" s="200"/>
      <c r="G1052" s="200"/>
      <c r="H1052" s="200"/>
      <c r="I1052" s="200"/>
      <c r="J1052" s="200"/>
      <c r="K1052" s="200"/>
      <c r="L1052" s="200"/>
      <c r="M1052" s="200"/>
      <c r="N1052" s="200"/>
      <c r="O1052" s="200"/>
      <c r="P1052" s="359"/>
      <c r="Q1052" s="353"/>
      <c r="R1052" s="353"/>
      <c r="S1052" s="200"/>
      <c r="T1052" s="353"/>
      <c r="U1052" s="353"/>
      <c r="V1052" s="353"/>
      <c r="W1052" s="200"/>
      <c r="X1052" s="200"/>
      <c r="Y1052" s="200"/>
      <c r="Z1052" s="200"/>
      <c r="AA1052" s="200"/>
      <c r="AB1052" s="200"/>
      <c r="AC1052" s="200"/>
      <c r="AD1052" s="200"/>
      <c r="AE1052" s="200"/>
      <c r="AF1052" s="200"/>
      <c r="AG1052" s="200"/>
      <c r="AH1052" s="200"/>
      <c r="AI1052" s="200"/>
      <c r="AJ1052" s="200"/>
      <c r="AK1052" s="200"/>
      <c r="AL1052" s="200"/>
      <c r="AM1052" s="200"/>
      <c r="AN1052" s="200"/>
      <c r="AO1052" s="200"/>
      <c r="AP1052" s="200"/>
      <c r="AQ1052" s="200"/>
      <c r="AR1052" s="200"/>
      <c r="AS1052" s="200"/>
    </row>
    <row r="1053" spans="1:45" ht="16.5" customHeight="1">
      <c r="A1053" s="307"/>
      <c r="B1053" s="307"/>
      <c r="C1053" s="200"/>
      <c r="D1053" s="200"/>
      <c r="E1053" s="200"/>
      <c r="F1053" s="200"/>
      <c r="G1053" s="200"/>
      <c r="H1053" s="200"/>
      <c r="I1053" s="200"/>
      <c r="J1053" s="200"/>
      <c r="K1053" s="200"/>
      <c r="L1053" s="200"/>
      <c r="M1053" s="200"/>
      <c r="N1053" s="200"/>
      <c r="O1053" s="200"/>
      <c r="P1053" s="359"/>
      <c r="Q1053" s="353"/>
      <c r="R1053" s="353"/>
      <c r="S1053" s="200"/>
      <c r="T1053" s="353"/>
      <c r="U1053" s="353"/>
      <c r="V1053" s="353"/>
      <c r="W1053" s="200"/>
      <c r="X1053" s="200"/>
      <c r="Y1053" s="200"/>
      <c r="Z1053" s="200"/>
      <c r="AA1053" s="200"/>
      <c r="AB1053" s="200"/>
      <c r="AC1053" s="200"/>
      <c r="AD1053" s="200"/>
      <c r="AE1053" s="200"/>
      <c r="AF1053" s="200"/>
      <c r="AG1053" s="200"/>
      <c r="AH1053" s="200"/>
      <c r="AI1053" s="200"/>
      <c r="AJ1053" s="200"/>
      <c r="AK1053" s="200"/>
      <c r="AL1053" s="200"/>
      <c r="AM1053" s="200"/>
      <c r="AN1053" s="200"/>
      <c r="AO1053" s="200"/>
      <c r="AP1053" s="200"/>
      <c r="AQ1053" s="200"/>
      <c r="AR1053" s="200"/>
      <c r="AS1053" s="200"/>
    </row>
    <row r="1054" spans="1:45" ht="16.5" customHeight="1">
      <c r="A1054" s="307"/>
      <c r="B1054" s="307"/>
      <c r="C1054" s="200"/>
      <c r="D1054" s="200"/>
      <c r="E1054" s="200"/>
      <c r="F1054" s="200"/>
      <c r="G1054" s="200"/>
      <c r="H1054" s="200"/>
      <c r="I1054" s="200"/>
      <c r="J1054" s="200"/>
      <c r="K1054" s="200"/>
      <c r="L1054" s="200"/>
      <c r="M1054" s="200"/>
      <c r="N1054" s="200"/>
      <c r="O1054" s="200"/>
      <c r="P1054" s="359"/>
      <c r="Q1054" s="353"/>
      <c r="R1054" s="353"/>
      <c r="S1054" s="200"/>
      <c r="T1054" s="353"/>
      <c r="U1054" s="353"/>
      <c r="V1054" s="353"/>
      <c r="W1054" s="200"/>
      <c r="X1054" s="200"/>
      <c r="Y1054" s="200"/>
      <c r="Z1054" s="200"/>
      <c r="AA1054" s="200"/>
      <c r="AB1054" s="200"/>
      <c r="AC1054" s="200"/>
      <c r="AD1054" s="200"/>
      <c r="AE1054" s="200"/>
      <c r="AF1054" s="200"/>
      <c r="AG1054" s="200"/>
      <c r="AH1054" s="200"/>
      <c r="AI1054" s="200"/>
      <c r="AJ1054" s="200"/>
      <c r="AK1054" s="200"/>
      <c r="AL1054" s="200"/>
      <c r="AM1054" s="200"/>
      <c r="AN1054" s="200"/>
      <c r="AO1054" s="200"/>
      <c r="AP1054" s="200"/>
      <c r="AQ1054" s="200"/>
      <c r="AR1054" s="200"/>
      <c r="AS1054" s="200"/>
    </row>
    <row r="1055" spans="1:45" ht="16.5" customHeight="1">
      <c r="A1055" s="307"/>
      <c r="B1055" s="307"/>
      <c r="C1055" s="200"/>
      <c r="D1055" s="200"/>
      <c r="E1055" s="200"/>
      <c r="F1055" s="200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359"/>
      <c r="Q1055" s="353"/>
      <c r="R1055" s="353"/>
      <c r="S1055" s="200"/>
      <c r="T1055" s="353"/>
      <c r="U1055" s="353"/>
      <c r="V1055" s="353"/>
      <c r="W1055" s="200"/>
      <c r="X1055" s="200"/>
      <c r="Y1055" s="200"/>
      <c r="Z1055" s="200"/>
      <c r="AA1055" s="200"/>
      <c r="AB1055" s="200"/>
      <c r="AC1055" s="200"/>
      <c r="AD1055" s="200"/>
      <c r="AE1055" s="200"/>
      <c r="AF1055" s="200"/>
      <c r="AG1055" s="200"/>
      <c r="AH1055" s="200"/>
      <c r="AI1055" s="200"/>
      <c r="AJ1055" s="200"/>
      <c r="AK1055" s="200"/>
      <c r="AL1055" s="200"/>
      <c r="AM1055" s="200"/>
      <c r="AN1055" s="200"/>
      <c r="AO1055" s="200"/>
      <c r="AP1055" s="200"/>
      <c r="AQ1055" s="200"/>
      <c r="AR1055" s="200"/>
      <c r="AS1055" s="200"/>
    </row>
    <row r="1056" spans="1:45" ht="16.5" customHeight="1">
      <c r="A1056" s="307"/>
      <c r="B1056" s="307"/>
      <c r="C1056" s="200"/>
      <c r="D1056" s="200"/>
      <c r="E1056" s="200"/>
      <c r="F1056" s="200"/>
      <c r="G1056" s="200"/>
      <c r="H1056" s="200"/>
      <c r="I1056" s="200"/>
      <c r="J1056" s="200"/>
      <c r="K1056" s="200"/>
      <c r="L1056" s="200"/>
      <c r="M1056" s="200"/>
      <c r="N1056" s="200"/>
      <c r="O1056" s="200"/>
      <c r="P1056" s="359"/>
      <c r="Q1056" s="353"/>
      <c r="R1056" s="353"/>
      <c r="S1056" s="200"/>
      <c r="T1056" s="353"/>
      <c r="U1056" s="353"/>
      <c r="V1056" s="353"/>
      <c r="W1056" s="200"/>
      <c r="X1056" s="200"/>
      <c r="Y1056" s="200"/>
      <c r="Z1056" s="200"/>
      <c r="AA1056" s="200"/>
      <c r="AB1056" s="200"/>
      <c r="AC1056" s="200"/>
      <c r="AD1056" s="200"/>
      <c r="AE1056" s="200"/>
      <c r="AF1056" s="200"/>
      <c r="AG1056" s="200"/>
      <c r="AH1056" s="200"/>
      <c r="AI1056" s="200"/>
      <c r="AJ1056" s="200"/>
      <c r="AK1056" s="200"/>
      <c r="AL1056" s="200"/>
      <c r="AM1056" s="200"/>
      <c r="AN1056" s="200"/>
      <c r="AO1056" s="200"/>
      <c r="AP1056" s="200"/>
      <c r="AQ1056" s="200"/>
      <c r="AR1056" s="200"/>
      <c r="AS1056" s="200"/>
    </row>
    <row r="1057" spans="1:45" ht="16.5" customHeight="1">
      <c r="A1057" s="307"/>
      <c r="B1057" s="307"/>
      <c r="C1057" s="200"/>
      <c r="D1057" s="200"/>
      <c r="E1057" s="200"/>
      <c r="F1057" s="200"/>
      <c r="G1057" s="200"/>
      <c r="H1057" s="200"/>
      <c r="I1057" s="200"/>
      <c r="J1057" s="200"/>
      <c r="K1057" s="200"/>
      <c r="L1057" s="200"/>
      <c r="M1057" s="200"/>
      <c r="N1057" s="200"/>
      <c r="O1057" s="200"/>
      <c r="P1057" s="359"/>
      <c r="Q1057" s="353"/>
      <c r="R1057" s="353"/>
      <c r="S1057" s="200"/>
      <c r="T1057" s="353"/>
      <c r="U1057" s="353"/>
      <c r="V1057" s="353"/>
      <c r="W1057" s="200"/>
      <c r="X1057" s="200"/>
      <c r="Y1057" s="200"/>
      <c r="Z1057" s="200"/>
      <c r="AA1057" s="200"/>
      <c r="AB1057" s="200"/>
      <c r="AC1057" s="200"/>
      <c r="AD1057" s="200"/>
      <c r="AE1057" s="200"/>
      <c r="AF1057" s="200"/>
      <c r="AG1057" s="200"/>
      <c r="AH1057" s="200"/>
      <c r="AI1057" s="200"/>
      <c r="AJ1057" s="200"/>
      <c r="AK1057" s="200"/>
      <c r="AL1057" s="200"/>
      <c r="AM1057" s="200"/>
      <c r="AN1057" s="200"/>
      <c r="AO1057" s="200"/>
      <c r="AP1057" s="200"/>
      <c r="AQ1057" s="200"/>
      <c r="AR1057" s="200"/>
      <c r="AS1057" s="200"/>
    </row>
    <row r="1058" spans="1:45" ht="16.5" customHeight="1">
      <c r="A1058" s="307"/>
      <c r="B1058" s="307"/>
      <c r="C1058" s="200"/>
      <c r="D1058" s="200"/>
      <c r="E1058" s="200"/>
      <c r="F1058" s="200"/>
      <c r="G1058" s="200"/>
      <c r="H1058" s="200"/>
      <c r="I1058" s="200"/>
      <c r="J1058" s="200"/>
      <c r="K1058" s="200"/>
      <c r="L1058" s="200"/>
      <c r="M1058" s="200"/>
      <c r="N1058" s="200"/>
      <c r="O1058" s="200"/>
      <c r="P1058" s="359"/>
      <c r="Q1058" s="353"/>
      <c r="R1058" s="353"/>
      <c r="S1058" s="200"/>
      <c r="T1058" s="353"/>
      <c r="U1058" s="353"/>
      <c r="V1058" s="353"/>
      <c r="W1058" s="200"/>
      <c r="X1058" s="200"/>
      <c r="Y1058" s="200"/>
      <c r="Z1058" s="200"/>
      <c r="AA1058" s="200"/>
      <c r="AB1058" s="200"/>
      <c r="AC1058" s="200"/>
      <c r="AD1058" s="200"/>
      <c r="AE1058" s="200"/>
      <c r="AF1058" s="200"/>
      <c r="AG1058" s="200"/>
      <c r="AH1058" s="200"/>
      <c r="AI1058" s="200"/>
      <c r="AJ1058" s="200"/>
      <c r="AK1058" s="200"/>
      <c r="AL1058" s="200"/>
      <c r="AM1058" s="200"/>
      <c r="AN1058" s="200"/>
      <c r="AO1058" s="200"/>
      <c r="AP1058" s="200"/>
      <c r="AQ1058" s="200"/>
      <c r="AR1058" s="200"/>
      <c r="AS1058" s="200"/>
    </row>
    <row r="1059" spans="1:45" ht="16.5" customHeight="1">
      <c r="A1059" s="307"/>
      <c r="B1059" s="307"/>
      <c r="C1059" s="200"/>
      <c r="D1059" s="200"/>
      <c r="E1059" s="200"/>
      <c r="F1059" s="200"/>
      <c r="G1059" s="200"/>
      <c r="H1059" s="200"/>
      <c r="I1059" s="200"/>
      <c r="J1059" s="200"/>
      <c r="K1059" s="200"/>
      <c r="L1059" s="200"/>
      <c r="M1059" s="200"/>
      <c r="N1059" s="200"/>
      <c r="O1059" s="200"/>
      <c r="P1059" s="359"/>
      <c r="Q1059" s="353"/>
      <c r="R1059" s="353"/>
      <c r="S1059" s="200"/>
      <c r="T1059" s="353"/>
      <c r="U1059" s="353"/>
      <c r="V1059" s="353"/>
      <c r="W1059" s="200"/>
      <c r="X1059" s="200"/>
      <c r="Y1059" s="200"/>
      <c r="Z1059" s="200"/>
      <c r="AA1059" s="200"/>
      <c r="AB1059" s="200"/>
      <c r="AC1059" s="200"/>
      <c r="AD1059" s="200"/>
      <c r="AE1059" s="200"/>
      <c r="AF1059" s="200"/>
      <c r="AG1059" s="200"/>
      <c r="AH1059" s="200"/>
      <c r="AI1059" s="200"/>
      <c r="AJ1059" s="200"/>
      <c r="AK1059" s="200"/>
      <c r="AL1059" s="200"/>
      <c r="AM1059" s="200"/>
      <c r="AN1059" s="200"/>
      <c r="AO1059" s="200"/>
      <c r="AP1059" s="200"/>
      <c r="AQ1059" s="200"/>
      <c r="AR1059" s="200"/>
      <c r="AS1059" s="200"/>
    </row>
    <row r="1060" spans="1:45" ht="16.5" customHeight="1">
      <c r="A1060" s="307"/>
      <c r="B1060" s="307"/>
      <c r="C1060" s="200"/>
      <c r="D1060" s="200"/>
      <c r="E1060" s="200"/>
      <c r="F1060" s="200"/>
      <c r="G1060" s="200"/>
      <c r="H1060" s="200"/>
      <c r="I1060" s="200"/>
      <c r="J1060" s="200"/>
      <c r="K1060" s="200"/>
      <c r="L1060" s="200"/>
      <c r="M1060" s="200"/>
      <c r="N1060" s="200"/>
      <c r="O1060" s="200"/>
      <c r="P1060" s="359"/>
      <c r="Q1060" s="353"/>
      <c r="R1060" s="353"/>
      <c r="S1060" s="200"/>
      <c r="T1060" s="353"/>
      <c r="U1060" s="353"/>
      <c r="V1060" s="353"/>
      <c r="W1060" s="200"/>
      <c r="X1060" s="200"/>
      <c r="Y1060" s="200"/>
      <c r="Z1060" s="200"/>
      <c r="AA1060" s="200"/>
      <c r="AB1060" s="200"/>
      <c r="AC1060" s="200"/>
      <c r="AD1060" s="200"/>
      <c r="AE1060" s="200"/>
      <c r="AF1060" s="200"/>
      <c r="AG1060" s="200"/>
      <c r="AH1060" s="200"/>
      <c r="AI1060" s="200"/>
      <c r="AJ1060" s="200"/>
      <c r="AK1060" s="200"/>
      <c r="AL1060" s="200"/>
      <c r="AM1060" s="200"/>
      <c r="AN1060" s="200"/>
      <c r="AO1060" s="200"/>
      <c r="AP1060" s="200"/>
      <c r="AQ1060" s="200"/>
      <c r="AR1060" s="200"/>
      <c r="AS1060" s="200"/>
    </row>
    <row r="1061" spans="1:45" ht="16.5" customHeight="1">
      <c r="A1061" s="307"/>
      <c r="B1061" s="307"/>
      <c r="C1061" s="200"/>
      <c r="D1061" s="200"/>
      <c r="E1061" s="200"/>
      <c r="F1061" s="200"/>
      <c r="G1061" s="200"/>
      <c r="H1061" s="200"/>
      <c r="I1061" s="200"/>
      <c r="J1061" s="200"/>
      <c r="K1061" s="200"/>
      <c r="L1061" s="200"/>
      <c r="M1061" s="200"/>
      <c r="N1061" s="200"/>
      <c r="O1061" s="200"/>
      <c r="P1061" s="359"/>
      <c r="Q1061" s="353"/>
      <c r="R1061" s="353"/>
      <c r="S1061" s="200"/>
      <c r="T1061" s="353"/>
      <c r="U1061" s="353"/>
      <c r="V1061" s="353"/>
      <c r="W1061" s="200"/>
      <c r="X1061" s="200"/>
      <c r="Y1061" s="200"/>
      <c r="Z1061" s="200"/>
      <c r="AA1061" s="200"/>
      <c r="AB1061" s="200"/>
      <c r="AC1061" s="200"/>
      <c r="AD1061" s="200"/>
      <c r="AE1061" s="200"/>
      <c r="AF1061" s="200"/>
      <c r="AG1061" s="200"/>
      <c r="AH1061" s="200"/>
      <c r="AI1061" s="200"/>
      <c r="AJ1061" s="200"/>
      <c r="AK1061" s="200"/>
      <c r="AL1061" s="200"/>
      <c r="AM1061" s="200"/>
      <c r="AN1061" s="200"/>
      <c r="AO1061" s="200"/>
      <c r="AP1061" s="200"/>
      <c r="AQ1061" s="200"/>
      <c r="AR1061" s="200"/>
      <c r="AS1061" s="200"/>
    </row>
    <row r="1062" spans="1:45" ht="16.5" customHeight="1">
      <c r="A1062" s="307"/>
      <c r="B1062" s="307"/>
      <c r="C1062" s="200"/>
      <c r="D1062" s="200"/>
      <c r="E1062" s="200"/>
      <c r="F1062" s="200"/>
      <c r="G1062" s="200"/>
      <c r="H1062" s="200"/>
      <c r="I1062" s="200"/>
      <c r="J1062" s="200"/>
      <c r="K1062" s="200"/>
      <c r="L1062" s="200"/>
      <c r="M1062" s="200"/>
      <c r="N1062" s="200"/>
      <c r="O1062" s="200"/>
      <c r="P1062" s="359"/>
      <c r="Q1062" s="353"/>
      <c r="R1062" s="353"/>
      <c r="S1062" s="200"/>
      <c r="T1062" s="353"/>
      <c r="U1062" s="353"/>
      <c r="V1062" s="353"/>
      <c r="W1062" s="200"/>
      <c r="X1062" s="200"/>
      <c r="Y1062" s="200"/>
      <c r="Z1062" s="200"/>
      <c r="AA1062" s="200"/>
      <c r="AB1062" s="200"/>
      <c r="AC1062" s="200"/>
      <c r="AD1062" s="200"/>
      <c r="AE1062" s="200"/>
      <c r="AF1062" s="200"/>
      <c r="AG1062" s="200"/>
      <c r="AH1062" s="200"/>
      <c r="AI1062" s="200"/>
      <c r="AJ1062" s="200"/>
      <c r="AK1062" s="200"/>
      <c r="AL1062" s="200"/>
      <c r="AM1062" s="200"/>
      <c r="AN1062" s="200"/>
      <c r="AO1062" s="200"/>
      <c r="AP1062" s="200"/>
      <c r="AQ1062" s="200"/>
      <c r="AR1062" s="200"/>
      <c r="AS1062" s="200"/>
    </row>
    <row r="1063" spans="1:45" ht="16.5" customHeight="1">
      <c r="A1063" s="307"/>
      <c r="B1063" s="307"/>
      <c r="C1063" s="200"/>
      <c r="D1063" s="200"/>
      <c r="E1063" s="200"/>
      <c r="F1063" s="200"/>
      <c r="G1063" s="200"/>
      <c r="H1063" s="200"/>
      <c r="I1063" s="200"/>
      <c r="J1063" s="200"/>
      <c r="K1063" s="200"/>
      <c r="L1063" s="200"/>
      <c r="M1063" s="200"/>
      <c r="N1063" s="200"/>
      <c r="O1063" s="200"/>
      <c r="P1063" s="359"/>
      <c r="Q1063" s="353"/>
      <c r="R1063" s="353"/>
      <c r="S1063" s="200"/>
      <c r="T1063" s="353"/>
      <c r="U1063" s="353"/>
      <c r="V1063" s="353"/>
      <c r="W1063" s="200"/>
      <c r="X1063" s="200"/>
      <c r="Y1063" s="200"/>
      <c r="Z1063" s="200"/>
      <c r="AA1063" s="200"/>
      <c r="AB1063" s="200"/>
      <c r="AC1063" s="200"/>
      <c r="AD1063" s="200"/>
      <c r="AE1063" s="200"/>
      <c r="AF1063" s="200"/>
      <c r="AG1063" s="200"/>
      <c r="AH1063" s="200"/>
      <c r="AI1063" s="200"/>
      <c r="AJ1063" s="200"/>
      <c r="AK1063" s="200"/>
      <c r="AL1063" s="200"/>
      <c r="AM1063" s="200"/>
      <c r="AN1063" s="200"/>
      <c r="AO1063" s="200"/>
      <c r="AP1063" s="200"/>
      <c r="AQ1063" s="200"/>
      <c r="AR1063" s="200"/>
      <c r="AS1063" s="200"/>
    </row>
    <row r="1064" spans="1:45" ht="16.5" customHeight="1">
      <c r="A1064" s="307"/>
      <c r="B1064" s="307"/>
      <c r="C1064" s="200"/>
      <c r="D1064" s="200"/>
      <c r="E1064" s="200"/>
      <c r="F1064" s="200"/>
      <c r="G1064" s="200"/>
      <c r="H1064" s="200"/>
      <c r="I1064" s="200"/>
      <c r="J1064" s="200"/>
      <c r="K1064" s="200"/>
      <c r="L1064" s="200"/>
      <c r="M1064" s="200"/>
      <c r="N1064" s="200"/>
      <c r="O1064" s="200"/>
      <c r="P1064" s="359"/>
      <c r="Q1064" s="353"/>
      <c r="R1064" s="353"/>
      <c r="S1064" s="200"/>
      <c r="T1064" s="353"/>
      <c r="U1064" s="353"/>
      <c r="V1064" s="353"/>
      <c r="W1064" s="200"/>
      <c r="X1064" s="200"/>
      <c r="Y1064" s="200"/>
      <c r="Z1064" s="200"/>
      <c r="AA1064" s="200"/>
      <c r="AB1064" s="200"/>
      <c r="AC1064" s="200"/>
      <c r="AD1064" s="200"/>
      <c r="AE1064" s="200"/>
      <c r="AF1064" s="200"/>
      <c r="AG1064" s="200"/>
      <c r="AH1064" s="200"/>
      <c r="AI1064" s="200"/>
      <c r="AJ1064" s="200"/>
      <c r="AK1064" s="200"/>
      <c r="AL1064" s="200"/>
      <c r="AM1064" s="200"/>
      <c r="AN1064" s="200"/>
      <c r="AO1064" s="200"/>
      <c r="AP1064" s="200"/>
      <c r="AQ1064" s="200"/>
      <c r="AR1064" s="200"/>
      <c r="AS1064" s="200"/>
    </row>
    <row r="1065" spans="1:45" ht="16.5" customHeight="1">
      <c r="A1065" s="307"/>
      <c r="B1065" s="307"/>
      <c r="C1065" s="200"/>
      <c r="D1065" s="200"/>
      <c r="E1065" s="200"/>
      <c r="F1065" s="200"/>
      <c r="G1065" s="200"/>
      <c r="H1065" s="200"/>
      <c r="I1065" s="200"/>
      <c r="J1065" s="200"/>
      <c r="K1065" s="200"/>
      <c r="L1065" s="200"/>
      <c r="M1065" s="200"/>
      <c r="N1065" s="200"/>
      <c r="O1065" s="200"/>
      <c r="P1065" s="359"/>
      <c r="Q1065" s="353"/>
      <c r="R1065" s="353"/>
      <c r="S1065" s="200"/>
      <c r="T1065" s="353"/>
      <c r="U1065" s="353"/>
      <c r="V1065" s="353"/>
      <c r="W1065" s="200"/>
      <c r="X1065" s="200"/>
      <c r="Y1065" s="200"/>
      <c r="Z1065" s="200"/>
      <c r="AA1065" s="200"/>
      <c r="AB1065" s="200"/>
      <c r="AC1065" s="200"/>
      <c r="AD1065" s="200"/>
      <c r="AE1065" s="200"/>
      <c r="AF1065" s="200"/>
      <c r="AG1065" s="200"/>
      <c r="AH1065" s="200"/>
      <c r="AI1065" s="200"/>
      <c r="AJ1065" s="200"/>
      <c r="AK1065" s="200"/>
      <c r="AL1065" s="200"/>
      <c r="AM1065" s="200"/>
      <c r="AN1065" s="200"/>
      <c r="AO1065" s="200"/>
      <c r="AP1065" s="200"/>
      <c r="AQ1065" s="200"/>
      <c r="AR1065" s="200"/>
      <c r="AS1065" s="200"/>
    </row>
    <row r="1066" spans="1:45" ht="16.5" customHeight="1">
      <c r="A1066" s="307"/>
      <c r="B1066" s="307"/>
      <c r="C1066" s="200"/>
      <c r="D1066" s="200"/>
      <c r="E1066" s="200"/>
      <c r="F1066" s="200"/>
      <c r="G1066" s="200"/>
      <c r="H1066" s="200"/>
      <c r="I1066" s="200"/>
      <c r="J1066" s="200"/>
      <c r="K1066" s="200"/>
      <c r="L1066" s="200"/>
      <c r="M1066" s="200"/>
      <c r="N1066" s="200"/>
      <c r="O1066" s="200"/>
      <c r="P1066" s="359"/>
      <c r="Q1066" s="353"/>
      <c r="R1066" s="353"/>
      <c r="S1066" s="200"/>
      <c r="T1066" s="353"/>
      <c r="U1066" s="353"/>
      <c r="V1066" s="353"/>
      <c r="W1066" s="200"/>
      <c r="X1066" s="200"/>
      <c r="Y1066" s="200"/>
      <c r="Z1066" s="200"/>
      <c r="AA1066" s="200"/>
      <c r="AB1066" s="200"/>
      <c r="AC1066" s="200"/>
      <c r="AD1066" s="200"/>
      <c r="AE1066" s="200"/>
      <c r="AF1066" s="200"/>
      <c r="AG1066" s="200"/>
      <c r="AH1066" s="200"/>
      <c r="AI1066" s="200"/>
      <c r="AJ1066" s="200"/>
      <c r="AK1066" s="200"/>
      <c r="AL1066" s="200"/>
      <c r="AM1066" s="200"/>
      <c r="AN1066" s="200"/>
      <c r="AO1066" s="200"/>
      <c r="AP1066" s="200"/>
      <c r="AQ1066" s="200"/>
      <c r="AR1066" s="200"/>
      <c r="AS1066" s="200"/>
    </row>
    <row r="1067" spans="1:45" ht="16.5" customHeight="1">
      <c r="A1067" s="307"/>
      <c r="B1067" s="307"/>
      <c r="C1067" s="200"/>
      <c r="D1067" s="200"/>
      <c r="E1067" s="200"/>
      <c r="F1067" s="200"/>
      <c r="G1067" s="200"/>
      <c r="H1067" s="200"/>
      <c r="I1067" s="200"/>
      <c r="J1067" s="200"/>
      <c r="K1067" s="200"/>
      <c r="L1067" s="200"/>
      <c r="M1067" s="200"/>
      <c r="N1067" s="200"/>
      <c r="O1067" s="200"/>
      <c r="P1067" s="359"/>
      <c r="Q1067" s="353"/>
      <c r="R1067" s="353"/>
      <c r="S1067" s="200"/>
      <c r="T1067" s="353"/>
      <c r="U1067" s="353"/>
      <c r="V1067" s="353"/>
      <c r="W1067" s="200"/>
      <c r="X1067" s="200"/>
      <c r="Y1067" s="200"/>
      <c r="Z1067" s="200"/>
      <c r="AA1067" s="200"/>
      <c r="AB1067" s="200"/>
      <c r="AC1067" s="200"/>
      <c r="AD1067" s="200"/>
      <c r="AE1067" s="200"/>
      <c r="AF1067" s="200"/>
      <c r="AG1067" s="200"/>
      <c r="AH1067" s="200"/>
      <c r="AI1067" s="200"/>
      <c r="AJ1067" s="200"/>
      <c r="AK1067" s="200"/>
      <c r="AL1067" s="200"/>
      <c r="AM1067" s="200"/>
      <c r="AN1067" s="200"/>
      <c r="AO1067" s="200"/>
      <c r="AP1067" s="200"/>
      <c r="AQ1067" s="200"/>
      <c r="AR1067" s="200"/>
      <c r="AS1067" s="200"/>
    </row>
    <row r="1068" spans="1:45" ht="16.5" customHeight="1">
      <c r="A1068" s="307"/>
      <c r="B1068" s="307"/>
      <c r="C1068" s="200"/>
      <c r="D1068" s="200"/>
      <c r="E1068" s="200"/>
      <c r="F1068" s="200"/>
      <c r="G1068" s="200"/>
      <c r="H1068" s="200"/>
      <c r="I1068" s="200"/>
      <c r="J1068" s="200"/>
      <c r="K1068" s="200"/>
      <c r="L1068" s="200"/>
      <c r="M1068" s="200"/>
      <c r="N1068" s="200"/>
      <c r="O1068" s="200"/>
      <c r="P1068" s="359"/>
      <c r="Q1068" s="353"/>
      <c r="R1068" s="353"/>
      <c r="S1068" s="200"/>
      <c r="T1068" s="353"/>
      <c r="U1068" s="353"/>
      <c r="V1068" s="353"/>
      <c r="W1068" s="200"/>
      <c r="X1068" s="200"/>
      <c r="Y1068" s="200"/>
      <c r="Z1068" s="200"/>
      <c r="AA1068" s="200"/>
      <c r="AB1068" s="200"/>
      <c r="AC1068" s="200"/>
      <c r="AD1068" s="200"/>
      <c r="AE1068" s="200"/>
      <c r="AF1068" s="200"/>
      <c r="AG1068" s="200"/>
      <c r="AH1068" s="200"/>
      <c r="AI1068" s="200"/>
      <c r="AJ1068" s="200"/>
      <c r="AK1068" s="200"/>
      <c r="AL1068" s="200"/>
      <c r="AM1068" s="200"/>
      <c r="AN1068" s="200"/>
      <c r="AO1068" s="200"/>
      <c r="AP1068" s="200"/>
      <c r="AQ1068" s="200"/>
      <c r="AR1068" s="200"/>
      <c r="AS1068" s="200"/>
    </row>
    <row r="1069" spans="1:45" ht="16.5" customHeight="1">
      <c r="A1069" s="307"/>
      <c r="B1069" s="307"/>
      <c r="C1069" s="200"/>
      <c r="D1069" s="200"/>
      <c r="E1069" s="200"/>
      <c r="F1069" s="200"/>
      <c r="G1069" s="200"/>
      <c r="H1069" s="200"/>
      <c r="I1069" s="200"/>
      <c r="J1069" s="200"/>
      <c r="K1069" s="200"/>
      <c r="L1069" s="200"/>
      <c r="M1069" s="200"/>
      <c r="N1069" s="200"/>
      <c r="O1069" s="200"/>
      <c r="P1069" s="359"/>
      <c r="Q1069" s="353"/>
      <c r="R1069" s="353"/>
      <c r="S1069" s="200"/>
      <c r="T1069" s="353"/>
      <c r="U1069" s="353"/>
      <c r="V1069" s="353"/>
      <c r="W1069" s="200"/>
      <c r="X1069" s="200"/>
      <c r="Y1069" s="200"/>
      <c r="Z1069" s="200"/>
      <c r="AA1069" s="200"/>
      <c r="AB1069" s="200"/>
      <c r="AC1069" s="200"/>
      <c r="AD1069" s="200"/>
      <c r="AE1069" s="200"/>
      <c r="AF1069" s="200"/>
      <c r="AG1069" s="200"/>
      <c r="AH1069" s="200"/>
      <c r="AI1069" s="200"/>
      <c r="AJ1069" s="200"/>
      <c r="AK1069" s="200"/>
      <c r="AL1069" s="200"/>
      <c r="AM1069" s="200"/>
      <c r="AN1069" s="200"/>
      <c r="AO1069" s="200"/>
      <c r="AP1069" s="200"/>
      <c r="AQ1069" s="200"/>
      <c r="AR1069" s="200"/>
      <c r="AS1069" s="200"/>
    </row>
    <row r="1070" spans="1:45" ht="16.5" customHeight="1">
      <c r="A1070" s="307"/>
      <c r="B1070" s="307"/>
      <c r="C1070" s="200"/>
      <c r="D1070" s="200"/>
      <c r="E1070" s="200"/>
      <c r="F1070" s="200"/>
      <c r="G1070" s="200"/>
      <c r="H1070" s="200"/>
      <c r="I1070" s="200"/>
      <c r="J1070" s="200"/>
      <c r="K1070" s="200"/>
      <c r="L1070" s="200"/>
      <c r="M1070" s="200"/>
      <c r="N1070" s="200"/>
      <c r="O1070" s="200"/>
      <c r="P1070" s="359"/>
      <c r="Q1070" s="353"/>
      <c r="R1070" s="353"/>
      <c r="S1070" s="200"/>
      <c r="T1070" s="353"/>
      <c r="U1070" s="353"/>
      <c r="V1070" s="353"/>
      <c r="W1070" s="200"/>
      <c r="X1070" s="200"/>
      <c r="Y1070" s="200"/>
      <c r="Z1070" s="200"/>
      <c r="AA1070" s="200"/>
      <c r="AB1070" s="200"/>
      <c r="AC1070" s="200"/>
      <c r="AD1070" s="200"/>
      <c r="AE1070" s="200"/>
      <c r="AF1070" s="200"/>
      <c r="AG1070" s="200"/>
      <c r="AH1070" s="200"/>
      <c r="AI1070" s="200"/>
      <c r="AJ1070" s="200"/>
      <c r="AK1070" s="200"/>
      <c r="AL1070" s="200"/>
      <c r="AM1070" s="200"/>
      <c r="AN1070" s="200"/>
      <c r="AO1070" s="200"/>
      <c r="AP1070" s="200"/>
      <c r="AQ1070" s="200"/>
      <c r="AR1070" s="200"/>
      <c r="AS1070" s="200"/>
    </row>
    <row r="1071" spans="1:45" ht="16.5" customHeight="1">
      <c r="A1071" s="307"/>
      <c r="B1071" s="307"/>
      <c r="C1071" s="200"/>
      <c r="D1071" s="200"/>
      <c r="E1071" s="200"/>
      <c r="F1071" s="200"/>
      <c r="G1071" s="200"/>
      <c r="H1071" s="200"/>
      <c r="I1071" s="200"/>
      <c r="J1071" s="200"/>
      <c r="K1071" s="200"/>
      <c r="L1071" s="200"/>
      <c r="M1071" s="200"/>
      <c r="N1071" s="200"/>
      <c r="O1071" s="200"/>
      <c r="P1071" s="359"/>
      <c r="Q1071" s="353"/>
      <c r="R1071" s="353"/>
      <c r="S1071" s="200"/>
      <c r="T1071" s="353"/>
      <c r="U1071" s="353"/>
      <c r="V1071" s="353"/>
      <c r="W1071" s="200"/>
      <c r="X1071" s="200"/>
      <c r="Y1071" s="200"/>
      <c r="Z1071" s="200"/>
      <c r="AA1071" s="200"/>
      <c r="AB1071" s="200"/>
      <c r="AC1071" s="200"/>
      <c r="AD1071" s="200"/>
      <c r="AE1071" s="200"/>
      <c r="AF1071" s="200"/>
      <c r="AG1071" s="200"/>
      <c r="AH1071" s="200"/>
      <c r="AI1071" s="200"/>
      <c r="AJ1071" s="200"/>
      <c r="AK1071" s="200"/>
      <c r="AL1071" s="200"/>
      <c r="AM1071" s="200"/>
      <c r="AN1071" s="200"/>
      <c r="AO1071" s="200"/>
      <c r="AP1071" s="200"/>
      <c r="AQ1071" s="200"/>
      <c r="AR1071" s="200"/>
      <c r="AS1071" s="200"/>
    </row>
    <row r="1072" spans="1:45" ht="16.5" customHeight="1">
      <c r="A1072" s="307"/>
      <c r="B1072" s="307"/>
      <c r="C1072" s="200"/>
      <c r="D1072" s="200"/>
      <c r="E1072" s="200"/>
      <c r="F1072" s="200"/>
      <c r="G1072" s="200"/>
      <c r="H1072" s="200"/>
      <c r="I1072" s="200"/>
      <c r="J1072" s="200"/>
      <c r="K1072" s="200"/>
      <c r="L1072" s="200"/>
      <c r="M1072" s="200"/>
      <c r="N1072" s="200"/>
      <c r="O1072" s="200"/>
      <c r="P1072" s="359"/>
      <c r="Q1072" s="353"/>
      <c r="R1072" s="353"/>
      <c r="S1072" s="200"/>
      <c r="T1072" s="353"/>
      <c r="U1072" s="353"/>
      <c r="V1072" s="353"/>
      <c r="W1072" s="200"/>
      <c r="X1072" s="200"/>
      <c r="Y1072" s="200"/>
      <c r="Z1072" s="200"/>
      <c r="AA1072" s="200"/>
      <c r="AB1072" s="200"/>
      <c r="AC1072" s="200"/>
      <c r="AD1072" s="200"/>
      <c r="AE1072" s="200"/>
      <c r="AF1072" s="200"/>
      <c r="AG1072" s="200"/>
      <c r="AH1072" s="200"/>
      <c r="AI1072" s="200"/>
      <c r="AJ1072" s="200"/>
      <c r="AK1072" s="200"/>
      <c r="AL1072" s="200"/>
      <c r="AM1072" s="200"/>
      <c r="AN1072" s="200"/>
      <c r="AO1072" s="200"/>
      <c r="AP1072" s="200"/>
      <c r="AQ1072" s="200"/>
      <c r="AR1072" s="200"/>
      <c r="AS1072" s="200"/>
    </row>
    <row r="1073" spans="1:45" ht="16.5" customHeight="1">
      <c r="A1073" s="307"/>
      <c r="B1073" s="307"/>
      <c r="C1073" s="200"/>
      <c r="D1073" s="200"/>
      <c r="E1073" s="200"/>
      <c r="F1073" s="200"/>
      <c r="G1073" s="200"/>
      <c r="H1073" s="200"/>
      <c r="I1073" s="200"/>
      <c r="J1073" s="200"/>
      <c r="K1073" s="200"/>
      <c r="L1073" s="200"/>
      <c r="M1073" s="200"/>
      <c r="N1073" s="200"/>
      <c r="O1073" s="200"/>
      <c r="P1073" s="359"/>
      <c r="Q1073" s="353"/>
      <c r="R1073" s="353"/>
      <c r="S1073" s="200"/>
      <c r="T1073" s="353"/>
      <c r="U1073" s="353"/>
      <c r="V1073" s="353"/>
      <c r="W1073" s="200"/>
      <c r="X1073" s="200"/>
      <c r="Y1073" s="200"/>
      <c r="Z1073" s="200"/>
      <c r="AA1073" s="200"/>
      <c r="AB1073" s="200"/>
      <c r="AC1073" s="200"/>
      <c r="AD1073" s="200"/>
      <c r="AE1073" s="200"/>
      <c r="AF1073" s="200"/>
      <c r="AG1073" s="200"/>
      <c r="AH1073" s="200"/>
      <c r="AI1073" s="200"/>
      <c r="AJ1073" s="200"/>
      <c r="AK1073" s="200"/>
      <c r="AL1073" s="200"/>
      <c r="AM1073" s="200"/>
      <c r="AN1073" s="200"/>
      <c r="AO1073" s="200"/>
      <c r="AP1073" s="200"/>
      <c r="AQ1073" s="200"/>
      <c r="AR1073" s="200"/>
      <c r="AS1073" s="200"/>
    </row>
    <row r="1074" spans="1:45" ht="16.5" customHeight="1">
      <c r="A1074" s="307"/>
      <c r="B1074" s="307"/>
      <c r="C1074" s="200"/>
      <c r="D1074" s="200"/>
      <c r="E1074" s="200"/>
      <c r="F1074" s="200"/>
      <c r="G1074" s="200"/>
      <c r="H1074" s="200"/>
      <c r="I1074" s="200"/>
      <c r="J1074" s="200"/>
      <c r="K1074" s="200"/>
      <c r="L1074" s="200"/>
      <c r="M1074" s="200"/>
      <c r="N1074" s="200"/>
      <c r="O1074" s="200"/>
      <c r="P1074" s="359"/>
      <c r="Q1074" s="353"/>
      <c r="R1074" s="353"/>
      <c r="S1074" s="200"/>
      <c r="T1074" s="353"/>
      <c r="U1074" s="353"/>
      <c r="V1074" s="353"/>
      <c r="W1074" s="200"/>
      <c r="X1074" s="200"/>
      <c r="Y1074" s="200"/>
      <c r="Z1074" s="200"/>
      <c r="AA1074" s="200"/>
      <c r="AB1074" s="200"/>
      <c r="AC1074" s="200"/>
      <c r="AD1074" s="200"/>
      <c r="AE1074" s="200"/>
      <c r="AF1074" s="200"/>
      <c r="AG1074" s="200"/>
      <c r="AH1074" s="200"/>
      <c r="AI1074" s="200"/>
      <c r="AJ1074" s="200"/>
      <c r="AK1074" s="200"/>
      <c r="AL1074" s="200"/>
      <c r="AM1074" s="200"/>
      <c r="AN1074" s="200"/>
      <c r="AO1074" s="200"/>
      <c r="AP1074" s="200"/>
      <c r="AQ1074" s="200"/>
      <c r="AR1074" s="200"/>
      <c r="AS1074" s="200"/>
    </row>
    <row r="1075" spans="1:45" ht="16.5" customHeight="1">
      <c r="A1075" s="307"/>
      <c r="B1075" s="307"/>
      <c r="C1075" s="200"/>
      <c r="D1075" s="200"/>
      <c r="E1075" s="200"/>
      <c r="F1075" s="200"/>
      <c r="G1075" s="200"/>
      <c r="H1075" s="200"/>
      <c r="I1075" s="200"/>
      <c r="J1075" s="200"/>
      <c r="K1075" s="200"/>
      <c r="L1075" s="200"/>
      <c r="M1075" s="200"/>
      <c r="N1075" s="200"/>
      <c r="O1075" s="200"/>
      <c r="P1075" s="359"/>
      <c r="Q1075" s="353"/>
      <c r="R1075" s="353"/>
      <c r="S1075" s="200"/>
      <c r="T1075" s="353"/>
      <c r="U1075" s="353"/>
      <c r="V1075" s="353"/>
      <c r="W1075" s="200"/>
      <c r="X1075" s="200"/>
      <c r="Y1075" s="200"/>
      <c r="Z1075" s="200"/>
      <c r="AA1075" s="200"/>
      <c r="AB1075" s="200"/>
      <c r="AC1075" s="200"/>
      <c r="AD1075" s="200"/>
      <c r="AE1075" s="200"/>
      <c r="AF1075" s="200"/>
      <c r="AG1075" s="200"/>
      <c r="AH1075" s="200"/>
      <c r="AI1075" s="200"/>
      <c r="AJ1075" s="200"/>
      <c r="AK1075" s="200"/>
      <c r="AL1075" s="200"/>
      <c r="AM1075" s="200"/>
      <c r="AN1075" s="200"/>
      <c r="AO1075" s="200"/>
      <c r="AP1075" s="200"/>
      <c r="AQ1075" s="200"/>
      <c r="AR1075" s="200"/>
      <c r="AS1075" s="200"/>
    </row>
    <row r="1076" spans="1:45" ht="16.5" customHeight="1">
      <c r="A1076" s="307"/>
      <c r="B1076" s="307"/>
      <c r="C1076" s="200"/>
      <c r="D1076" s="200"/>
      <c r="E1076" s="200"/>
      <c r="F1076" s="200"/>
      <c r="G1076" s="200"/>
      <c r="H1076" s="200"/>
      <c r="I1076" s="200"/>
      <c r="J1076" s="200"/>
      <c r="K1076" s="200"/>
      <c r="L1076" s="200"/>
      <c r="M1076" s="200"/>
      <c r="N1076" s="200"/>
      <c r="O1076" s="200"/>
      <c r="P1076" s="359"/>
      <c r="Q1076" s="353"/>
      <c r="R1076" s="353"/>
      <c r="S1076" s="200"/>
      <c r="T1076" s="353"/>
      <c r="U1076" s="353"/>
      <c r="V1076" s="353"/>
      <c r="W1076" s="200"/>
      <c r="X1076" s="200"/>
      <c r="Y1076" s="200"/>
      <c r="Z1076" s="200"/>
      <c r="AA1076" s="200"/>
      <c r="AB1076" s="200"/>
      <c r="AC1076" s="200"/>
      <c r="AD1076" s="200"/>
      <c r="AE1076" s="200"/>
      <c r="AF1076" s="200"/>
      <c r="AG1076" s="200"/>
      <c r="AH1076" s="200"/>
      <c r="AI1076" s="200"/>
      <c r="AJ1076" s="200"/>
      <c r="AK1076" s="200"/>
      <c r="AL1076" s="200"/>
      <c r="AM1076" s="200"/>
      <c r="AN1076" s="200"/>
      <c r="AO1076" s="200"/>
      <c r="AP1076" s="200"/>
      <c r="AQ1076" s="200"/>
      <c r="AR1076" s="200"/>
      <c r="AS1076" s="200"/>
    </row>
    <row r="1077" spans="1:45" ht="16.5" customHeight="1">
      <c r="A1077" s="307"/>
      <c r="B1077" s="307"/>
      <c r="C1077" s="200"/>
      <c r="D1077" s="200"/>
      <c r="E1077" s="200"/>
      <c r="F1077" s="200"/>
      <c r="G1077" s="200"/>
      <c r="H1077" s="200"/>
      <c r="I1077" s="200"/>
      <c r="J1077" s="200"/>
      <c r="K1077" s="200"/>
      <c r="L1077" s="200"/>
      <c r="M1077" s="200"/>
      <c r="N1077" s="200"/>
      <c r="O1077" s="200"/>
      <c r="P1077" s="359"/>
      <c r="Q1077" s="353"/>
      <c r="R1077" s="353"/>
      <c r="S1077" s="200"/>
      <c r="T1077" s="353"/>
      <c r="U1077" s="353"/>
      <c r="V1077" s="353"/>
      <c r="W1077" s="200"/>
      <c r="X1077" s="200"/>
      <c r="Y1077" s="200"/>
      <c r="Z1077" s="200"/>
      <c r="AA1077" s="200"/>
      <c r="AB1077" s="200"/>
      <c r="AC1077" s="200"/>
      <c r="AD1077" s="200"/>
      <c r="AE1077" s="200"/>
      <c r="AF1077" s="200"/>
      <c r="AG1077" s="200"/>
      <c r="AH1077" s="200"/>
      <c r="AI1077" s="200"/>
      <c r="AJ1077" s="200"/>
      <c r="AK1077" s="200"/>
      <c r="AL1077" s="200"/>
      <c r="AM1077" s="200"/>
      <c r="AN1077" s="200"/>
      <c r="AO1077" s="200"/>
      <c r="AP1077" s="200"/>
      <c r="AQ1077" s="200"/>
      <c r="AR1077" s="200"/>
      <c r="AS1077" s="200"/>
    </row>
    <row r="1078" spans="1:45" ht="16.5" customHeight="1">
      <c r="A1078" s="307"/>
      <c r="B1078" s="307"/>
      <c r="C1078" s="200"/>
      <c r="D1078" s="200"/>
      <c r="E1078" s="200"/>
      <c r="F1078" s="200"/>
      <c r="G1078" s="200"/>
      <c r="H1078" s="200"/>
      <c r="I1078" s="200"/>
      <c r="J1078" s="200"/>
      <c r="K1078" s="200"/>
      <c r="L1078" s="200"/>
      <c r="M1078" s="200"/>
      <c r="N1078" s="200"/>
      <c r="O1078" s="200"/>
      <c r="P1078" s="359"/>
      <c r="Q1078" s="353"/>
      <c r="R1078" s="353"/>
      <c r="S1078" s="200"/>
      <c r="T1078" s="353"/>
      <c r="U1078" s="353"/>
      <c r="V1078" s="353"/>
      <c r="W1078" s="200"/>
      <c r="X1078" s="200"/>
      <c r="Y1078" s="200"/>
      <c r="Z1078" s="200"/>
      <c r="AA1078" s="200"/>
      <c r="AB1078" s="200"/>
      <c r="AC1078" s="200"/>
      <c r="AD1078" s="200"/>
      <c r="AE1078" s="200"/>
      <c r="AF1078" s="200"/>
      <c r="AG1078" s="200"/>
      <c r="AH1078" s="200"/>
      <c r="AI1078" s="200"/>
      <c r="AJ1078" s="200"/>
      <c r="AK1078" s="200"/>
      <c r="AL1078" s="200"/>
      <c r="AM1078" s="200"/>
      <c r="AN1078" s="200"/>
      <c r="AO1078" s="200"/>
      <c r="AP1078" s="200"/>
      <c r="AQ1078" s="200"/>
      <c r="AR1078" s="200"/>
      <c r="AS1078" s="200"/>
    </row>
    <row r="1079" spans="1:45" ht="16.5" customHeight="1">
      <c r="A1079" s="307"/>
      <c r="B1079" s="307"/>
      <c r="C1079" s="200"/>
      <c r="D1079" s="200"/>
      <c r="E1079" s="200"/>
      <c r="F1079" s="200"/>
      <c r="G1079" s="200"/>
      <c r="H1079" s="200"/>
      <c r="I1079" s="200"/>
      <c r="J1079" s="200"/>
      <c r="K1079" s="200"/>
      <c r="L1079" s="200"/>
      <c r="M1079" s="200"/>
      <c r="N1079" s="200"/>
      <c r="O1079" s="200"/>
      <c r="P1079" s="359"/>
      <c r="Q1079" s="353"/>
      <c r="R1079" s="353"/>
      <c r="S1079" s="200"/>
      <c r="T1079" s="353"/>
      <c r="U1079" s="353"/>
      <c r="V1079" s="353"/>
      <c r="W1079" s="200"/>
      <c r="X1079" s="200"/>
      <c r="Y1079" s="200"/>
      <c r="Z1079" s="200"/>
      <c r="AA1079" s="200"/>
      <c r="AB1079" s="200"/>
      <c r="AC1079" s="200"/>
      <c r="AD1079" s="200"/>
      <c r="AE1079" s="200"/>
      <c r="AF1079" s="200"/>
      <c r="AG1079" s="200"/>
      <c r="AH1079" s="200"/>
      <c r="AI1079" s="200"/>
      <c r="AJ1079" s="200"/>
      <c r="AK1079" s="200"/>
      <c r="AL1079" s="200"/>
      <c r="AM1079" s="200"/>
      <c r="AN1079" s="200"/>
      <c r="AO1079" s="200"/>
      <c r="AP1079" s="200"/>
      <c r="AQ1079" s="200"/>
      <c r="AR1079" s="200"/>
      <c r="AS1079" s="200"/>
    </row>
    <row r="1080" spans="1:45" ht="16.5" customHeight="1">
      <c r="A1080" s="307"/>
      <c r="B1080" s="307"/>
      <c r="C1080" s="200"/>
      <c r="D1080" s="200"/>
      <c r="E1080" s="200"/>
      <c r="F1080" s="200"/>
      <c r="G1080" s="200"/>
      <c r="H1080" s="200"/>
      <c r="I1080" s="200"/>
      <c r="J1080" s="200"/>
      <c r="K1080" s="200"/>
      <c r="L1080" s="200"/>
      <c r="M1080" s="200"/>
      <c r="N1080" s="200"/>
      <c r="O1080" s="200"/>
      <c r="P1080" s="359"/>
      <c r="Q1080" s="353"/>
      <c r="R1080" s="353"/>
      <c r="S1080" s="200"/>
      <c r="T1080" s="353"/>
      <c r="U1080" s="353"/>
      <c r="V1080" s="353"/>
      <c r="W1080" s="200"/>
      <c r="X1080" s="200"/>
      <c r="Y1080" s="200"/>
      <c r="Z1080" s="200"/>
      <c r="AA1080" s="200"/>
      <c r="AB1080" s="200"/>
      <c r="AC1080" s="200"/>
      <c r="AD1080" s="200"/>
      <c r="AE1080" s="200"/>
      <c r="AF1080" s="200"/>
      <c r="AG1080" s="200"/>
      <c r="AH1080" s="200"/>
      <c r="AI1080" s="200"/>
      <c r="AJ1080" s="200"/>
      <c r="AK1080" s="200"/>
      <c r="AL1080" s="200"/>
      <c r="AM1080" s="200"/>
      <c r="AN1080" s="200"/>
      <c r="AO1080" s="200"/>
      <c r="AP1080" s="200"/>
      <c r="AQ1080" s="200"/>
      <c r="AR1080" s="200"/>
      <c r="AS1080" s="200"/>
    </row>
    <row r="1081" spans="1:45" ht="16.5" customHeight="1">
      <c r="A1081" s="307"/>
      <c r="B1081" s="307"/>
      <c r="C1081" s="200"/>
      <c r="D1081" s="200"/>
      <c r="E1081" s="200"/>
      <c r="F1081" s="200"/>
      <c r="G1081" s="200"/>
      <c r="H1081" s="200"/>
      <c r="I1081" s="200"/>
      <c r="J1081" s="200"/>
      <c r="K1081" s="200"/>
      <c r="L1081" s="200"/>
      <c r="M1081" s="200"/>
      <c r="N1081" s="200"/>
      <c r="O1081" s="200"/>
      <c r="P1081" s="359"/>
      <c r="Q1081" s="353"/>
      <c r="R1081" s="353"/>
      <c r="S1081" s="200"/>
      <c r="T1081" s="353"/>
      <c r="U1081" s="353"/>
      <c r="V1081" s="353"/>
      <c r="W1081" s="200"/>
      <c r="X1081" s="200"/>
      <c r="Y1081" s="200"/>
      <c r="Z1081" s="200"/>
      <c r="AA1081" s="200"/>
      <c r="AB1081" s="200"/>
      <c r="AC1081" s="200"/>
      <c r="AD1081" s="200"/>
      <c r="AE1081" s="200"/>
      <c r="AF1081" s="200"/>
      <c r="AG1081" s="200"/>
      <c r="AH1081" s="200"/>
      <c r="AI1081" s="200"/>
      <c r="AJ1081" s="200"/>
      <c r="AK1081" s="200"/>
      <c r="AL1081" s="200"/>
      <c r="AM1081" s="200"/>
      <c r="AN1081" s="200"/>
      <c r="AO1081" s="200"/>
      <c r="AP1081" s="200"/>
      <c r="AQ1081" s="200"/>
      <c r="AR1081" s="200"/>
      <c r="AS1081" s="200"/>
    </row>
    <row r="1082" spans="1:45" ht="16.5" customHeight="1">
      <c r="A1082" s="307"/>
      <c r="B1082" s="307"/>
      <c r="C1082" s="200"/>
      <c r="D1082" s="200"/>
      <c r="E1082" s="200"/>
      <c r="F1082" s="200"/>
      <c r="G1082" s="200"/>
      <c r="H1082" s="200"/>
      <c r="I1082" s="200"/>
      <c r="J1082" s="200"/>
      <c r="K1082" s="200"/>
      <c r="L1082" s="200"/>
      <c r="M1082" s="200"/>
      <c r="N1082" s="200"/>
      <c r="O1082" s="200"/>
      <c r="P1082" s="359"/>
      <c r="Q1082" s="353"/>
      <c r="R1082" s="353"/>
      <c r="S1082" s="200"/>
      <c r="T1082" s="353"/>
      <c r="U1082" s="353"/>
      <c r="V1082" s="353"/>
      <c r="W1082" s="200"/>
      <c r="X1082" s="200"/>
      <c r="Y1082" s="200"/>
      <c r="Z1082" s="200"/>
      <c r="AA1082" s="200"/>
      <c r="AB1082" s="200"/>
      <c r="AC1082" s="200"/>
      <c r="AD1082" s="200"/>
      <c r="AE1082" s="200"/>
      <c r="AF1082" s="200"/>
      <c r="AG1082" s="200"/>
      <c r="AH1082" s="200"/>
      <c r="AI1082" s="200"/>
      <c r="AJ1082" s="200"/>
      <c r="AK1082" s="200"/>
      <c r="AL1082" s="200"/>
      <c r="AM1082" s="200"/>
      <c r="AN1082" s="200"/>
      <c r="AO1082" s="200"/>
      <c r="AP1082" s="200"/>
      <c r="AQ1082" s="200"/>
      <c r="AR1082" s="200"/>
      <c r="AS1082" s="200"/>
    </row>
    <row r="1083" spans="1:45" ht="16.5" customHeight="1">
      <c r="A1083" s="307"/>
      <c r="B1083" s="307"/>
      <c r="C1083" s="200"/>
      <c r="D1083" s="200"/>
      <c r="E1083" s="200"/>
      <c r="F1083" s="200"/>
      <c r="G1083" s="200"/>
      <c r="H1083" s="200"/>
      <c r="I1083" s="200"/>
      <c r="J1083" s="200"/>
      <c r="K1083" s="200"/>
      <c r="L1083" s="200"/>
      <c r="M1083" s="200"/>
      <c r="N1083" s="200"/>
      <c r="O1083" s="200"/>
      <c r="P1083" s="359"/>
      <c r="Q1083" s="353"/>
      <c r="R1083" s="353"/>
      <c r="S1083" s="200"/>
      <c r="T1083" s="353"/>
      <c r="U1083" s="353"/>
      <c r="V1083" s="353"/>
      <c r="W1083" s="200"/>
      <c r="X1083" s="200"/>
      <c r="Y1083" s="200"/>
      <c r="Z1083" s="200"/>
      <c r="AA1083" s="200"/>
      <c r="AB1083" s="200"/>
      <c r="AC1083" s="200"/>
      <c r="AD1083" s="200"/>
      <c r="AE1083" s="200"/>
      <c r="AF1083" s="200"/>
      <c r="AG1083" s="200"/>
      <c r="AH1083" s="200"/>
      <c r="AI1083" s="200"/>
      <c r="AJ1083" s="200"/>
      <c r="AK1083" s="200"/>
      <c r="AL1083" s="200"/>
      <c r="AM1083" s="200"/>
      <c r="AN1083" s="200"/>
      <c r="AO1083" s="200"/>
      <c r="AP1083" s="200"/>
      <c r="AQ1083" s="200"/>
      <c r="AR1083" s="200"/>
      <c r="AS1083" s="200"/>
    </row>
    <row r="1084" spans="1:45" ht="16.5" customHeight="1">
      <c r="A1084" s="307"/>
      <c r="B1084" s="307"/>
      <c r="C1084" s="200"/>
      <c r="D1084" s="200"/>
      <c r="E1084" s="200"/>
      <c r="F1084" s="200"/>
      <c r="G1084" s="200"/>
      <c r="H1084" s="200"/>
      <c r="I1084" s="200"/>
      <c r="J1084" s="200"/>
      <c r="K1084" s="200"/>
      <c r="L1084" s="200"/>
      <c r="M1084" s="200"/>
      <c r="N1084" s="200"/>
      <c r="O1084" s="200"/>
      <c r="P1084" s="359"/>
      <c r="Q1084" s="353"/>
      <c r="R1084" s="353"/>
      <c r="S1084" s="200"/>
      <c r="T1084" s="353"/>
      <c r="U1084" s="353"/>
      <c r="V1084" s="353"/>
      <c r="W1084" s="200"/>
      <c r="X1084" s="200"/>
      <c r="Y1084" s="200"/>
      <c r="Z1084" s="200"/>
      <c r="AA1084" s="200"/>
      <c r="AB1084" s="200"/>
      <c r="AC1084" s="200"/>
      <c r="AD1084" s="200"/>
      <c r="AE1084" s="200"/>
      <c r="AF1084" s="200"/>
      <c r="AG1084" s="200"/>
      <c r="AH1084" s="200"/>
      <c r="AI1084" s="200"/>
      <c r="AJ1084" s="200"/>
      <c r="AK1084" s="200"/>
      <c r="AL1084" s="200"/>
      <c r="AM1084" s="200"/>
      <c r="AN1084" s="200"/>
      <c r="AO1084" s="200"/>
      <c r="AP1084" s="200"/>
      <c r="AQ1084" s="200"/>
      <c r="AR1084" s="200"/>
      <c r="AS1084" s="200"/>
    </row>
    <row r="1085" spans="1:45" ht="16.5" customHeight="1">
      <c r="A1085" s="307"/>
      <c r="B1085" s="307"/>
      <c r="C1085" s="200"/>
      <c r="D1085" s="200"/>
      <c r="E1085" s="200"/>
      <c r="F1085" s="200"/>
      <c r="G1085" s="200"/>
      <c r="H1085" s="200"/>
      <c r="I1085" s="200"/>
      <c r="J1085" s="200"/>
      <c r="K1085" s="200"/>
      <c r="L1085" s="200"/>
      <c r="M1085" s="200"/>
      <c r="N1085" s="200"/>
      <c r="O1085" s="200"/>
      <c r="P1085" s="359"/>
      <c r="Q1085" s="353"/>
      <c r="R1085" s="353"/>
      <c r="S1085" s="200"/>
      <c r="T1085" s="353"/>
      <c r="U1085" s="353"/>
      <c r="V1085" s="353"/>
      <c r="W1085" s="200"/>
      <c r="X1085" s="200"/>
      <c r="Y1085" s="200"/>
      <c r="Z1085" s="200"/>
      <c r="AA1085" s="200"/>
      <c r="AB1085" s="200"/>
      <c r="AC1085" s="200"/>
      <c r="AD1085" s="200"/>
      <c r="AE1085" s="200"/>
      <c r="AF1085" s="200"/>
      <c r="AG1085" s="200"/>
      <c r="AH1085" s="200"/>
      <c r="AI1085" s="200"/>
      <c r="AJ1085" s="200"/>
      <c r="AK1085" s="200"/>
      <c r="AL1085" s="200"/>
      <c r="AM1085" s="200"/>
      <c r="AN1085" s="200"/>
      <c r="AO1085" s="200"/>
      <c r="AP1085" s="200"/>
      <c r="AQ1085" s="200"/>
      <c r="AR1085" s="200"/>
      <c r="AS1085" s="200"/>
    </row>
    <row r="1086" spans="1:45" ht="16.5" customHeight="1">
      <c r="A1086" s="307"/>
      <c r="B1086" s="307"/>
      <c r="C1086" s="200"/>
      <c r="D1086" s="200"/>
      <c r="E1086" s="200"/>
      <c r="F1086" s="200"/>
      <c r="G1086" s="200"/>
      <c r="H1086" s="200"/>
      <c r="I1086" s="200"/>
      <c r="J1086" s="200"/>
      <c r="K1086" s="200"/>
      <c r="L1086" s="200"/>
      <c r="M1086" s="200"/>
      <c r="N1086" s="200"/>
      <c r="O1086" s="200"/>
      <c r="P1086" s="359"/>
      <c r="Q1086" s="353"/>
      <c r="R1086" s="353"/>
      <c r="S1086" s="200"/>
      <c r="T1086" s="353"/>
      <c r="U1086" s="353"/>
      <c r="V1086" s="353"/>
      <c r="W1086" s="200"/>
      <c r="X1086" s="200"/>
      <c r="Y1086" s="200"/>
      <c r="Z1086" s="200"/>
      <c r="AA1086" s="200"/>
      <c r="AB1086" s="200"/>
      <c r="AC1086" s="200"/>
      <c r="AD1086" s="200"/>
      <c r="AE1086" s="200"/>
      <c r="AF1086" s="200"/>
      <c r="AG1086" s="200"/>
      <c r="AH1086" s="200"/>
      <c r="AI1086" s="200"/>
      <c r="AJ1086" s="200"/>
      <c r="AK1086" s="200"/>
      <c r="AL1086" s="200"/>
      <c r="AM1086" s="200"/>
      <c r="AN1086" s="200"/>
      <c r="AO1086" s="200"/>
      <c r="AP1086" s="200"/>
      <c r="AQ1086" s="200"/>
      <c r="AR1086" s="200"/>
      <c r="AS1086" s="200"/>
    </row>
    <row r="1087" spans="1:45" ht="16.5" customHeight="1">
      <c r="A1087" s="307"/>
      <c r="B1087" s="307"/>
      <c r="C1087" s="200"/>
      <c r="D1087" s="200"/>
      <c r="E1087" s="200"/>
      <c r="F1087" s="200"/>
      <c r="G1087" s="200"/>
      <c r="H1087" s="200"/>
      <c r="I1087" s="200"/>
      <c r="J1087" s="200"/>
      <c r="K1087" s="200"/>
      <c r="L1087" s="200"/>
      <c r="M1087" s="200"/>
      <c r="N1087" s="200"/>
      <c r="O1087" s="200"/>
      <c r="P1087" s="359"/>
      <c r="Q1087" s="353"/>
      <c r="R1087" s="353"/>
      <c r="S1087" s="200"/>
      <c r="T1087" s="353"/>
      <c r="U1087" s="353"/>
      <c r="V1087" s="353"/>
      <c r="W1087" s="200"/>
      <c r="X1087" s="200"/>
      <c r="Y1087" s="200"/>
      <c r="Z1087" s="200"/>
      <c r="AA1087" s="200"/>
      <c r="AB1087" s="200"/>
      <c r="AC1087" s="200"/>
      <c r="AD1087" s="200"/>
      <c r="AE1087" s="200"/>
      <c r="AF1087" s="200"/>
      <c r="AG1087" s="200"/>
      <c r="AH1087" s="200"/>
      <c r="AI1087" s="200"/>
      <c r="AJ1087" s="200"/>
      <c r="AK1087" s="200"/>
      <c r="AL1087" s="200"/>
      <c r="AM1087" s="200"/>
      <c r="AN1087" s="200"/>
      <c r="AO1087" s="200"/>
      <c r="AP1087" s="200"/>
      <c r="AQ1087" s="200"/>
      <c r="AR1087" s="200"/>
      <c r="AS1087" s="200"/>
    </row>
    <row r="1088" spans="1:45" ht="16.5" customHeight="1">
      <c r="A1088" s="307"/>
      <c r="B1088" s="307"/>
      <c r="C1088" s="200"/>
      <c r="D1088" s="200"/>
      <c r="E1088" s="200"/>
      <c r="F1088" s="200"/>
      <c r="G1088" s="200"/>
      <c r="H1088" s="200"/>
      <c r="I1088" s="200"/>
      <c r="J1088" s="200"/>
      <c r="K1088" s="200"/>
      <c r="L1088" s="200"/>
      <c r="M1088" s="200"/>
      <c r="N1088" s="200"/>
      <c r="O1088" s="200"/>
      <c r="P1088" s="359"/>
      <c r="Q1088" s="353"/>
      <c r="R1088" s="353"/>
      <c r="S1088" s="200"/>
      <c r="T1088" s="353"/>
      <c r="U1088" s="353"/>
      <c r="V1088" s="353"/>
      <c r="W1088" s="200"/>
      <c r="X1088" s="200"/>
      <c r="Y1088" s="200"/>
      <c r="Z1088" s="200"/>
      <c r="AA1088" s="200"/>
      <c r="AB1088" s="200"/>
      <c r="AC1088" s="200"/>
      <c r="AD1088" s="200"/>
      <c r="AE1088" s="200"/>
      <c r="AF1088" s="200"/>
      <c r="AG1088" s="200"/>
      <c r="AH1088" s="200"/>
      <c r="AI1088" s="200"/>
      <c r="AJ1088" s="200"/>
      <c r="AK1088" s="200"/>
      <c r="AL1088" s="200"/>
      <c r="AM1088" s="200"/>
      <c r="AN1088" s="200"/>
      <c r="AO1088" s="200"/>
      <c r="AP1088" s="200"/>
      <c r="AQ1088" s="200"/>
      <c r="AR1088" s="200"/>
      <c r="AS1088" s="200"/>
    </row>
    <row r="1089" spans="1:45" ht="16.5" customHeight="1">
      <c r="A1089" s="307"/>
      <c r="B1089" s="307"/>
      <c r="C1089" s="200"/>
      <c r="D1089" s="200"/>
      <c r="E1089" s="200"/>
      <c r="F1089" s="200"/>
      <c r="G1089" s="200"/>
      <c r="H1089" s="200"/>
      <c r="I1089" s="200"/>
      <c r="J1089" s="200"/>
      <c r="K1089" s="200"/>
      <c r="L1089" s="200"/>
      <c r="M1089" s="200"/>
      <c r="N1089" s="200"/>
      <c r="O1089" s="200"/>
      <c r="P1089" s="359"/>
      <c r="Q1089" s="353"/>
      <c r="R1089" s="353"/>
      <c r="S1089" s="200"/>
      <c r="T1089" s="353"/>
      <c r="U1089" s="353"/>
      <c r="V1089" s="353"/>
      <c r="W1089" s="200"/>
      <c r="X1089" s="200"/>
      <c r="Y1089" s="200"/>
      <c r="Z1089" s="200"/>
      <c r="AA1089" s="200"/>
      <c r="AB1089" s="200"/>
      <c r="AC1089" s="200"/>
      <c r="AD1089" s="200"/>
      <c r="AE1089" s="200"/>
      <c r="AF1089" s="200"/>
      <c r="AG1089" s="200"/>
      <c r="AH1089" s="200"/>
      <c r="AI1089" s="200"/>
      <c r="AJ1089" s="200"/>
      <c r="AK1089" s="200"/>
      <c r="AL1089" s="200"/>
      <c r="AM1089" s="200"/>
      <c r="AN1089" s="200"/>
      <c r="AO1089" s="200"/>
      <c r="AP1089" s="200"/>
      <c r="AQ1089" s="200"/>
      <c r="AR1089" s="200"/>
      <c r="AS1089" s="200"/>
    </row>
    <row r="1090" spans="1:45" ht="16.5" customHeight="1">
      <c r="A1090" s="307"/>
      <c r="B1090" s="307"/>
      <c r="C1090" s="200"/>
      <c r="D1090" s="200"/>
      <c r="E1090" s="200"/>
      <c r="F1090" s="200"/>
      <c r="G1090" s="200"/>
      <c r="H1090" s="200"/>
      <c r="I1090" s="200"/>
      <c r="J1090" s="200"/>
      <c r="K1090" s="200"/>
      <c r="L1090" s="200"/>
      <c r="M1090" s="200"/>
      <c r="N1090" s="200"/>
      <c r="O1090" s="200"/>
      <c r="P1090" s="359"/>
      <c r="Q1090" s="353"/>
      <c r="R1090" s="353"/>
      <c r="S1090" s="200"/>
      <c r="T1090" s="353"/>
      <c r="U1090" s="353"/>
      <c r="V1090" s="353"/>
      <c r="W1090" s="200"/>
      <c r="X1090" s="200"/>
      <c r="Y1090" s="200"/>
      <c r="Z1090" s="200"/>
      <c r="AA1090" s="200"/>
      <c r="AB1090" s="200"/>
      <c r="AC1090" s="200"/>
      <c r="AD1090" s="200"/>
      <c r="AE1090" s="200"/>
      <c r="AF1090" s="200"/>
      <c r="AG1090" s="200"/>
      <c r="AH1090" s="200"/>
      <c r="AI1090" s="200"/>
      <c r="AJ1090" s="200"/>
      <c r="AK1090" s="200"/>
      <c r="AL1090" s="200"/>
      <c r="AM1090" s="200"/>
      <c r="AN1090" s="200"/>
      <c r="AO1090" s="200"/>
      <c r="AP1090" s="200"/>
      <c r="AQ1090" s="200"/>
      <c r="AR1090" s="200"/>
      <c r="AS1090" s="200"/>
    </row>
    <row r="1091" spans="1:45" ht="16.5" customHeight="1">
      <c r="A1091" s="307"/>
      <c r="B1091" s="307"/>
      <c r="C1091" s="200"/>
      <c r="D1091" s="200"/>
      <c r="E1091" s="200"/>
      <c r="F1091" s="200"/>
      <c r="G1091" s="200"/>
      <c r="H1091" s="200"/>
      <c r="I1091" s="200"/>
      <c r="J1091" s="200"/>
      <c r="K1091" s="200"/>
      <c r="L1091" s="200"/>
      <c r="M1091" s="200"/>
      <c r="N1091" s="200"/>
      <c r="O1091" s="200"/>
      <c r="P1091" s="359"/>
      <c r="Q1091" s="353"/>
      <c r="R1091" s="353"/>
      <c r="S1091" s="200"/>
      <c r="T1091" s="353"/>
      <c r="U1091" s="353"/>
      <c r="V1091" s="353"/>
      <c r="W1091" s="200"/>
      <c r="X1091" s="200"/>
      <c r="Y1091" s="200"/>
      <c r="Z1091" s="200"/>
      <c r="AA1091" s="200"/>
      <c r="AB1091" s="200"/>
      <c r="AC1091" s="200"/>
      <c r="AD1091" s="200"/>
      <c r="AE1091" s="200"/>
      <c r="AF1091" s="200"/>
      <c r="AG1091" s="200"/>
      <c r="AH1091" s="200"/>
      <c r="AI1091" s="200"/>
      <c r="AJ1091" s="200"/>
      <c r="AK1091" s="200"/>
      <c r="AL1091" s="200"/>
      <c r="AM1091" s="200"/>
      <c r="AN1091" s="200"/>
      <c r="AO1091" s="200"/>
      <c r="AP1091" s="200"/>
      <c r="AQ1091" s="200"/>
      <c r="AR1091" s="200"/>
      <c r="AS1091" s="200"/>
    </row>
    <row r="1092" spans="1:45" ht="16.5" customHeight="1">
      <c r="A1092" s="307"/>
      <c r="B1092" s="307"/>
      <c r="C1092" s="200"/>
      <c r="D1092" s="200"/>
      <c r="E1092" s="200"/>
      <c r="F1092" s="200"/>
      <c r="G1092" s="200"/>
      <c r="H1092" s="200"/>
      <c r="I1092" s="200"/>
      <c r="J1092" s="200"/>
      <c r="K1092" s="200"/>
      <c r="L1092" s="200"/>
      <c r="M1092" s="200"/>
      <c r="N1092" s="200"/>
      <c r="O1092" s="200"/>
      <c r="P1092" s="359"/>
      <c r="Q1092" s="353"/>
      <c r="R1092" s="353"/>
      <c r="S1092" s="200"/>
      <c r="T1092" s="353"/>
      <c r="U1092" s="353"/>
      <c r="V1092" s="353"/>
      <c r="W1092" s="200"/>
      <c r="X1092" s="200"/>
      <c r="Y1092" s="200"/>
      <c r="Z1092" s="200"/>
      <c r="AA1092" s="200"/>
      <c r="AB1092" s="200"/>
      <c r="AC1092" s="200"/>
      <c r="AD1092" s="200"/>
      <c r="AE1092" s="200"/>
      <c r="AF1092" s="200"/>
      <c r="AG1092" s="200"/>
      <c r="AH1092" s="200"/>
      <c r="AI1092" s="200"/>
      <c r="AJ1092" s="200"/>
      <c r="AK1092" s="200"/>
      <c r="AL1092" s="200"/>
      <c r="AM1092" s="200"/>
      <c r="AN1092" s="200"/>
      <c r="AO1092" s="200"/>
      <c r="AP1092" s="200"/>
      <c r="AQ1092" s="200"/>
      <c r="AR1092" s="200"/>
      <c r="AS1092" s="200"/>
    </row>
    <row r="1093" spans="1:45" ht="16.5" customHeight="1">
      <c r="A1093" s="307"/>
      <c r="B1093" s="307"/>
      <c r="C1093" s="200"/>
      <c r="D1093" s="200"/>
      <c r="E1093" s="200"/>
      <c r="F1093" s="200"/>
      <c r="G1093" s="200"/>
      <c r="H1093" s="200"/>
      <c r="I1093" s="200"/>
      <c r="J1093" s="200"/>
      <c r="K1093" s="200"/>
      <c r="L1093" s="200"/>
      <c r="M1093" s="200"/>
      <c r="N1093" s="200"/>
      <c r="O1093" s="200"/>
      <c r="P1093" s="359"/>
      <c r="Q1093" s="353"/>
      <c r="R1093" s="353"/>
      <c r="S1093" s="200"/>
      <c r="T1093" s="353"/>
      <c r="U1093" s="353"/>
      <c r="V1093" s="353"/>
      <c r="W1093" s="200"/>
      <c r="X1093" s="200"/>
      <c r="Y1093" s="200"/>
      <c r="Z1093" s="200"/>
      <c r="AA1093" s="200"/>
      <c r="AB1093" s="200"/>
      <c r="AC1093" s="200"/>
      <c r="AD1093" s="200"/>
      <c r="AE1093" s="200"/>
      <c r="AF1093" s="200"/>
      <c r="AG1093" s="200"/>
      <c r="AH1093" s="200"/>
      <c r="AI1093" s="200"/>
      <c r="AJ1093" s="200"/>
      <c r="AK1093" s="200"/>
      <c r="AL1093" s="200"/>
      <c r="AM1093" s="200"/>
      <c r="AN1093" s="200"/>
      <c r="AO1093" s="200"/>
      <c r="AP1093" s="200"/>
      <c r="AQ1093" s="200"/>
      <c r="AR1093" s="200"/>
      <c r="AS1093" s="200"/>
    </row>
    <row r="1094" spans="1:45" ht="16.5" customHeight="1">
      <c r="A1094" s="307"/>
      <c r="B1094" s="307"/>
      <c r="C1094" s="200"/>
      <c r="D1094" s="200"/>
      <c r="E1094" s="200"/>
      <c r="F1094" s="200"/>
      <c r="G1094" s="200"/>
      <c r="H1094" s="200"/>
      <c r="I1094" s="200"/>
      <c r="J1094" s="200"/>
      <c r="K1094" s="200"/>
      <c r="L1094" s="200"/>
      <c r="M1094" s="200"/>
      <c r="N1094" s="200"/>
      <c r="O1094" s="200"/>
      <c r="P1094" s="359"/>
      <c r="Q1094" s="353"/>
      <c r="R1094" s="353"/>
      <c r="S1094" s="200"/>
      <c r="T1094" s="353"/>
      <c r="U1094" s="353"/>
      <c r="V1094" s="353"/>
      <c r="W1094" s="200"/>
      <c r="X1094" s="200"/>
      <c r="Y1094" s="200"/>
      <c r="Z1094" s="200"/>
      <c r="AA1094" s="200"/>
      <c r="AB1094" s="200"/>
      <c r="AC1094" s="200"/>
      <c r="AD1094" s="200"/>
      <c r="AE1094" s="200"/>
      <c r="AF1094" s="200"/>
      <c r="AG1094" s="200"/>
      <c r="AH1094" s="200"/>
      <c r="AI1094" s="200"/>
      <c r="AJ1094" s="200"/>
      <c r="AK1094" s="200"/>
      <c r="AL1094" s="200"/>
      <c r="AM1094" s="200"/>
      <c r="AN1094" s="200"/>
      <c r="AO1094" s="200"/>
      <c r="AP1094" s="200"/>
      <c r="AQ1094" s="200"/>
      <c r="AR1094" s="200"/>
      <c r="AS1094" s="200"/>
    </row>
    <row r="1095" spans="1:45" ht="16.5" customHeight="1">
      <c r="A1095" s="307"/>
      <c r="B1095" s="307"/>
      <c r="C1095" s="200"/>
      <c r="D1095" s="200"/>
      <c r="E1095" s="200"/>
      <c r="F1095" s="200"/>
      <c r="G1095" s="200"/>
      <c r="H1095" s="200"/>
      <c r="I1095" s="200"/>
      <c r="J1095" s="200"/>
      <c r="K1095" s="200"/>
      <c r="L1095" s="200"/>
      <c r="M1095" s="200"/>
      <c r="N1095" s="200"/>
      <c r="O1095" s="200"/>
      <c r="P1095" s="359"/>
      <c r="Q1095" s="353"/>
      <c r="R1095" s="353"/>
      <c r="S1095" s="200"/>
      <c r="T1095" s="353"/>
      <c r="U1095" s="353"/>
      <c r="V1095" s="353"/>
      <c r="W1095" s="200"/>
      <c r="X1095" s="200"/>
      <c r="Y1095" s="200"/>
      <c r="Z1095" s="200"/>
      <c r="AA1095" s="200"/>
      <c r="AB1095" s="200"/>
      <c r="AC1095" s="200"/>
      <c r="AD1095" s="200"/>
      <c r="AE1095" s="200"/>
      <c r="AF1095" s="200"/>
      <c r="AG1095" s="200"/>
      <c r="AH1095" s="200"/>
      <c r="AI1095" s="200"/>
      <c r="AJ1095" s="200"/>
      <c r="AK1095" s="200"/>
      <c r="AL1095" s="200"/>
      <c r="AM1095" s="200"/>
      <c r="AN1095" s="200"/>
      <c r="AO1095" s="200"/>
      <c r="AP1095" s="200"/>
      <c r="AQ1095" s="200"/>
      <c r="AR1095" s="200"/>
      <c r="AS1095" s="200"/>
    </row>
    <row r="1096" spans="1:45" ht="16.5" customHeight="1">
      <c r="A1096" s="307"/>
      <c r="B1096" s="307"/>
      <c r="C1096" s="200"/>
      <c r="D1096" s="200"/>
      <c r="E1096" s="200"/>
      <c r="F1096" s="200"/>
      <c r="G1096" s="200"/>
      <c r="H1096" s="200"/>
      <c r="I1096" s="200"/>
      <c r="J1096" s="200"/>
      <c r="K1096" s="200"/>
      <c r="L1096" s="200"/>
      <c r="M1096" s="200"/>
      <c r="N1096" s="200"/>
      <c r="O1096" s="200"/>
      <c r="P1096" s="359"/>
      <c r="Q1096" s="353"/>
      <c r="R1096" s="353"/>
      <c r="S1096" s="200"/>
      <c r="T1096" s="353"/>
      <c r="U1096" s="353"/>
      <c r="V1096" s="353"/>
      <c r="W1096" s="200"/>
      <c r="X1096" s="200"/>
      <c r="Y1096" s="200"/>
      <c r="Z1096" s="200"/>
      <c r="AA1096" s="200"/>
      <c r="AB1096" s="200"/>
      <c r="AC1096" s="200"/>
      <c r="AD1096" s="200"/>
      <c r="AE1096" s="200"/>
      <c r="AF1096" s="200"/>
      <c r="AG1096" s="200"/>
      <c r="AH1096" s="200"/>
      <c r="AI1096" s="200"/>
      <c r="AJ1096" s="200"/>
      <c r="AK1096" s="200"/>
      <c r="AL1096" s="200"/>
      <c r="AM1096" s="200"/>
      <c r="AN1096" s="200"/>
      <c r="AO1096" s="200"/>
      <c r="AP1096" s="200"/>
      <c r="AQ1096" s="200"/>
      <c r="AR1096" s="200"/>
      <c r="AS1096" s="200"/>
    </row>
    <row r="1097" spans="1:45" ht="16.5" customHeight="1">
      <c r="A1097" s="307"/>
      <c r="B1097" s="307"/>
      <c r="C1097" s="200"/>
      <c r="D1097" s="200"/>
      <c r="E1097" s="200"/>
      <c r="F1097" s="200"/>
      <c r="G1097" s="200"/>
      <c r="H1097" s="200"/>
      <c r="I1097" s="200"/>
      <c r="J1097" s="200"/>
      <c r="K1097" s="200"/>
      <c r="L1097" s="200"/>
      <c r="M1097" s="200"/>
      <c r="N1097" s="200"/>
      <c r="O1097" s="200"/>
      <c r="P1097" s="359"/>
      <c r="Q1097" s="353"/>
      <c r="R1097" s="353"/>
      <c r="S1097" s="200"/>
      <c r="T1097" s="353"/>
      <c r="U1097" s="353"/>
      <c r="V1097" s="353"/>
      <c r="W1097" s="200"/>
      <c r="X1097" s="200"/>
      <c r="Y1097" s="200"/>
      <c r="Z1097" s="200"/>
      <c r="AA1097" s="200"/>
      <c r="AB1097" s="200"/>
      <c r="AC1097" s="200"/>
      <c r="AD1097" s="200"/>
      <c r="AE1097" s="200"/>
      <c r="AF1097" s="200"/>
      <c r="AG1097" s="200"/>
      <c r="AH1097" s="200"/>
      <c r="AI1097" s="200"/>
      <c r="AJ1097" s="200"/>
      <c r="AK1097" s="200"/>
      <c r="AL1097" s="200"/>
      <c r="AM1097" s="200"/>
      <c r="AN1097" s="200"/>
      <c r="AO1097" s="200"/>
      <c r="AP1097" s="200"/>
      <c r="AQ1097" s="200"/>
      <c r="AR1097" s="200"/>
      <c r="AS1097" s="200"/>
    </row>
    <row r="1098" spans="1:45" ht="16.5" customHeight="1">
      <c r="A1098" s="307"/>
      <c r="B1098" s="307"/>
      <c r="C1098" s="200"/>
      <c r="D1098" s="200"/>
      <c r="E1098" s="200"/>
      <c r="F1098" s="200"/>
      <c r="G1098" s="200"/>
      <c r="H1098" s="200"/>
      <c r="I1098" s="200"/>
      <c r="J1098" s="200"/>
      <c r="K1098" s="200"/>
      <c r="L1098" s="200"/>
      <c r="M1098" s="200"/>
      <c r="N1098" s="200"/>
      <c r="O1098" s="200"/>
      <c r="P1098" s="359"/>
      <c r="Q1098" s="353"/>
      <c r="R1098" s="353"/>
      <c r="S1098" s="200"/>
      <c r="T1098" s="353"/>
      <c r="U1098" s="353"/>
      <c r="V1098" s="353"/>
      <c r="W1098" s="200"/>
      <c r="X1098" s="200"/>
      <c r="Y1098" s="200"/>
      <c r="Z1098" s="200"/>
      <c r="AA1098" s="200"/>
      <c r="AB1098" s="200"/>
      <c r="AC1098" s="200"/>
      <c r="AD1098" s="200"/>
      <c r="AE1098" s="200"/>
      <c r="AF1098" s="200"/>
      <c r="AG1098" s="200"/>
      <c r="AH1098" s="200"/>
      <c r="AI1098" s="200"/>
      <c r="AJ1098" s="200"/>
      <c r="AK1098" s="200"/>
      <c r="AL1098" s="200"/>
      <c r="AM1098" s="200"/>
      <c r="AN1098" s="200"/>
      <c r="AO1098" s="200"/>
      <c r="AP1098" s="200"/>
      <c r="AQ1098" s="200"/>
      <c r="AR1098" s="200"/>
      <c r="AS1098" s="200"/>
    </row>
    <row r="1099" spans="1:45" ht="16.5" customHeight="1">
      <c r="A1099" s="307"/>
      <c r="B1099" s="307"/>
      <c r="C1099" s="200"/>
      <c r="D1099" s="200"/>
      <c r="E1099" s="200"/>
      <c r="F1099" s="200"/>
      <c r="G1099" s="200"/>
      <c r="H1099" s="200"/>
      <c r="I1099" s="200"/>
      <c r="J1099" s="200"/>
      <c r="K1099" s="200"/>
      <c r="L1099" s="200"/>
      <c r="M1099" s="200"/>
      <c r="N1099" s="200"/>
      <c r="O1099" s="200"/>
      <c r="P1099" s="359"/>
      <c r="Q1099" s="353"/>
      <c r="R1099" s="353"/>
      <c r="S1099" s="200"/>
      <c r="T1099" s="353"/>
      <c r="U1099" s="353"/>
      <c r="V1099" s="353"/>
      <c r="W1099" s="200"/>
      <c r="X1099" s="200"/>
      <c r="Y1099" s="200"/>
      <c r="Z1099" s="200"/>
      <c r="AA1099" s="200"/>
      <c r="AB1099" s="200"/>
      <c r="AC1099" s="200"/>
      <c r="AD1099" s="200"/>
      <c r="AE1099" s="200"/>
      <c r="AF1099" s="200"/>
      <c r="AG1099" s="200"/>
      <c r="AH1099" s="200"/>
      <c r="AI1099" s="200"/>
      <c r="AJ1099" s="200"/>
      <c r="AK1099" s="200"/>
      <c r="AL1099" s="200"/>
      <c r="AM1099" s="200"/>
      <c r="AN1099" s="200"/>
      <c r="AO1099" s="200"/>
      <c r="AP1099" s="200"/>
      <c r="AQ1099" s="200"/>
      <c r="AR1099" s="200"/>
      <c r="AS1099" s="200"/>
    </row>
    <row r="1100" spans="1:45" ht="16.5" customHeight="1">
      <c r="A1100" s="307"/>
      <c r="B1100" s="307"/>
      <c r="C1100" s="200"/>
      <c r="D1100" s="200"/>
      <c r="E1100" s="200"/>
      <c r="F1100" s="200"/>
      <c r="G1100" s="200"/>
      <c r="H1100" s="200"/>
      <c r="I1100" s="200"/>
      <c r="J1100" s="200"/>
      <c r="K1100" s="200"/>
      <c r="L1100" s="200"/>
      <c r="M1100" s="200"/>
      <c r="N1100" s="200"/>
      <c r="O1100" s="200"/>
      <c r="P1100" s="359"/>
      <c r="Q1100" s="353"/>
      <c r="R1100" s="353"/>
      <c r="S1100" s="200"/>
      <c r="T1100" s="353"/>
      <c r="U1100" s="353"/>
      <c r="V1100" s="353"/>
      <c r="W1100" s="200"/>
      <c r="X1100" s="200"/>
      <c r="Y1100" s="200"/>
      <c r="Z1100" s="200"/>
      <c r="AA1100" s="200"/>
      <c r="AB1100" s="200"/>
      <c r="AC1100" s="200"/>
      <c r="AD1100" s="200"/>
      <c r="AE1100" s="200"/>
      <c r="AF1100" s="200"/>
      <c r="AG1100" s="200"/>
      <c r="AH1100" s="200"/>
      <c r="AI1100" s="200"/>
      <c r="AJ1100" s="200"/>
      <c r="AK1100" s="200"/>
      <c r="AL1100" s="200"/>
      <c r="AM1100" s="200"/>
      <c r="AN1100" s="200"/>
      <c r="AO1100" s="200"/>
      <c r="AP1100" s="200"/>
      <c r="AQ1100" s="200"/>
      <c r="AR1100" s="200"/>
      <c r="AS1100" s="200"/>
    </row>
    <row r="1101" spans="1:45" ht="16.5" customHeight="1">
      <c r="A1101" s="307"/>
      <c r="B1101" s="307"/>
      <c r="C1101" s="200"/>
      <c r="D1101" s="200"/>
      <c r="E1101" s="200"/>
      <c r="F1101" s="200"/>
      <c r="G1101" s="200"/>
      <c r="H1101" s="200"/>
      <c r="I1101" s="200"/>
      <c r="J1101" s="200"/>
      <c r="K1101" s="200"/>
      <c r="L1101" s="200"/>
      <c r="M1101" s="200"/>
      <c r="N1101" s="200"/>
      <c r="O1101" s="200"/>
      <c r="P1101" s="359"/>
      <c r="Q1101" s="353"/>
      <c r="R1101" s="353"/>
      <c r="S1101" s="200"/>
      <c r="T1101" s="353"/>
      <c r="U1101" s="353"/>
      <c r="V1101" s="353"/>
      <c r="W1101" s="200"/>
      <c r="X1101" s="200"/>
      <c r="Y1101" s="200"/>
      <c r="Z1101" s="200"/>
      <c r="AA1101" s="200"/>
      <c r="AB1101" s="200"/>
      <c r="AC1101" s="200"/>
      <c r="AD1101" s="200"/>
      <c r="AE1101" s="200"/>
      <c r="AF1101" s="200"/>
      <c r="AG1101" s="200"/>
      <c r="AH1101" s="200"/>
      <c r="AI1101" s="200"/>
      <c r="AJ1101" s="200"/>
      <c r="AK1101" s="200"/>
      <c r="AL1101" s="200"/>
      <c r="AM1101" s="200"/>
      <c r="AN1101" s="200"/>
      <c r="AO1101" s="200"/>
      <c r="AP1101" s="200"/>
      <c r="AQ1101" s="200"/>
      <c r="AR1101" s="200"/>
      <c r="AS1101" s="200"/>
    </row>
    <row r="1102" spans="1:45" ht="16.5" customHeight="1">
      <c r="A1102" s="307"/>
      <c r="B1102" s="307"/>
      <c r="C1102" s="200"/>
      <c r="D1102" s="200"/>
      <c r="E1102" s="200"/>
      <c r="F1102" s="200"/>
      <c r="G1102" s="200"/>
      <c r="H1102" s="200"/>
      <c r="I1102" s="200"/>
      <c r="J1102" s="200"/>
      <c r="K1102" s="200"/>
      <c r="L1102" s="200"/>
      <c r="M1102" s="200"/>
      <c r="N1102" s="200"/>
      <c r="O1102" s="200"/>
      <c r="P1102" s="359"/>
      <c r="Q1102" s="353"/>
      <c r="R1102" s="353"/>
      <c r="S1102" s="200"/>
      <c r="T1102" s="353"/>
      <c r="U1102" s="353"/>
      <c r="V1102" s="353"/>
      <c r="W1102" s="200"/>
      <c r="X1102" s="200"/>
      <c r="Y1102" s="200"/>
      <c r="Z1102" s="200"/>
      <c r="AA1102" s="200"/>
      <c r="AB1102" s="200"/>
      <c r="AC1102" s="200"/>
      <c r="AD1102" s="200"/>
      <c r="AE1102" s="200"/>
      <c r="AF1102" s="200"/>
      <c r="AG1102" s="200"/>
      <c r="AH1102" s="200"/>
      <c r="AI1102" s="200"/>
      <c r="AJ1102" s="200"/>
      <c r="AK1102" s="200"/>
      <c r="AL1102" s="200"/>
      <c r="AM1102" s="200"/>
      <c r="AN1102" s="200"/>
      <c r="AO1102" s="200"/>
      <c r="AP1102" s="200"/>
      <c r="AQ1102" s="200"/>
      <c r="AR1102" s="200"/>
      <c r="AS1102" s="200"/>
    </row>
    <row r="1103" spans="1:45" ht="16.5" customHeight="1">
      <c r="A1103" s="307"/>
      <c r="B1103" s="307"/>
      <c r="C1103" s="200"/>
      <c r="D1103" s="200"/>
      <c r="E1103" s="200"/>
      <c r="F1103" s="200"/>
      <c r="G1103" s="200"/>
      <c r="H1103" s="200"/>
      <c r="I1103" s="200"/>
      <c r="J1103" s="200"/>
      <c r="K1103" s="200"/>
      <c r="L1103" s="200"/>
      <c r="M1103" s="200"/>
      <c r="N1103" s="200"/>
      <c r="O1103" s="200"/>
      <c r="P1103" s="359"/>
      <c r="Q1103" s="353"/>
      <c r="R1103" s="353"/>
      <c r="S1103" s="200"/>
      <c r="T1103" s="353"/>
      <c r="U1103" s="353"/>
      <c r="V1103" s="353"/>
      <c r="W1103" s="200"/>
      <c r="X1103" s="200"/>
      <c r="Y1103" s="200"/>
      <c r="Z1103" s="200"/>
      <c r="AA1103" s="200"/>
      <c r="AB1103" s="200"/>
      <c r="AC1103" s="200"/>
      <c r="AD1103" s="200"/>
      <c r="AE1103" s="200"/>
      <c r="AF1103" s="200"/>
      <c r="AG1103" s="200"/>
      <c r="AH1103" s="200"/>
      <c r="AI1103" s="200"/>
      <c r="AJ1103" s="200"/>
      <c r="AK1103" s="200"/>
      <c r="AL1103" s="200"/>
      <c r="AM1103" s="200"/>
      <c r="AN1103" s="200"/>
      <c r="AO1103" s="200"/>
      <c r="AP1103" s="200"/>
      <c r="AQ1103" s="200"/>
      <c r="AR1103" s="200"/>
      <c r="AS1103" s="200"/>
    </row>
    <row r="1104" spans="1:45" ht="16.5" customHeight="1">
      <c r="A1104" s="307"/>
      <c r="B1104" s="307"/>
      <c r="C1104" s="200"/>
      <c r="D1104" s="200"/>
      <c r="E1104" s="200"/>
      <c r="F1104" s="200"/>
      <c r="G1104" s="200"/>
      <c r="H1104" s="200"/>
      <c r="I1104" s="200"/>
      <c r="J1104" s="200"/>
      <c r="K1104" s="200"/>
      <c r="L1104" s="200"/>
      <c r="M1104" s="200"/>
      <c r="N1104" s="200"/>
      <c r="O1104" s="200"/>
      <c r="P1104" s="359"/>
      <c r="Q1104" s="353"/>
      <c r="R1104" s="353"/>
      <c r="S1104" s="200"/>
      <c r="T1104" s="353"/>
      <c r="U1104" s="353"/>
      <c r="V1104" s="353"/>
      <c r="W1104" s="200"/>
      <c r="X1104" s="200"/>
      <c r="Y1104" s="200"/>
      <c r="Z1104" s="200"/>
      <c r="AA1104" s="200"/>
      <c r="AB1104" s="200"/>
      <c r="AC1104" s="200"/>
      <c r="AD1104" s="200"/>
      <c r="AE1104" s="200"/>
      <c r="AF1104" s="200"/>
      <c r="AG1104" s="200"/>
      <c r="AH1104" s="200"/>
      <c r="AI1104" s="200"/>
      <c r="AJ1104" s="200"/>
      <c r="AK1104" s="200"/>
      <c r="AL1104" s="200"/>
      <c r="AM1104" s="200"/>
      <c r="AN1104" s="200"/>
      <c r="AO1104" s="200"/>
      <c r="AP1104" s="200"/>
      <c r="AQ1104" s="200"/>
      <c r="AR1104" s="200"/>
      <c r="AS1104" s="200"/>
    </row>
    <row r="1105" spans="1:45" ht="16.5" customHeight="1">
      <c r="A1105" s="307"/>
      <c r="B1105" s="307"/>
      <c r="C1105" s="200"/>
      <c r="D1105" s="200"/>
      <c r="E1105" s="200"/>
      <c r="F1105" s="200"/>
      <c r="G1105" s="200"/>
      <c r="H1105" s="200"/>
      <c r="I1105" s="200"/>
      <c r="J1105" s="200"/>
      <c r="K1105" s="200"/>
      <c r="L1105" s="200"/>
      <c r="M1105" s="200"/>
      <c r="N1105" s="200"/>
      <c r="O1105" s="200"/>
      <c r="P1105" s="359"/>
      <c r="Q1105" s="353"/>
      <c r="R1105" s="353"/>
      <c r="S1105" s="200"/>
      <c r="T1105" s="353"/>
      <c r="U1105" s="353"/>
      <c r="V1105" s="353"/>
      <c r="W1105" s="200"/>
      <c r="X1105" s="200"/>
      <c r="Y1105" s="200"/>
      <c r="Z1105" s="200"/>
      <c r="AA1105" s="200"/>
      <c r="AB1105" s="200"/>
      <c r="AC1105" s="200"/>
      <c r="AD1105" s="200"/>
      <c r="AE1105" s="200"/>
      <c r="AF1105" s="200"/>
      <c r="AG1105" s="200"/>
      <c r="AH1105" s="200"/>
      <c r="AI1105" s="200"/>
      <c r="AJ1105" s="200"/>
      <c r="AK1105" s="200"/>
      <c r="AL1105" s="200"/>
      <c r="AM1105" s="200"/>
      <c r="AN1105" s="200"/>
      <c r="AO1105" s="200"/>
      <c r="AP1105" s="200"/>
      <c r="AQ1105" s="200"/>
      <c r="AR1105" s="200"/>
      <c r="AS1105" s="200"/>
    </row>
    <row r="1106" spans="1:45" ht="16.5" customHeight="1">
      <c r="A1106" s="307"/>
      <c r="B1106" s="307"/>
      <c r="C1106" s="200"/>
      <c r="D1106" s="200"/>
      <c r="E1106" s="200"/>
      <c r="F1106" s="200"/>
      <c r="G1106" s="200"/>
      <c r="H1106" s="200"/>
      <c r="I1106" s="200"/>
      <c r="J1106" s="200"/>
      <c r="K1106" s="200"/>
      <c r="L1106" s="200"/>
      <c r="M1106" s="200"/>
      <c r="N1106" s="200"/>
      <c r="O1106" s="200"/>
      <c r="P1106" s="359"/>
      <c r="Q1106" s="353"/>
      <c r="R1106" s="353"/>
      <c r="S1106" s="200"/>
      <c r="T1106" s="353"/>
      <c r="U1106" s="353"/>
      <c r="V1106" s="353"/>
      <c r="W1106" s="200"/>
      <c r="X1106" s="200"/>
      <c r="Y1106" s="200"/>
      <c r="Z1106" s="200"/>
      <c r="AA1106" s="200"/>
      <c r="AB1106" s="200"/>
      <c r="AC1106" s="200"/>
      <c r="AD1106" s="200"/>
      <c r="AE1106" s="200"/>
      <c r="AF1106" s="200"/>
      <c r="AG1106" s="200"/>
      <c r="AH1106" s="200"/>
      <c r="AI1106" s="200"/>
      <c r="AJ1106" s="200"/>
      <c r="AK1106" s="200"/>
      <c r="AL1106" s="200"/>
      <c r="AM1106" s="200"/>
      <c r="AN1106" s="200"/>
      <c r="AO1106" s="200"/>
      <c r="AP1106" s="200"/>
      <c r="AQ1106" s="200"/>
      <c r="AR1106" s="200"/>
      <c r="AS1106" s="200"/>
    </row>
    <row r="1107" spans="1:45" ht="16.5" customHeight="1">
      <c r="A1107" s="307"/>
      <c r="B1107" s="307"/>
      <c r="C1107" s="200"/>
      <c r="D1107" s="200"/>
      <c r="E1107" s="200"/>
      <c r="F1107" s="200"/>
      <c r="G1107" s="200"/>
      <c r="H1107" s="200"/>
      <c r="I1107" s="200"/>
      <c r="J1107" s="200"/>
      <c r="K1107" s="200"/>
      <c r="L1107" s="200"/>
      <c r="M1107" s="200"/>
      <c r="N1107" s="200"/>
      <c r="O1107" s="200"/>
      <c r="P1107" s="359"/>
      <c r="Q1107" s="353"/>
      <c r="R1107" s="353"/>
      <c r="S1107" s="200"/>
      <c r="T1107" s="353"/>
      <c r="U1107" s="353"/>
      <c r="V1107" s="353"/>
      <c r="W1107" s="200"/>
      <c r="X1107" s="200"/>
      <c r="Y1107" s="200"/>
      <c r="Z1107" s="200"/>
      <c r="AA1107" s="200"/>
      <c r="AB1107" s="200"/>
      <c r="AC1107" s="200"/>
      <c r="AD1107" s="200"/>
      <c r="AE1107" s="200"/>
      <c r="AF1107" s="200"/>
      <c r="AG1107" s="200"/>
      <c r="AH1107" s="200"/>
      <c r="AI1107" s="200"/>
      <c r="AJ1107" s="200"/>
      <c r="AK1107" s="200"/>
      <c r="AL1107" s="200"/>
      <c r="AM1107" s="200"/>
      <c r="AN1107" s="200"/>
      <c r="AO1107" s="200"/>
      <c r="AP1107" s="200"/>
      <c r="AQ1107" s="200"/>
      <c r="AR1107" s="200"/>
      <c r="AS1107" s="200"/>
    </row>
    <row r="1108" spans="1:45" ht="16.5" customHeight="1">
      <c r="A1108" s="307"/>
      <c r="B1108" s="307"/>
      <c r="C1108" s="200"/>
      <c r="D1108" s="200"/>
      <c r="E1108" s="200"/>
      <c r="F1108" s="200"/>
      <c r="G1108" s="200"/>
      <c r="H1108" s="200"/>
      <c r="I1108" s="200"/>
      <c r="J1108" s="200"/>
      <c r="K1108" s="200"/>
      <c r="L1108" s="200"/>
      <c r="M1108" s="200"/>
      <c r="N1108" s="200"/>
      <c r="O1108" s="200"/>
      <c r="P1108" s="359"/>
      <c r="Q1108" s="353"/>
      <c r="R1108" s="353"/>
      <c r="S1108" s="200"/>
      <c r="T1108" s="353"/>
      <c r="U1108" s="353"/>
      <c r="V1108" s="353"/>
      <c r="W1108" s="200"/>
      <c r="X1108" s="200"/>
      <c r="Y1108" s="200"/>
      <c r="Z1108" s="200"/>
      <c r="AA1108" s="200"/>
      <c r="AB1108" s="200"/>
      <c r="AC1108" s="200"/>
      <c r="AD1108" s="200"/>
      <c r="AE1108" s="200"/>
      <c r="AF1108" s="200"/>
      <c r="AG1108" s="200"/>
      <c r="AH1108" s="200"/>
      <c r="AI1108" s="200"/>
      <c r="AJ1108" s="200"/>
      <c r="AK1108" s="200"/>
      <c r="AL1108" s="200"/>
      <c r="AM1108" s="200"/>
      <c r="AN1108" s="200"/>
      <c r="AO1108" s="200"/>
      <c r="AP1108" s="200"/>
      <c r="AQ1108" s="200"/>
      <c r="AR1108" s="200"/>
      <c r="AS1108" s="200"/>
    </row>
    <row r="1109" spans="1:45" ht="16.5" customHeight="1">
      <c r="A1109" s="307"/>
      <c r="B1109" s="307"/>
      <c r="C1109" s="200"/>
      <c r="D1109" s="200"/>
      <c r="E1109" s="200"/>
      <c r="F1109" s="200"/>
      <c r="G1109" s="200"/>
      <c r="H1109" s="200"/>
      <c r="I1109" s="200"/>
      <c r="J1109" s="200"/>
      <c r="K1109" s="200"/>
      <c r="L1109" s="200"/>
      <c r="M1109" s="200"/>
      <c r="N1109" s="200"/>
      <c r="O1109" s="200"/>
      <c r="P1109" s="359"/>
      <c r="Q1109" s="353"/>
      <c r="R1109" s="353"/>
      <c r="S1109" s="200"/>
      <c r="T1109" s="353"/>
      <c r="U1109" s="353"/>
      <c r="V1109" s="353"/>
      <c r="W1109" s="200"/>
      <c r="X1109" s="200"/>
      <c r="Y1109" s="200"/>
      <c r="Z1109" s="200"/>
      <c r="AA1109" s="200"/>
      <c r="AB1109" s="200"/>
      <c r="AC1109" s="200"/>
      <c r="AD1109" s="200"/>
      <c r="AE1109" s="200"/>
      <c r="AF1109" s="200"/>
      <c r="AG1109" s="200"/>
      <c r="AH1109" s="200"/>
      <c r="AI1109" s="200"/>
      <c r="AJ1109" s="200"/>
      <c r="AK1109" s="200"/>
      <c r="AL1109" s="200"/>
      <c r="AM1109" s="200"/>
      <c r="AN1109" s="200"/>
      <c r="AO1109" s="200"/>
      <c r="AP1109" s="200"/>
      <c r="AQ1109" s="200"/>
      <c r="AR1109" s="200"/>
      <c r="AS1109" s="200"/>
    </row>
    <row r="1110" spans="1:45" ht="16.5" customHeight="1">
      <c r="A1110" s="307"/>
      <c r="B1110" s="307"/>
      <c r="C1110" s="200"/>
      <c r="D1110" s="200"/>
      <c r="E1110" s="200"/>
      <c r="F1110" s="200"/>
      <c r="G1110" s="200"/>
      <c r="H1110" s="200"/>
      <c r="I1110" s="200"/>
      <c r="J1110" s="200"/>
      <c r="K1110" s="200"/>
      <c r="L1110" s="200"/>
      <c r="M1110" s="200"/>
      <c r="N1110" s="200"/>
      <c r="O1110" s="200"/>
      <c r="P1110" s="359"/>
      <c r="Q1110" s="353"/>
      <c r="R1110" s="353"/>
      <c r="S1110" s="200"/>
      <c r="T1110" s="353"/>
      <c r="U1110" s="353"/>
      <c r="V1110" s="353"/>
      <c r="W1110" s="200"/>
      <c r="X1110" s="200"/>
      <c r="Y1110" s="200"/>
      <c r="Z1110" s="200"/>
      <c r="AA1110" s="200"/>
      <c r="AB1110" s="200"/>
      <c r="AC1110" s="200"/>
      <c r="AD1110" s="200"/>
      <c r="AE1110" s="200"/>
      <c r="AF1110" s="200"/>
      <c r="AG1110" s="200"/>
      <c r="AH1110" s="200"/>
      <c r="AI1110" s="200"/>
      <c r="AJ1110" s="200"/>
      <c r="AK1110" s="200"/>
      <c r="AL1110" s="200"/>
      <c r="AM1110" s="200"/>
      <c r="AN1110" s="200"/>
      <c r="AO1110" s="200"/>
      <c r="AP1110" s="200"/>
      <c r="AQ1110" s="200"/>
      <c r="AR1110" s="200"/>
      <c r="AS1110" s="200"/>
    </row>
    <row r="1111" spans="1:45" ht="16.5" customHeight="1">
      <c r="A1111" s="307"/>
      <c r="B1111" s="307"/>
      <c r="C1111" s="200"/>
      <c r="D1111" s="200"/>
      <c r="E1111" s="200"/>
      <c r="F1111" s="200"/>
      <c r="G1111" s="200"/>
      <c r="H1111" s="200"/>
      <c r="I1111" s="200"/>
      <c r="J1111" s="200"/>
      <c r="K1111" s="200"/>
      <c r="L1111" s="200"/>
      <c r="M1111" s="200"/>
      <c r="N1111" s="200"/>
      <c r="O1111" s="200"/>
      <c r="P1111" s="359"/>
      <c r="Q1111" s="353"/>
      <c r="R1111" s="353"/>
      <c r="S1111" s="200"/>
      <c r="T1111" s="353"/>
      <c r="U1111" s="353"/>
      <c r="V1111" s="353"/>
      <c r="W1111" s="200"/>
      <c r="X1111" s="200"/>
      <c r="Y1111" s="200"/>
      <c r="Z1111" s="200"/>
      <c r="AA1111" s="200"/>
      <c r="AB1111" s="200"/>
      <c r="AC1111" s="200"/>
      <c r="AD1111" s="200"/>
      <c r="AE1111" s="200"/>
      <c r="AF1111" s="200"/>
      <c r="AG1111" s="200"/>
      <c r="AH1111" s="200"/>
      <c r="AI1111" s="200"/>
      <c r="AJ1111" s="200"/>
      <c r="AK1111" s="200"/>
      <c r="AL1111" s="200"/>
      <c r="AM1111" s="200"/>
      <c r="AN1111" s="200"/>
      <c r="AO1111" s="200"/>
      <c r="AP1111" s="200"/>
      <c r="AQ1111" s="200"/>
      <c r="AR1111" s="200"/>
      <c r="AS1111" s="200"/>
    </row>
    <row r="1112" spans="1:45" ht="16.5" customHeight="1">
      <c r="A1112" s="307"/>
      <c r="B1112" s="307"/>
      <c r="C1112" s="200"/>
      <c r="D1112" s="200"/>
      <c r="E1112" s="200"/>
      <c r="F1112" s="200"/>
      <c r="G1112" s="200"/>
      <c r="H1112" s="200"/>
      <c r="I1112" s="200"/>
      <c r="J1112" s="200"/>
      <c r="K1112" s="200"/>
      <c r="L1112" s="200"/>
      <c r="M1112" s="200"/>
      <c r="N1112" s="200"/>
      <c r="O1112" s="200"/>
      <c r="P1112" s="359"/>
      <c r="Q1112" s="353"/>
      <c r="R1112" s="353"/>
      <c r="S1112" s="200"/>
      <c r="T1112" s="353"/>
      <c r="U1112" s="353"/>
      <c r="V1112" s="353"/>
      <c r="W1112" s="200"/>
      <c r="X1112" s="200"/>
      <c r="Y1112" s="200"/>
      <c r="Z1112" s="200"/>
      <c r="AA1112" s="200"/>
      <c r="AB1112" s="200"/>
      <c r="AC1112" s="200"/>
      <c r="AD1112" s="200"/>
      <c r="AE1112" s="200"/>
      <c r="AF1112" s="200"/>
      <c r="AG1112" s="200"/>
      <c r="AH1112" s="200"/>
      <c r="AI1112" s="200"/>
      <c r="AJ1112" s="200"/>
      <c r="AK1112" s="200"/>
      <c r="AL1112" s="200"/>
      <c r="AM1112" s="200"/>
      <c r="AN1112" s="200"/>
      <c r="AO1112" s="200"/>
      <c r="AP1112" s="200"/>
      <c r="AQ1112" s="200"/>
      <c r="AR1112" s="200"/>
      <c r="AS1112" s="200"/>
    </row>
    <row r="1113" spans="1:45" ht="16.5" customHeight="1">
      <c r="A1113" s="307"/>
      <c r="B1113" s="307"/>
      <c r="C1113" s="200"/>
      <c r="D1113" s="200"/>
      <c r="E1113" s="200"/>
      <c r="F1113" s="200"/>
      <c r="G1113" s="200"/>
      <c r="H1113" s="200"/>
      <c r="I1113" s="200"/>
      <c r="J1113" s="200"/>
      <c r="K1113" s="200"/>
      <c r="L1113" s="200"/>
      <c r="M1113" s="200"/>
      <c r="N1113" s="200"/>
      <c r="O1113" s="200"/>
      <c r="P1113" s="359"/>
      <c r="Q1113" s="353"/>
      <c r="R1113" s="353"/>
      <c r="S1113" s="200"/>
      <c r="T1113" s="353"/>
      <c r="U1113" s="353"/>
      <c r="V1113" s="353"/>
      <c r="W1113" s="200"/>
      <c r="X1113" s="200"/>
      <c r="Y1113" s="200"/>
      <c r="Z1113" s="200"/>
      <c r="AA1113" s="200"/>
      <c r="AB1113" s="200"/>
      <c r="AC1113" s="200"/>
      <c r="AD1113" s="200"/>
      <c r="AE1113" s="200"/>
      <c r="AF1113" s="200"/>
      <c r="AG1113" s="200"/>
      <c r="AH1113" s="200"/>
      <c r="AI1113" s="200"/>
      <c r="AJ1113" s="200"/>
      <c r="AK1113" s="200"/>
      <c r="AL1113" s="200"/>
      <c r="AM1113" s="200"/>
      <c r="AN1113" s="200"/>
      <c r="AO1113" s="200"/>
      <c r="AP1113" s="200"/>
      <c r="AQ1113" s="200"/>
      <c r="AR1113" s="200"/>
      <c r="AS1113" s="200"/>
    </row>
    <row r="1114" spans="1:45" ht="16.5" customHeight="1">
      <c r="A1114" s="307"/>
      <c r="B1114" s="307"/>
      <c r="C1114" s="200"/>
      <c r="D1114" s="200"/>
      <c r="E1114" s="200"/>
      <c r="F1114" s="200"/>
      <c r="G1114" s="200"/>
      <c r="H1114" s="200"/>
      <c r="I1114" s="200"/>
      <c r="J1114" s="200"/>
      <c r="K1114" s="200"/>
      <c r="L1114" s="200"/>
      <c r="M1114" s="200"/>
      <c r="N1114" s="200"/>
      <c r="O1114" s="200"/>
      <c r="P1114" s="359"/>
      <c r="Q1114" s="353"/>
      <c r="R1114" s="353"/>
      <c r="S1114" s="200"/>
      <c r="T1114" s="353"/>
      <c r="U1114" s="353"/>
      <c r="V1114" s="353"/>
      <c r="W1114" s="200"/>
      <c r="X1114" s="200"/>
      <c r="Y1114" s="200"/>
      <c r="Z1114" s="200"/>
      <c r="AA1114" s="200"/>
      <c r="AB1114" s="200"/>
      <c r="AC1114" s="200"/>
      <c r="AD1114" s="200"/>
      <c r="AE1114" s="200"/>
      <c r="AF1114" s="200"/>
      <c r="AG1114" s="200"/>
      <c r="AH1114" s="200"/>
      <c r="AI1114" s="200"/>
      <c r="AJ1114" s="200"/>
      <c r="AK1114" s="200"/>
      <c r="AL1114" s="200"/>
      <c r="AM1114" s="200"/>
      <c r="AN1114" s="200"/>
      <c r="AO1114" s="200"/>
      <c r="AP1114" s="200"/>
      <c r="AQ1114" s="200"/>
      <c r="AR1114" s="200"/>
      <c r="AS1114" s="200"/>
    </row>
    <row r="1115" spans="1:45" ht="16.5" customHeight="1">
      <c r="A1115" s="307"/>
      <c r="B1115" s="307"/>
      <c r="C1115" s="200"/>
      <c r="D1115" s="200"/>
      <c r="E1115" s="200"/>
      <c r="F1115" s="200"/>
      <c r="G1115" s="200"/>
      <c r="H1115" s="200"/>
      <c r="I1115" s="200"/>
      <c r="J1115" s="200"/>
      <c r="K1115" s="200"/>
      <c r="L1115" s="200"/>
      <c r="M1115" s="200"/>
      <c r="N1115" s="200"/>
      <c r="O1115" s="200"/>
      <c r="P1115" s="359"/>
      <c r="Q1115" s="353"/>
      <c r="R1115" s="353"/>
      <c r="S1115" s="200"/>
      <c r="T1115" s="353"/>
      <c r="U1115" s="353"/>
      <c r="V1115" s="353"/>
      <c r="W1115" s="200"/>
      <c r="X1115" s="200"/>
      <c r="Y1115" s="200"/>
      <c r="Z1115" s="200"/>
      <c r="AA1115" s="200"/>
      <c r="AB1115" s="200"/>
      <c r="AC1115" s="200"/>
      <c r="AD1115" s="200"/>
      <c r="AE1115" s="200"/>
      <c r="AF1115" s="200"/>
      <c r="AG1115" s="200"/>
      <c r="AH1115" s="200"/>
      <c r="AI1115" s="200"/>
      <c r="AJ1115" s="200"/>
      <c r="AK1115" s="200"/>
      <c r="AL1115" s="200"/>
      <c r="AM1115" s="200"/>
      <c r="AN1115" s="200"/>
      <c r="AO1115" s="200"/>
      <c r="AP1115" s="200"/>
      <c r="AQ1115" s="200"/>
      <c r="AR1115" s="200"/>
      <c r="AS1115" s="200"/>
    </row>
    <row r="1116" spans="1:45" ht="16.5" customHeight="1">
      <c r="A1116" s="307"/>
      <c r="B1116" s="307"/>
      <c r="C1116" s="200"/>
      <c r="D1116" s="200"/>
      <c r="E1116" s="200"/>
      <c r="F1116" s="200"/>
      <c r="G1116" s="200"/>
      <c r="H1116" s="200"/>
      <c r="I1116" s="200"/>
      <c r="J1116" s="200"/>
      <c r="K1116" s="200"/>
      <c r="L1116" s="200"/>
      <c r="M1116" s="200"/>
      <c r="N1116" s="200"/>
      <c r="O1116" s="200"/>
      <c r="P1116" s="359"/>
      <c r="Q1116" s="353"/>
      <c r="R1116" s="353"/>
      <c r="S1116" s="200"/>
      <c r="T1116" s="353"/>
      <c r="U1116" s="353"/>
      <c r="V1116" s="353"/>
      <c r="W1116" s="200"/>
      <c r="X1116" s="200"/>
      <c r="Y1116" s="200"/>
      <c r="Z1116" s="200"/>
      <c r="AA1116" s="200"/>
      <c r="AB1116" s="200"/>
      <c r="AC1116" s="200"/>
      <c r="AD1116" s="200"/>
      <c r="AE1116" s="200"/>
      <c r="AF1116" s="200"/>
      <c r="AG1116" s="200"/>
      <c r="AH1116" s="200"/>
      <c r="AI1116" s="200"/>
      <c r="AJ1116" s="200"/>
      <c r="AK1116" s="200"/>
      <c r="AL1116" s="200"/>
      <c r="AM1116" s="200"/>
      <c r="AN1116" s="200"/>
      <c r="AO1116" s="200"/>
      <c r="AP1116" s="200"/>
      <c r="AQ1116" s="200"/>
      <c r="AR1116" s="200"/>
      <c r="AS1116" s="200"/>
    </row>
    <row r="1117" spans="1:45" ht="16.5" customHeight="1">
      <c r="A1117" s="307"/>
      <c r="B1117" s="307"/>
      <c r="C1117" s="200"/>
      <c r="D1117" s="200"/>
      <c r="E1117" s="200"/>
      <c r="F1117" s="200"/>
      <c r="G1117" s="200"/>
      <c r="H1117" s="200"/>
      <c r="I1117" s="200"/>
      <c r="J1117" s="200"/>
      <c r="K1117" s="200"/>
      <c r="L1117" s="200"/>
      <c r="M1117" s="200"/>
      <c r="N1117" s="200"/>
      <c r="O1117" s="200"/>
      <c r="P1117" s="359"/>
      <c r="Q1117" s="353"/>
      <c r="R1117" s="353"/>
      <c r="S1117" s="200"/>
      <c r="T1117" s="353"/>
      <c r="U1117" s="353"/>
      <c r="V1117" s="353"/>
      <c r="W1117" s="200"/>
      <c r="X1117" s="200"/>
      <c r="Y1117" s="200"/>
      <c r="Z1117" s="200"/>
      <c r="AA1117" s="200"/>
      <c r="AB1117" s="200"/>
      <c r="AC1117" s="200"/>
      <c r="AD1117" s="200"/>
      <c r="AE1117" s="200"/>
      <c r="AF1117" s="200"/>
      <c r="AG1117" s="200"/>
      <c r="AH1117" s="200"/>
      <c r="AI1117" s="200"/>
      <c r="AJ1117" s="200"/>
      <c r="AK1117" s="200"/>
      <c r="AL1117" s="200"/>
      <c r="AM1117" s="200"/>
      <c r="AN1117" s="200"/>
      <c r="AO1117" s="200"/>
      <c r="AP1117" s="200"/>
      <c r="AQ1117" s="200"/>
      <c r="AR1117" s="200"/>
      <c r="AS1117" s="200"/>
    </row>
    <row r="1118" spans="1:45" ht="16.5" customHeight="1">
      <c r="A1118" s="307"/>
      <c r="B1118" s="307"/>
      <c r="C1118" s="200"/>
      <c r="D1118" s="200"/>
      <c r="E1118" s="200"/>
      <c r="F1118" s="200"/>
      <c r="G1118" s="200"/>
      <c r="H1118" s="200"/>
      <c r="I1118" s="200"/>
      <c r="J1118" s="200"/>
      <c r="K1118" s="200"/>
      <c r="L1118" s="200"/>
      <c r="M1118" s="200"/>
      <c r="N1118" s="200"/>
      <c r="O1118" s="200"/>
      <c r="P1118" s="359"/>
      <c r="Q1118" s="353"/>
      <c r="R1118" s="353"/>
      <c r="S1118" s="200"/>
      <c r="T1118" s="353"/>
      <c r="U1118" s="353"/>
      <c r="V1118" s="353"/>
      <c r="W1118" s="200"/>
      <c r="X1118" s="200"/>
      <c r="Y1118" s="200"/>
      <c r="Z1118" s="200"/>
      <c r="AA1118" s="200"/>
      <c r="AB1118" s="200"/>
      <c r="AC1118" s="200"/>
      <c r="AD1118" s="200"/>
      <c r="AE1118" s="200"/>
      <c r="AF1118" s="200"/>
      <c r="AG1118" s="200"/>
      <c r="AH1118" s="200"/>
      <c r="AI1118" s="200"/>
      <c r="AJ1118" s="200"/>
      <c r="AK1118" s="200"/>
      <c r="AL1118" s="200"/>
      <c r="AM1118" s="200"/>
      <c r="AN1118" s="200"/>
      <c r="AO1118" s="200"/>
      <c r="AP1118" s="200"/>
      <c r="AQ1118" s="200"/>
      <c r="AR1118" s="200"/>
      <c r="AS1118" s="200"/>
    </row>
    <row r="1119" spans="1:45" ht="16.5" customHeight="1">
      <c r="A1119" s="307"/>
      <c r="B1119" s="307"/>
      <c r="C1119" s="200"/>
      <c r="D1119" s="200"/>
      <c r="E1119" s="200"/>
      <c r="F1119" s="200"/>
      <c r="G1119" s="200"/>
      <c r="H1119" s="200"/>
      <c r="I1119" s="200"/>
      <c r="J1119" s="200"/>
      <c r="K1119" s="200"/>
      <c r="L1119" s="200"/>
      <c r="M1119" s="200"/>
      <c r="N1119" s="200"/>
      <c r="O1119" s="200"/>
      <c r="P1119" s="359"/>
      <c r="Q1119" s="353"/>
      <c r="R1119" s="353"/>
      <c r="S1119" s="200"/>
      <c r="T1119" s="353"/>
      <c r="U1119" s="353"/>
      <c r="V1119" s="353"/>
      <c r="W1119" s="200"/>
      <c r="X1119" s="200"/>
      <c r="Y1119" s="200"/>
      <c r="Z1119" s="200"/>
      <c r="AA1119" s="200"/>
      <c r="AB1119" s="200"/>
      <c r="AC1119" s="200"/>
      <c r="AD1119" s="200"/>
      <c r="AE1119" s="200"/>
      <c r="AF1119" s="200"/>
      <c r="AG1119" s="200"/>
      <c r="AH1119" s="200"/>
      <c r="AI1119" s="200"/>
      <c r="AJ1119" s="200"/>
      <c r="AK1119" s="200"/>
      <c r="AL1119" s="200"/>
      <c r="AM1119" s="200"/>
      <c r="AN1119" s="200"/>
      <c r="AO1119" s="200"/>
      <c r="AP1119" s="200"/>
      <c r="AQ1119" s="200"/>
      <c r="AR1119" s="200"/>
      <c r="AS1119" s="200"/>
    </row>
    <row r="1120" spans="1:45" ht="16.5" customHeight="1">
      <c r="A1120" s="307"/>
      <c r="B1120" s="307"/>
      <c r="C1120" s="200"/>
      <c r="D1120" s="200"/>
      <c r="E1120" s="200"/>
      <c r="F1120" s="200"/>
      <c r="G1120" s="200"/>
      <c r="H1120" s="200"/>
      <c r="I1120" s="200"/>
      <c r="J1120" s="200"/>
      <c r="K1120" s="200"/>
      <c r="L1120" s="200"/>
      <c r="M1120" s="200"/>
      <c r="N1120" s="200"/>
      <c r="O1120" s="200"/>
      <c r="P1120" s="359"/>
      <c r="Q1120" s="353"/>
      <c r="R1120" s="353"/>
      <c r="S1120" s="200"/>
      <c r="T1120" s="353"/>
      <c r="U1120" s="353"/>
      <c r="V1120" s="353"/>
      <c r="W1120" s="200"/>
      <c r="X1120" s="200"/>
      <c r="Y1120" s="200"/>
      <c r="Z1120" s="200"/>
      <c r="AA1120" s="200"/>
      <c r="AB1120" s="200"/>
      <c r="AC1120" s="200"/>
      <c r="AD1120" s="200"/>
      <c r="AE1120" s="200"/>
      <c r="AF1120" s="200"/>
      <c r="AG1120" s="200"/>
      <c r="AH1120" s="200"/>
      <c r="AI1120" s="200"/>
      <c r="AJ1120" s="200"/>
      <c r="AK1120" s="200"/>
      <c r="AL1120" s="200"/>
      <c r="AM1120" s="200"/>
      <c r="AN1120" s="200"/>
      <c r="AO1120" s="200"/>
      <c r="AP1120" s="200"/>
      <c r="AQ1120" s="200"/>
      <c r="AR1120" s="200"/>
      <c r="AS1120" s="200"/>
    </row>
    <row r="1121" spans="1:45" ht="16.5" customHeight="1">
      <c r="A1121" s="307"/>
      <c r="B1121" s="307"/>
      <c r="C1121" s="200"/>
      <c r="D1121" s="200"/>
      <c r="E1121" s="200"/>
      <c r="F1121" s="200"/>
      <c r="G1121" s="200"/>
      <c r="H1121" s="200"/>
      <c r="I1121" s="200"/>
      <c r="J1121" s="200"/>
      <c r="K1121" s="200"/>
      <c r="L1121" s="200"/>
      <c r="M1121" s="200"/>
      <c r="N1121" s="200"/>
      <c r="O1121" s="200"/>
      <c r="P1121" s="359"/>
      <c r="Q1121" s="353"/>
      <c r="R1121" s="353"/>
      <c r="S1121" s="200"/>
      <c r="T1121" s="353"/>
      <c r="U1121" s="353"/>
      <c r="V1121" s="353"/>
      <c r="W1121" s="200"/>
      <c r="X1121" s="200"/>
      <c r="Y1121" s="200"/>
      <c r="Z1121" s="200"/>
      <c r="AA1121" s="200"/>
      <c r="AB1121" s="200"/>
      <c r="AC1121" s="200"/>
      <c r="AD1121" s="200"/>
      <c r="AE1121" s="200"/>
      <c r="AF1121" s="200"/>
      <c r="AG1121" s="200"/>
      <c r="AH1121" s="200"/>
      <c r="AI1121" s="200"/>
      <c r="AJ1121" s="200"/>
      <c r="AK1121" s="200"/>
      <c r="AL1121" s="200"/>
      <c r="AM1121" s="200"/>
      <c r="AN1121" s="200"/>
      <c r="AO1121" s="200"/>
      <c r="AP1121" s="200"/>
      <c r="AQ1121" s="200"/>
      <c r="AR1121" s="200"/>
      <c r="AS1121" s="200"/>
    </row>
    <row r="1122" spans="1:45" ht="16.5" customHeight="1">
      <c r="A1122" s="307"/>
      <c r="B1122" s="307"/>
      <c r="C1122" s="200"/>
      <c r="D1122" s="200"/>
      <c r="E1122" s="200"/>
      <c r="F1122" s="200"/>
      <c r="G1122" s="200"/>
      <c r="H1122" s="200"/>
      <c r="I1122" s="200"/>
      <c r="J1122" s="200"/>
      <c r="K1122" s="200"/>
      <c r="L1122" s="200"/>
      <c r="M1122" s="200"/>
      <c r="N1122" s="200"/>
      <c r="O1122" s="200"/>
      <c r="P1122" s="359"/>
      <c r="Q1122" s="353"/>
      <c r="R1122" s="353"/>
      <c r="S1122" s="200"/>
      <c r="T1122" s="353"/>
      <c r="U1122" s="353"/>
      <c r="V1122" s="353"/>
      <c r="W1122" s="200"/>
      <c r="X1122" s="200"/>
      <c r="Y1122" s="200"/>
      <c r="Z1122" s="200"/>
      <c r="AA1122" s="200"/>
      <c r="AB1122" s="200"/>
      <c r="AC1122" s="200"/>
      <c r="AD1122" s="200"/>
      <c r="AE1122" s="200"/>
      <c r="AF1122" s="200"/>
      <c r="AG1122" s="200"/>
      <c r="AH1122" s="200"/>
      <c r="AI1122" s="200"/>
      <c r="AJ1122" s="200"/>
      <c r="AK1122" s="200"/>
      <c r="AL1122" s="200"/>
      <c r="AM1122" s="200"/>
      <c r="AN1122" s="200"/>
      <c r="AO1122" s="200"/>
      <c r="AP1122" s="200"/>
      <c r="AQ1122" s="200"/>
      <c r="AR1122" s="200"/>
      <c r="AS1122" s="200"/>
    </row>
    <row r="1123" spans="1:45" ht="16.5" customHeight="1">
      <c r="A1123" s="307"/>
      <c r="B1123" s="307"/>
      <c r="C1123" s="200"/>
      <c r="D1123" s="200"/>
      <c r="E1123" s="200"/>
      <c r="F1123" s="200"/>
      <c r="G1123" s="200"/>
      <c r="H1123" s="200"/>
      <c r="I1123" s="200"/>
      <c r="J1123" s="200"/>
      <c r="K1123" s="200"/>
      <c r="L1123" s="200"/>
      <c r="M1123" s="200"/>
      <c r="N1123" s="200"/>
      <c r="O1123" s="200"/>
      <c r="P1123" s="359"/>
      <c r="Q1123" s="353"/>
      <c r="R1123" s="353"/>
      <c r="S1123" s="200"/>
      <c r="T1123" s="353"/>
      <c r="U1123" s="353"/>
      <c r="V1123" s="353"/>
      <c r="W1123" s="200"/>
      <c r="X1123" s="200"/>
      <c r="Y1123" s="200"/>
      <c r="Z1123" s="200"/>
      <c r="AA1123" s="200"/>
      <c r="AB1123" s="200"/>
      <c r="AC1123" s="200"/>
      <c r="AD1123" s="200"/>
      <c r="AE1123" s="200"/>
      <c r="AF1123" s="200"/>
      <c r="AG1123" s="200"/>
      <c r="AH1123" s="200"/>
      <c r="AI1123" s="200"/>
      <c r="AJ1123" s="200"/>
      <c r="AK1123" s="200"/>
      <c r="AL1123" s="200"/>
      <c r="AM1123" s="200"/>
      <c r="AN1123" s="200"/>
      <c r="AO1123" s="200"/>
      <c r="AP1123" s="200"/>
      <c r="AQ1123" s="200"/>
      <c r="AR1123" s="200"/>
      <c r="AS1123" s="200"/>
    </row>
    <row r="1124" spans="1:45" ht="16.5" customHeight="1">
      <c r="A1124" s="307"/>
      <c r="B1124" s="307"/>
      <c r="C1124" s="200"/>
      <c r="D1124" s="200"/>
      <c r="E1124" s="200"/>
      <c r="F1124" s="200"/>
      <c r="G1124" s="200"/>
      <c r="H1124" s="200"/>
      <c r="I1124" s="200"/>
      <c r="J1124" s="200"/>
      <c r="K1124" s="200"/>
      <c r="L1124" s="200"/>
      <c r="M1124" s="200"/>
      <c r="N1124" s="200"/>
      <c r="O1124" s="200"/>
      <c r="P1124" s="359"/>
      <c r="Q1124" s="353"/>
      <c r="R1124" s="353"/>
      <c r="S1124" s="200"/>
      <c r="T1124" s="353"/>
      <c r="U1124" s="353"/>
      <c r="V1124" s="353"/>
      <c r="W1124" s="200"/>
      <c r="X1124" s="200"/>
      <c r="Y1124" s="200"/>
      <c r="Z1124" s="200"/>
      <c r="AA1124" s="200"/>
      <c r="AB1124" s="200"/>
      <c r="AC1124" s="200"/>
      <c r="AD1124" s="200"/>
      <c r="AE1124" s="200"/>
      <c r="AF1124" s="200"/>
      <c r="AG1124" s="200"/>
      <c r="AH1124" s="200"/>
      <c r="AI1124" s="200"/>
      <c r="AJ1124" s="200"/>
      <c r="AK1124" s="200"/>
      <c r="AL1124" s="200"/>
      <c r="AM1124" s="200"/>
      <c r="AN1124" s="200"/>
      <c r="AO1124" s="200"/>
      <c r="AP1124" s="200"/>
      <c r="AQ1124" s="200"/>
      <c r="AR1124" s="200"/>
      <c r="AS1124" s="200"/>
    </row>
    <row r="1125" spans="1:45" ht="16.5" customHeight="1">
      <c r="A1125" s="307"/>
      <c r="B1125" s="307"/>
      <c r="C1125" s="200"/>
      <c r="D1125" s="200"/>
      <c r="E1125" s="200"/>
      <c r="F1125" s="200"/>
      <c r="G1125" s="200"/>
      <c r="H1125" s="200"/>
      <c r="I1125" s="200"/>
      <c r="J1125" s="200"/>
      <c r="K1125" s="200"/>
      <c r="L1125" s="200"/>
      <c r="M1125" s="200"/>
      <c r="N1125" s="200"/>
      <c r="O1125" s="200"/>
      <c r="P1125" s="359"/>
      <c r="Q1125" s="353"/>
      <c r="R1125" s="353"/>
      <c r="S1125" s="200"/>
      <c r="T1125" s="353"/>
      <c r="U1125" s="353"/>
      <c r="V1125" s="353"/>
      <c r="W1125" s="200"/>
      <c r="X1125" s="200"/>
      <c r="Y1125" s="200"/>
      <c r="Z1125" s="200"/>
      <c r="AA1125" s="200"/>
      <c r="AB1125" s="200"/>
      <c r="AC1125" s="200"/>
      <c r="AD1125" s="200"/>
      <c r="AE1125" s="200"/>
      <c r="AF1125" s="200"/>
      <c r="AG1125" s="200"/>
      <c r="AH1125" s="200"/>
      <c r="AI1125" s="200"/>
      <c r="AJ1125" s="200"/>
      <c r="AK1125" s="200"/>
      <c r="AL1125" s="200"/>
      <c r="AM1125" s="200"/>
      <c r="AN1125" s="200"/>
      <c r="AO1125" s="200"/>
      <c r="AP1125" s="200"/>
      <c r="AQ1125" s="200"/>
      <c r="AR1125" s="200"/>
      <c r="AS1125" s="200"/>
    </row>
    <row r="1126" spans="1:45" ht="16.5" customHeight="1">
      <c r="A1126" s="307"/>
      <c r="B1126" s="307"/>
      <c r="C1126" s="200"/>
      <c r="D1126" s="200"/>
      <c r="E1126" s="200"/>
      <c r="F1126" s="200"/>
      <c r="G1126" s="200"/>
      <c r="H1126" s="200"/>
      <c r="I1126" s="200"/>
      <c r="J1126" s="200"/>
      <c r="K1126" s="200"/>
      <c r="L1126" s="200"/>
      <c r="M1126" s="200"/>
      <c r="N1126" s="200"/>
      <c r="O1126" s="200"/>
      <c r="P1126" s="359"/>
      <c r="Q1126" s="353"/>
      <c r="R1126" s="353"/>
      <c r="S1126" s="200"/>
      <c r="T1126" s="353"/>
      <c r="U1126" s="353"/>
      <c r="V1126" s="353"/>
      <c r="W1126" s="200"/>
      <c r="X1126" s="200"/>
      <c r="Y1126" s="200"/>
      <c r="Z1126" s="200"/>
      <c r="AA1126" s="200"/>
      <c r="AB1126" s="200"/>
      <c r="AC1126" s="200"/>
      <c r="AD1126" s="200"/>
      <c r="AE1126" s="200"/>
      <c r="AF1126" s="200"/>
      <c r="AG1126" s="200"/>
      <c r="AH1126" s="200"/>
      <c r="AI1126" s="200"/>
      <c r="AJ1126" s="200"/>
      <c r="AK1126" s="200"/>
      <c r="AL1126" s="200"/>
      <c r="AM1126" s="200"/>
      <c r="AN1126" s="200"/>
      <c r="AO1126" s="200"/>
      <c r="AP1126" s="200"/>
      <c r="AQ1126" s="200"/>
      <c r="AR1126" s="200"/>
      <c r="AS1126" s="200"/>
    </row>
    <row r="1127" spans="1:45" ht="16.5" customHeight="1">
      <c r="A1127" s="307"/>
      <c r="B1127" s="307"/>
      <c r="C1127" s="200"/>
      <c r="D1127" s="200"/>
      <c r="E1127" s="200"/>
      <c r="F1127" s="200"/>
      <c r="G1127" s="200"/>
      <c r="H1127" s="200"/>
      <c r="I1127" s="200"/>
      <c r="J1127" s="200"/>
      <c r="K1127" s="200"/>
      <c r="L1127" s="200"/>
      <c r="M1127" s="200"/>
      <c r="N1127" s="200"/>
      <c r="O1127" s="200"/>
      <c r="P1127" s="359"/>
      <c r="Q1127" s="353"/>
      <c r="R1127" s="353"/>
      <c r="S1127" s="200"/>
      <c r="T1127" s="353"/>
      <c r="U1127" s="353"/>
      <c r="V1127" s="353"/>
      <c r="W1127" s="200"/>
      <c r="X1127" s="200"/>
      <c r="Y1127" s="200"/>
      <c r="Z1127" s="200"/>
      <c r="AA1127" s="200"/>
      <c r="AB1127" s="200"/>
      <c r="AC1127" s="200"/>
      <c r="AD1127" s="200"/>
      <c r="AE1127" s="200"/>
      <c r="AF1127" s="200"/>
      <c r="AG1127" s="200"/>
      <c r="AH1127" s="200"/>
      <c r="AI1127" s="200"/>
      <c r="AJ1127" s="200"/>
      <c r="AK1127" s="200"/>
      <c r="AL1127" s="200"/>
      <c r="AM1127" s="200"/>
      <c r="AN1127" s="200"/>
      <c r="AO1127" s="200"/>
      <c r="AP1127" s="200"/>
      <c r="AQ1127" s="200"/>
      <c r="AR1127" s="200"/>
      <c r="AS1127" s="200"/>
    </row>
    <row r="1128" spans="1:45" ht="16.5" customHeight="1">
      <c r="A1128" s="307"/>
      <c r="B1128" s="307"/>
      <c r="C1128" s="200"/>
      <c r="D1128" s="200"/>
      <c r="E1128" s="200"/>
      <c r="F1128" s="200"/>
      <c r="G1128" s="200"/>
      <c r="H1128" s="200"/>
      <c r="I1128" s="200"/>
      <c r="J1128" s="200"/>
      <c r="K1128" s="200"/>
      <c r="L1128" s="200"/>
      <c r="M1128" s="200"/>
      <c r="N1128" s="200"/>
      <c r="O1128" s="200"/>
      <c r="P1128" s="359"/>
      <c r="Q1128" s="353"/>
      <c r="R1128" s="353"/>
      <c r="S1128" s="200"/>
      <c r="T1128" s="353"/>
      <c r="U1128" s="353"/>
      <c r="V1128" s="353"/>
      <c r="W1128" s="200"/>
      <c r="X1128" s="200"/>
      <c r="Y1128" s="200"/>
      <c r="Z1128" s="200"/>
      <c r="AA1128" s="200"/>
      <c r="AB1128" s="200"/>
      <c r="AC1128" s="200"/>
      <c r="AD1128" s="200"/>
      <c r="AE1128" s="200"/>
      <c r="AF1128" s="200"/>
      <c r="AG1128" s="200"/>
      <c r="AH1128" s="200"/>
      <c r="AI1128" s="200"/>
      <c r="AJ1128" s="200"/>
      <c r="AK1128" s="200"/>
      <c r="AL1128" s="200"/>
      <c r="AM1128" s="200"/>
      <c r="AN1128" s="200"/>
      <c r="AO1128" s="200"/>
      <c r="AP1128" s="200"/>
      <c r="AQ1128" s="200"/>
      <c r="AR1128" s="200"/>
      <c r="AS1128" s="200"/>
    </row>
    <row r="1129" spans="1:45" ht="16.5" customHeight="1">
      <c r="A1129" s="307"/>
      <c r="B1129" s="307"/>
      <c r="C1129" s="200"/>
      <c r="D1129" s="200"/>
      <c r="E1129" s="200"/>
      <c r="F1129" s="200"/>
      <c r="G1129" s="200"/>
      <c r="H1129" s="200"/>
      <c r="I1129" s="200"/>
      <c r="J1129" s="200"/>
      <c r="K1129" s="200"/>
      <c r="L1129" s="200"/>
      <c r="M1129" s="200"/>
      <c r="N1129" s="200"/>
      <c r="O1129" s="200"/>
      <c r="P1129" s="359"/>
      <c r="Q1129" s="353"/>
      <c r="R1129" s="353"/>
      <c r="S1129" s="200"/>
      <c r="T1129" s="353"/>
      <c r="U1129" s="353"/>
      <c r="V1129" s="353"/>
      <c r="W1129" s="200"/>
      <c r="X1129" s="200"/>
      <c r="Y1129" s="200"/>
      <c r="Z1129" s="200"/>
      <c r="AA1129" s="200"/>
      <c r="AB1129" s="200"/>
      <c r="AC1129" s="200"/>
      <c r="AD1129" s="200"/>
      <c r="AE1129" s="200"/>
      <c r="AF1129" s="200"/>
      <c r="AG1129" s="200"/>
      <c r="AH1129" s="200"/>
      <c r="AI1129" s="200"/>
      <c r="AJ1129" s="200"/>
      <c r="AK1129" s="200"/>
      <c r="AL1129" s="200"/>
      <c r="AM1129" s="200"/>
      <c r="AN1129" s="200"/>
      <c r="AO1129" s="200"/>
      <c r="AP1129" s="200"/>
      <c r="AQ1129" s="200"/>
      <c r="AR1129" s="200"/>
      <c r="AS1129" s="200"/>
    </row>
    <row r="1130" spans="1:45" ht="16.5" customHeight="1">
      <c r="A1130" s="307"/>
      <c r="B1130" s="307"/>
      <c r="C1130" s="200"/>
      <c r="D1130" s="200"/>
      <c r="E1130" s="200"/>
      <c r="F1130" s="200"/>
      <c r="G1130" s="200"/>
      <c r="H1130" s="200"/>
      <c r="I1130" s="200"/>
      <c r="J1130" s="200"/>
      <c r="K1130" s="200"/>
      <c r="L1130" s="200"/>
      <c r="M1130" s="200"/>
      <c r="N1130" s="200"/>
      <c r="O1130" s="200"/>
      <c r="P1130" s="359"/>
      <c r="Q1130" s="353"/>
      <c r="R1130" s="353"/>
      <c r="S1130" s="200"/>
      <c r="T1130" s="353"/>
      <c r="U1130" s="353"/>
      <c r="V1130" s="353"/>
      <c r="W1130" s="200"/>
      <c r="X1130" s="200"/>
      <c r="Y1130" s="200"/>
      <c r="Z1130" s="200"/>
      <c r="AA1130" s="200"/>
      <c r="AB1130" s="200"/>
      <c r="AC1130" s="200"/>
      <c r="AD1130" s="200"/>
      <c r="AE1130" s="200"/>
      <c r="AF1130" s="200"/>
      <c r="AG1130" s="200"/>
      <c r="AH1130" s="200"/>
      <c r="AI1130" s="200"/>
      <c r="AJ1130" s="200"/>
      <c r="AK1130" s="200"/>
      <c r="AL1130" s="200"/>
      <c r="AM1130" s="200"/>
      <c r="AN1130" s="200"/>
      <c r="AO1130" s="200"/>
      <c r="AP1130" s="200"/>
      <c r="AQ1130" s="200"/>
      <c r="AR1130" s="200"/>
      <c r="AS1130" s="200"/>
    </row>
    <row r="1131" spans="1:45" ht="16.5" customHeight="1">
      <c r="A1131" s="307"/>
      <c r="B1131" s="307"/>
      <c r="C1131" s="200"/>
      <c r="D1131" s="200"/>
      <c r="E1131" s="200"/>
      <c r="F1131" s="200"/>
      <c r="G1131" s="200"/>
      <c r="H1131" s="200"/>
      <c r="I1131" s="200"/>
      <c r="J1131" s="200"/>
      <c r="K1131" s="200"/>
      <c r="L1131" s="200"/>
      <c r="M1131" s="200"/>
      <c r="N1131" s="200"/>
      <c r="O1131" s="200"/>
      <c r="P1131" s="359"/>
      <c r="Q1131" s="353"/>
      <c r="R1131" s="353"/>
      <c r="S1131" s="200"/>
      <c r="T1131" s="353"/>
      <c r="U1131" s="353"/>
      <c r="V1131" s="353"/>
      <c r="W1131" s="200"/>
      <c r="X1131" s="200"/>
      <c r="Y1131" s="200"/>
      <c r="Z1131" s="200"/>
      <c r="AA1131" s="200"/>
      <c r="AB1131" s="200"/>
      <c r="AC1131" s="200"/>
      <c r="AD1131" s="200"/>
      <c r="AE1131" s="200"/>
      <c r="AF1131" s="200"/>
      <c r="AG1131" s="200"/>
      <c r="AH1131" s="200"/>
      <c r="AI1131" s="200"/>
      <c r="AJ1131" s="200"/>
      <c r="AK1131" s="200"/>
      <c r="AL1131" s="200"/>
      <c r="AM1131" s="200"/>
      <c r="AN1131" s="200"/>
      <c r="AO1131" s="200"/>
      <c r="AP1131" s="200"/>
      <c r="AQ1131" s="200"/>
      <c r="AR1131" s="200"/>
      <c r="AS1131" s="200"/>
    </row>
    <row r="1132" spans="1:45" ht="16.5" customHeight="1">
      <c r="A1132" s="307"/>
      <c r="B1132" s="307"/>
      <c r="C1132" s="200"/>
      <c r="D1132" s="200"/>
      <c r="E1132" s="200"/>
      <c r="F1132" s="200"/>
      <c r="G1132" s="200"/>
      <c r="H1132" s="200"/>
      <c r="I1132" s="200"/>
      <c r="J1132" s="200"/>
      <c r="K1132" s="200"/>
      <c r="L1132" s="200"/>
      <c r="M1132" s="200"/>
      <c r="N1132" s="200"/>
      <c r="O1132" s="200"/>
      <c r="P1132" s="359"/>
      <c r="Q1132" s="353"/>
      <c r="R1132" s="353"/>
      <c r="S1132" s="200"/>
      <c r="T1132" s="353"/>
      <c r="U1132" s="353"/>
      <c r="V1132" s="353"/>
      <c r="W1132" s="200"/>
      <c r="X1132" s="200"/>
      <c r="Y1132" s="200"/>
      <c r="Z1132" s="200"/>
      <c r="AA1132" s="200"/>
      <c r="AB1132" s="200"/>
      <c r="AC1132" s="200"/>
      <c r="AD1132" s="200"/>
      <c r="AE1132" s="200"/>
      <c r="AF1132" s="200"/>
      <c r="AG1132" s="200"/>
      <c r="AH1132" s="200"/>
      <c r="AI1132" s="200"/>
      <c r="AJ1132" s="200"/>
      <c r="AK1132" s="200"/>
      <c r="AL1132" s="200"/>
      <c r="AM1132" s="200"/>
      <c r="AN1132" s="200"/>
      <c r="AO1132" s="200"/>
      <c r="AP1132" s="200"/>
      <c r="AQ1132" s="200"/>
      <c r="AR1132" s="200"/>
      <c r="AS1132" s="200"/>
    </row>
    <row r="1133" spans="1:45" ht="16.5" customHeight="1">
      <c r="A1133" s="307"/>
      <c r="B1133" s="307"/>
      <c r="C1133" s="200"/>
      <c r="D1133" s="200"/>
      <c r="E1133" s="200"/>
      <c r="F1133" s="200"/>
      <c r="G1133" s="200"/>
      <c r="H1133" s="200"/>
      <c r="I1133" s="200"/>
      <c r="J1133" s="200"/>
      <c r="K1133" s="200"/>
      <c r="L1133" s="200"/>
      <c r="M1133" s="200"/>
      <c r="N1133" s="200"/>
      <c r="O1133" s="200"/>
      <c r="P1133" s="359"/>
      <c r="Q1133" s="353"/>
      <c r="R1133" s="353"/>
      <c r="S1133" s="200"/>
      <c r="T1133" s="353"/>
      <c r="U1133" s="353"/>
      <c r="V1133" s="353"/>
      <c r="W1133" s="200"/>
      <c r="X1133" s="200"/>
      <c r="Y1133" s="200"/>
      <c r="Z1133" s="200"/>
      <c r="AA1133" s="200"/>
      <c r="AB1133" s="200"/>
      <c r="AC1133" s="200"/>
      <c r="AD1133" s="200"/>
      <c r="AE1133" s="200"/>
      <c r="AF1133" s="200"/>
      <c r="AG1133" s="200"/>
      <c r="AH1133" s="200"/>
      <c r="AI1133" s="200"/>
      <c r="AJ1133" s="200"/>
      <c r="AK1133" s="200"/>
      <c r="AL1133" s="200"/>
      <c r="AM1133" s="200"/>
      <c r="AN1133" s="200"/>
      <c r="AO1133" s="200"/>
      <c r="AP1133" s="200"/>
      <c r="AQ1133" s="200"/>
      <c r="AR1133" s="200"/>
      <c r="AS1133" s="200"/>
    </row>
    <row r="1134" spans="1:45" ht="16.5" customHeight="1">
      <c r="A1134" s="307"/>
      <c r="B1134" s="307"/>
      <c r="C1134" s="200"/>
      <c r="D1134" s="200"/>
      <c r="E1134" s="200"/>
      <c r="F1134" s="200"/>
      <c r="G1134" s="200"/>
      <c r="H1134" s="200"/>
      <c r="I1134" s="200"/>
      <c r="J1134" s="200"/>
      <c r="K1134" s="200"/>
      <c r="L1134" s="200"/>
      <c r="M1134" s="200"/>
      <c r="N1134" s="200"/>
      <c r="O1134" s="200"/>
      <c r="P1134" s="359"/>
      <c r="Q1134" s="353"/>
      <c r="R1134" s="353"/>
      <c r="S1134" s="200"/>
      <c r="T1134" s="353"/>
      <c r="U1134" s="353"/>
      <c r="V1134" s="353"/>
      <c r="W1134" s="200"/>
      <c r="X1134" s="200"/>
      <c r="Y1134" s="200"/>
      <c r="Z1134" s="200"/>
      <c r="AA1134" s="200"/>
      <c r="AB1134" s="200"/>
      <c r="AC1134" s="200"/>
      <c r="AD1134" s="200"/>
      <c r="AE1134" s="200"/>
      <c r="AF1134" s="200"/>
      <c r="AG1134" s="200"/>
      <c r="AH1134" s="200"/>
      <c r="AI1134" s="200"/>
      <c r="AJ1134" s="200"/>
      <c r="AK1134" s="200"/>
      <c r="AL1134" s="200"/>
      <c r="AM1134" s="200"/>
      <c r="AN1134" s="200"/>
      <c r="AO1134" s="200"/>
      <c r="AP1134" s="200"/>
      <c r="AQ1134" s="200"/>
      <c r="AR1134" s="200"/>
      <c r="AS1134" s="200"/>
    </row>
    <row r="1135" spans="1:45" ht="16.5" customHeight="1">
      <c r="A1135" s="307"/>
      <c r="B1135" s="307"/>
      <c r="C1135" s="200"/>
      <c r="D1135" s="200"/>
      <c r="E1135" s="200"/>
      <c r="F1135" s="200"/>
      <c r="G1135" s="200"/>
      <c r="H1135" s="200"/>
      <c r="I1135" s="200"/>
      <c r="J1135" s="200"/>
      <c r="K1135" s="200"/>
      <c r="L1135" s="200"/>
      <c r="M1135" s="200"/>
      <c r="N1135" s="200"/>
      <c r="O1135" s="200"/>
      <c r="P1135" s="359"/>
      <c r="Q1135" s="353"/>
      <c r="R1135" s="353"/>
      <c r="S1135" s="200"/>
      <c r="T1135" s="353"/>
      <c r="U1135" s="353"/>
      <c r="V1135" s="353"/>
      <c r="W1135" s="200"/>
      <c r="X1135" s="200"/>
      <c r="Y1135" s="200"/>
      <c r="Z1135" s="200"/>
      <c r="AA1135" s="200"/>
      <c r="AB1135" s="200"/>
      <c r="AC1135" s="200"/>
      <c r="AD1135" s="200"/>
      <c r="AE1135" s="200"/>
      <c r="AF1135" s="200"/>
      <c r="AG1135" s="200"/>
      <c r="AH1135" s="200"/>
      <c r="AI1135" s="200"/>
      <c r="AJ1135" s="200"/>
      <c r="AK1135" s="200"/>
      <c r="AL1135" s="200"/>
      <c r="AM1135" s="200"/>
      <c r="AN1135" s="200"/>
      <c r="AO1135" s="200"/>
      <c r="AP1135" s="200"/>
      <c r="AQ1135" s="200"/>
      <c r="AR1135" s="200"/>
      <c r="AS1135" s="200"/>
    </row>
    <row r="1136" spans="1:45" ht="16.5" customHeight="1">
      <c r="A1136" s="307"/>
      <c r="B1136" s="307"/>
      <c r="C1136" s="200"/>
      <c r="D1136" s="200"/>
      <c r="E1136" s="200"/>
      <c r="F1136" s="200"/>
      <c r="G1136" s="200"/>
      <c r="H1136" s="200"/>
      <c r="I1136" s="200"/>
      <c r="J1136" s="200"/>
      <c r="K1136" s="200"/>
      <c r="L1136" s="200"/>
      <c r="M1136" s="200"/>
      <c r="N1136" s="200"/>
      <c r="O1136" s="200"/>
      <c r="P1136" s="359"/>
      <c r="Q1136" s="353"/>
      <c r="R1136" s="353"/>
      <c r="S1136" s="200"/>
      <c r="T1136" s="353"/>
      <c r="U1136" s="353"/>
      <c r="V1136" s="353"/>
      <c r="W1136" s="200"/>
      <c r="X1136" s="200"/>
      <c r="Y1136" s="200"/>
      <c r="Z1136" s="200"/>
      <c r="AA1136" s="200"/>
      <c r="AB1136" s="200"/>
      <c r="AC1136" s="200"/>
      <c r="AD1136" s="200"/>
      <c r="AE1136" s="200"/>
      <c r="AF1136" s="200"/>
      <c r="AG1136" s="200"/>
      <c r="AH1136" s="200"/>
      <c r="AI1136" s="200"/>
      <c r="AJ1136" s="200"/>
      <c r="AK1136" s="200"/>
      <c r="AL1136" s="200"/>
      <c r="AM1136" s="200"/>
      <c r="AN1136" s="200"/>
      <c r="AO1136" s="200"/>
      <c r="AP1136" s="200"/>
      <c r="AQ1136" s="200"/>
      <c r="AR1136" s="200"/>
      <c r="AS1136" s="200"/>
    </row>
    <row r="1137" spans="1:45" ht="16.5" customHeight="1">
      <c r="A1137" s="307"/>
      <c r="B1137" s="307"/>
      <c r="C1137" s="200"/>
      <c r="D1137" s="200"/>
      <c r="E1137" s="200"/>
      <c r="F1137" s="200"/>
      <c r="G1137" s="200"/>
      <c r="H1137" s="200"/>
      <c r="I1137" s="200"/>
      <c r="J1137" s="200"/>
      <c r="K1137" s="200"/>
      <c r="L1137" s="200"/>
      <c r="M1137" s="200"/>
      <c r="N1137" s="200"/>
      <c r="O1137" s="200"/>
      <c r="P1137" s="359"/>
      <c r="Q1137" s="353"/>
      <c r="R1137" s="353"/>
      <c r="S1137" s="200"/>
      <c r="T1137" s="353"/>
      <c r="U1137" s="353"/>
      <c r="V1137" s="353"/>
      <c r="W1137" s="200"/>
      <c r="X1137" s="200"/>
      <c r="Y1137" s="200"/>
      <c r="Z1137" s="200"/>
      <c r="AA1137" s="200"/>
      <c r="AB1137" s="200"/>
      <c r="AC1137" s="200"/>
      <c r="AD1137" s="200"/>
      <c r="AE1137" s="200"/>
      <c r="AF1137" s="200"/>
      <c r="AG1137" s="200"/>
      <c r="AH1137" s="200"/>
      <c r="AI1137" s="200"/>
      <c r="AJ1137" s="200"/>
      <c r="AK1137" s="200"/>
      <c r="AL1137" s="200"/>
      <c r="AM1137" s="200"/>
      <c r="AN1137" s="200"/>
      <c r="AO1137" s="200"/>
      <c r="AP1137" s="200"/>
      <c r="AQ1137" s="200"/>
      <c r="AR1137" s="200"/>
      <c r="AS1137" s="200"/>
    </row>
    <row r="1138" spans="1:45" ht="16.5" customHeight="1">
      <c r="A1138" s="307"/>
      <c r="B1138" s="307"/>
      <c r="C1138" s="200"/>
      <c r="D1138" s="200"/>
      <c r="E1138" s="200"/>
      <c r="F1138" s="200"/>
      <c r="G1138" s="200"/>
      <c r="H1138" s="200"/>
      <c r="I1138" s="200"/>
      <c r="J1138" s="200"/>
      <c r="K1138" s="200"/>
      <c r="L1138" s="200"/>
      <c r="M1138" s="200"/>
      <c r="N1138" s="200"/>
      <c r="O1138" s="200"/>
      <c r="P1138" s="359"/>
      <c r="Q1138" s="353"/>
      <c r="R1138" s="353"/>
      <c r="S1138" s="200"/>
      <c r="T1138" s="353"/>
      <c r="U1138" s="353"/>
      <c r="V1138" s="353"/>
      <c r="W1138" s="200"/>
      <c r="X1138" s="200"/>
      <c r="Y1138" s="200"/>
      <c r="Z1138" s="200"/>
      <c r="AA1138" s="200"/>
      <c r="AB1138" s="200"/>
      <c r="AC1138" s="200"/>
      <c r="AD1138" s="200"/>
      <c r="AE1138" s="200"/>
      <c r="AF1138" s="200"/>
      <c r="AG1138" s="200"/>
      <c r="AH1138" s="200"/>
      <c r="AI1138" s="200"/>
      <c r="AJ1138" s="200"/>
      <c r="AK1138" s="200"/>
      <c r="AL1138" s="200"/>
      <c r="AM1138" s="200"/>
      <c r="AN1138" s="200"/>
      <c r="AO1138" s="200"/>
      <c r="AP1138" s="200"/>
      <c r="AQ1138" s="200"/>
      <c r="AR1138" s="200"/>
      <c r="AS1138" s="200"/>
    </row>
    <row r="1139" spans="1:45" ht="16.5" customHeight="1">
      <c r="A1139" s="307"/>
      <c r="B1139" s="307"/>
      <c r="C1139" s="200"/>
      <c r="D1139" s="200"/>
      <c r="E1139" s="200"/>
      <c r="F1139" s="200"/>
      <c r="G1139" s="200"/>
      <c r="H1139" s="200"/>
      <c r="I1139" s="200"/>
      <c r="J1139" s="200"/>
      <c r="K1139" s="200"/>
      <c r="L1139" s="200"/>
      <c r="M1139" s="200"/>
      <c r="N1139" s="200"/>
      <c r="O1139" s="200"/>
      <c r="P1139" s="359"/>
      <c r="Q1139" s="353"/>
      <c r="R1139" s="353"/>
      <c r="S1139" s="200"/>
      <c r="T1139" s="353"/>
      <c r="U1139" s="353"/>
      <c r="V1139" s="353"/>
      <c r="W1139" s="200"/>
      <c r="X1139" s="200"/>
      <c r="Y1139" s="200"/>
      <c r="Z1139" s="200"/>
      <c r="AA1139" s="200"/>
      <c r="AB1139" s="200"/>
      <c r="AC1139" s="200"/>
      <c r="AD1139" s="200"/>
      <c r="AE1139" s="200"/>
      <c r="AF1139" s="200"/>
      <c r="AG1139" s="200"/>
      <c r="AH1139" s="200"/>
      <c r="AI1139" s="200"/>
      <c r="AJ1139" s="200"/>
      <c r="AK1139" s="200"/>
      <c r="AL1139" s="200"/>
      <c r="AM1139" s="200"/>
      <c r="AN1139" s="200"/>
      <c r="AO1139" s="200"/>
      <c r="AP1139" s="200"/>
      <c r="AQ1139" s="200"/>
      <c r="AR1139" s="200"/>
      <c r="AS1139" s="200"/>
    </row>
    <row r="1140" spans="1:45" ht="16.5" customHeight="1">
      <c r="A1140" s="307"/>
      <c r="B1140" s="307"/>
      <c r="C1140" s="200"/>
      <c r="D1140" s="200"/>
      <c r="E1140" s="200"/>
      <c r="F1140" s="200"/>
      <c r="G1140" s="200"/>
      <c r="H1140" s="200"/>
      <c r="I1140" s="200"/>
      <c r="J1140" s="200"/>
      <c r="K1140" s="200"/>
      <c r="L1140" s="200"/>
      <c r="M1140" s="200"/>
      <c r="N1140" s="200"/>
      <c r="O1140" s="200"/>
      <c r="P1140" s="359"/>
      <c r="Q1140" s="353"/>
      <c r="R1140" s="353"/>
      <c r="S1140" s="200"/>
      <c r="T1140" s="353"/>
      <c r="U1140" s="353"/>
      <c r="V1140" s="353"/>
      <c r="W1140" s="200"/>
      <c r="X1140" s="200"/>
      <c r="Y1140" s="200"/>
      <c r="Z1140" s="200"/>
      <c r="AA1140" s="200"/>
      <c r="AB1140" s="200"/>
      <c r="AC1140" s="200"/>
      <c r="AD1140" s="200"/>
      <c r="AE1140" s="200"/>
      <c r="AF1140" s="200"/>
      <c r="AG1140" s="200"/>
      <c r="AH1140" s="200"/>
      <c r="AI1140" s="200"/>
      <c r="AJ1140" s="200"/>
      <c r="AK1140" s="200"/>
      <c r="AL1140" s="200"/>
      <c r="AM1140" s="200"/>
      <c r="AN1140" s="200"/>
      <c r="AO1140" s="200"/>
      <c r="AP1140" s="200"/>
      <c r="AQ1140" s="200"/>
      <c r="AR1140" s="200"/>
      <c r="AS1140" s="200"/>
    </row>
    <row r="1141" spans="1:45" ht="16.5" customHeight="1">
      <c r="A1141" s="307"/>
      <c r="B1141" s="307"/>
      <c r="C1141" s="200"/>
      <c r="D1141" s="200"/>
      <c r="E1141" s="200"/>
      <c r="F1141" s="200"/>
      <c r="G1141" s="200"/>
      <c r="H1141" s="200"/>
      <c r="I1141" s="200"/>
      <c r="J1141" s="200"/>
      <c r="K1141" s="200"/>
      <c r="L1141" s="200"/>
      <c r="M1141" s="200"/>
      <c r="N1141" s="200"/>
      <c r="O1141" s="200"/>
      <c r="P1141" s="359"/>
      <c r="Q1141" s="353"/>
      <c r="R1141" s="353"/>
      <c r="S1141" s="200"/>
      <c r="T1141" s="353"/>
      <c r="U1141" s="353"/>
      <c r="V1141" s="353"/>
      <c r="W1141" s="200"/>
      <c r="X1141" s="200"/>
      <c r="Y1141" s="200"/>
      <c r="Z1141" s="200"/>
      <c r="AA1141" s="200"/>
      <c r="AB1141" s="200"/>
      <c r="AC1141" s="200"/>
      <c r="AD1141" s="200"/>
      <c r="AE1141" s="200"/>
      <c r="AF1141" s="200"/>
      <c r="AG1141" s="200"/>
      <c r="AH1141" s="200"/>
      <c r="AI1141" s="200"/>
      <c r="AJ1141" s="200"/>
      <c r="AK1141" s="200"/>
      <c r="AL1141" s="200"/>
      <c r="AM1141" s="200"/>
      <c r="AN1141" s="200"/>
      <c r="AO1141" s="200"/>
      <c r="AP1141" s="200"/>
      <c r="AQ1141" s="200"/>
      <c r="AR1141" s="200"/>
      <c r="AS1141" s="200"/>
    </row>
    <row r="1142" spans="1:45" ht="16.5" customHeight="1">
      <c r="A1142" s="307"/>
      <c r="B1142" s="307"/>
      <c r="C1142" s="200"/>
      <c r="D1142" s="200"/>
      <c r="E1142" s="200"/>
      <c r="F1142" s="200"/>
      <c r="G1142" s="200"/>
      <c r="H1142" s="200"/>
      <c r="I1142" s="200"/>
      <c r="J1142" s="200"/>
      <c r="K1142" s="200"/>
      <c r="L1142" s="200"/>
      <c r="M1142" s="200"/>
      <c r="N1142" s="200"/>
      <c r="O1142" s="200"/>
      <c r="P1142" s="359"/>
      <c r="Q1142" s="353"/>
      <c r="R1142" s="353"/>
      <c r="S1142" s="200"/>
      <c r="T1142" s="353"/>
      <c r="U1142" s="353"/>
      <c r="V1142" s="353"/>
      <c r="W1142" s="200"/>
      <c r="X1142" s="200"/>
      <c r="Y1142" s="200"/>
      <c r="Z1142" s="200"/>
      <c r="AA1142" s="200"/>
      <c r="AB1142" s="200"/>
      <c r="AC1142" s="200"/>
      <c r="AD1142" s="200"/>
      <c r="AE1142" s="200"/>
      <c r="AF1142" s="200"/>
      <c r="AG1142" s="200"/>
      <c r="AH1142" s="200"/>
      <c r="AI1142" s="200"/>
      <c r="AJ1142" s="200"/>
      <c r="AK1142" s="200"/>
      <c r="AL1142" s="200"/>
      <c r="AM1142" s="200"/>
      <c r="AN1142" s="200"/>
      <c r="AO1142" s="200"/>
      <c r="AP1142" s="200"/>
      <c r="AQ1142" s="200"/>
      <c r="AR1142" s="200"/>
      <c r="AS1142" s="200"/>
    </row>
    <row r="1143" spans="1:45" ht="16.5" customHeight="1">
      <c r="A1143" s="307"/>
      <c r="B1143" s="307"/>
      <c r="C1143" s="200"/>
      <c r="D1143" s="200"/>
      <c r="E1143" s="200"/>
      <c r="F1143" s="200"/>
      <c r="G1143" s="200"/>
      <c r="H1143" s="200"/>
      <c r="I1143" s="200"/>
      <c r="J1143" s="200"/>
      <c r="K1143" s="200"/>
      <c r="L1143" s="200"/>
      <c r="M1143" s="200"/>
      <c r="N1143" s="200"/>
      <c r="O1143" s="200"/>
      <c r="P1143" s="359"/>
      <c r="Q1143" s="353"/>
      <c r="R1143" s="353"/>
      <c r="S1143" s="200"/>
      <c r="T1143" s="353"/>
      <c r="U1143" s="353"/>
      <c r="V1143" s="353"/>
      <c r="W1143" s="200"/>
      <c r="X1143" s="200"/>
      <c r="Y1143" s="200"/>
      <c r="Z1143" s="200"/>
      <c r="AA1143" s="200"/>
      <c r="AB1143" s="200"/>
      <c r="AC1143" s="200"/>
      <c r="AD1143" s="200"/>
      <c r="AE1143" s="200"/>
      <c r="AF1143" s="200"/>
      <c r="AG1143" s="200"/>
      <c r="AH1143" s="200"/>
      <c r="AI1143" s="200"/>
      <c r="AJ1143" s="200"/>
      <c r="AK1143" s="200"/>
      <c r="AL1143" s="200"/>
      <c r="AM1143" s="200"/>
      <c r="AN1143" s="200"/>
      <c r="AO1143" s="200"/>
      <c r="AP1143" s="200"/>
      <c r="AQ1143" s="200"/>
      <c r="AR1143" s="200"/>
      <c r="AS1143" s="200"/>
    </row>
    <row r="1144" spans="1:45" ht="16.5" customHeight="1">
      <c r="A1144" s="307"/>
      <c r="B1144" s="307"/>
      <c r="C1144" s="200"/>
      <c r="D1144" s="200"/>
      <c r="E1144" s="200"/>
      <c r="F1144" s="200"/>
      <c r="G1144" s="200"/>
      <c r="H1144" s="200"/>
      <c r="I1144" s="200"/>
      <c r="J1144" s="200"/>
      <c r="K1144" s="200"/>
      <c r="L1144" s="200"/>
      <c r="M1144" s="200"/>
      <c r="N1144" s="200"/>
      <c r="O1144" s="200"/>
      <c r="P1144" s="359"/>
      <c r="Q1144" s="353"/>
      <c r="R1144" s="353"/>
      <c r="S1144" s="200"/>
      <c r="T1144" s="353"/>
      <c r="U1144" s="353"/>
      <c r="V1144" s="353"/>
      <c r="W1144" s="200"/>
      <c r="X1144" s="200"/>
      <c r="Y1144" s="200"/>
      <c r="Z1144" s="200"/>
      <c r="AA1144" s="200"/>
      <c r="AB1144" s="200"/>
      <c r="AC1144" s="200"/>
      <c r="AD1144" s="200"/>
      <c r="AE1144" s="200"/>
      <c r="AF1144" s="200"/>
      <c r="AG1144" s="200"/>
      <c r="AH1144" s="200"/>
      <c r="AI1144" s="200"/>
      <c r="AJ1144" s="200"/>
      <c r="AK1144" s="200"/>
      <c r="AL1144" s="200"/>
      <c r="AM1144" s="200"/>
      <c r="AN1144" s="200"/>
      <c r="AO1144" s="200"/>
      <c r="AP1144" s="200"/>
      <c r="AQ1144" s="200"/>
      <c r="AR1144" s="200"/>
      <c r="AS1144" s="200"/>
    </row>
    <row r="1145" spans="1:45" ht="16.5" customHeight="1">
      <c r="A1145" s="307"/>
      <c r="B1145" s="307"/>
      <c r="C1145" s="200"/>
      <c r="D1145" s="200"/>
      <c r="E1145" s="200"/>
      <c r="F1145" s="200"/>
      <c r="G1145" s="200"/>
      <c r="H1145" s="200"/>
      <c r="I1145" s="200"/>
      <c r="J1145" s="200"/>
      <c r="K1145" s="200"/>
      <c r="L1145" s="200"/>
      <c r="M1145" s="200"/>
      <c r="N1145" s="200"/>
      <c r="O1145" s="200"/>
      <c r="P1145" s="359"/>
      <c r="Q1145" s="353"/>
      <c r="R1145" s="353"/>
      <c r="S1145" s="200"/>
      <c r="T1145" s="353"/>
      <c r="U1145" s="353"/>
      <c r="V1145" s="353"/>
      <c r="W1145" s="200"/>
      <c r="X1145" s="200"/>
      <c r="Y1145" s="200"/>
      <c r="Z1145" s="200"/>
      <c r="AA1145" s="200"/>
      <c r="AB1145" s="200"/>
      <c r="AC1145" s="200"/>
      <c r="AD1145" s="200"/>
      <c r="AE1145" s="200"/>
      <c r="AF1145" s="200"/>
      <c r="AG1145" s="200"/>
      <c r="AH1145" s="200"/>
      <c r="AI1145" s="200"/>
      <c r="AJ1145" s="200"/>
      <c r="AK1145" s="200"/>
      <c r="AL1145" s="200"/>
      <c r="AM1145" s="200"/>
      <c r="AN1145" s="200"/>
      <c r="AO1145" s="200"/>
      <c r="AP1145" s="200"/>
      <c r="AQ1145" s="200"/>
      <c r="AR1145" s="200"/>
      <c r="AS1145" s="200"/>
    </row>
    <row r="1146" spans="1:45" ht="16.5" customHeight="1">
      <c r="A1146" s="307"/>
      <c r="B1146" s="307"/>
      <c r="C1146" s="200"/>
      <c r="D1146" s="200"/>
      <c r="E1146" s="200"/>
      <c r="F1146" s="200"/>
      <c r="G1146" s="200"/>
      <c r="H1146" s="200"/>
      <c r="I1146" s="200"/>
      <c r="J1146" s="200"/>
      <c r="K1146" s="200"/>
      <c r="L1146" s="200"/>
      <c r="M1146" s="200"/>
      <c r="N1146" s="200"/>
      <c r="O1146" s="200"/>
      <c r="P1146" s="359"/>
      <c r="Q1146" s="353"/>
      <c r="R1146" s="353"/>
      <c r="S1146" s="200"/>
      <c r="T1146" s="353"/>
      <c r="U1146" s="353"/>
      <c r="V1146" s="353"/>
      <c r="W1146" s="200"/>
      <c r="X1146" s="200"/>
      <c r="Y1146" s="200"/>
      <c r="Z1146" s="200"/>
      <c r="AA1146" s="200"/>
      <c r="AB1146" s="200"/>
      <c r="AC1146" s="200"/>
      <c r="AD1146" s="200"/>
      <c r="AE1146" s="200"/>
      <c r="AF1146" s="200"/>
      <c r="AG1146" s="200"/>
      <c r="AH1146" s="200"/>
      <c r="AI1146" s="200"/>
      <c r="AJ1146" s="200"/>
      <c r="AK1146" s="200"/>
      <c r="AL1146" s="200"/>
      <c r="AM1146" s="200"/>
      <c r="AN1146" s="200"/>
      <c r="AO1146" s="200"/>
      <c r="AP1146" s="200"/>
      <c r="AQ1146" s="200"/>
      <c r="AR1146" s="200"/>
      <c r="AS1146" s="200"/>
    </row>
    <row r="1147" spans="1:45" ht="16.5" customHeight="1">
      <c r="A1147" s="307"/>
      <c r="B1147" s="307"/>
      <c r="C1147" s="200"/>
      <c r="D1147" s="200"/>
      <c r="E1147" s="200"/>
      <c r="F1147" s="200"/>
      <c r="G1147" s="200"/>
      <c r="H1147" s="200"/>
      <c r="I1147" s="200"/>
      <c r="J1147" s="200"/>
      <c r="K1147" s="200"/>
      <c r="L1147" s="200"/>
      <c r="M1147" s="200"/>
      <c r="N1147" s="200"/>
      <c r="O1147" s="200"/>
      <c r="P1147" s="359"/>
      <c r="Q1147" s="353"/>
      <c r="R1147" s="353"/>
      <c r="S1147" s="200"/>
      <c r="T1147" s="353"/>
      <c r="U1147" s="353"/>
      <c r="V1147" s="353"/>
      <c r="W1147" s="200"/>
      <c r="X1147" s="200"/>
      <c r="Y1147" s="200"/>
      <c r="Z1147" s="200"/>
      <c r="AA1147" s="200"/>
      <c r="AB1147" s="200"/>
      <c r="AC1147" s="200"/>
      <c r="AD1147" s="200"/>
      <c r="AE1147" s="200"/>
      <c r="AF1147" s="200"/>
      <c r="AG1147" s="200"/>
      <c r="AH1147" s="200"/>
      <c r="AI1147" s="200"/>
      <c r="AJ1147" s="200"/>
      <c r="AK1147" s="200"/>
      <c r="AL1147" s="200"/>
      <c r="AM1147" s="200"/>
      <c r="AN1147" s="200"/>
      <c r="AO1147" s="200"/>
      <c r="AP1147" s="200"/>
      <c r="AQ1147" s="200"/>
      <c r="AR1147" s="200"/>
      <c r="AS1147" s="200"/>
    </row>
    <row r="1148" spans="1:45" ht="16.5" customHeight="1">
      <c r="A1148" s="307"/>
      <c r="B1148" s="307"/>
      <c r="C1148" s="200"/>
      <c r="D1148" s="200"/>
      <c r="E1148" s="200"/>
      <c r="F1148" s="200"/>
      <c r="G1148" s="200"/>
      <c r="H1148" s="200"/>
      <c r="I1148" s="200"/>
      <c r="J1148" s="200"/>
      <c r="K1148" s="200"/>
      <c r="L1148" s="200"/>
      <c r="M1148" s="200"/>
      <c r="N1148" s="200"/>
      <c r="O1148" s="200"/>
      <c r="P1148" s="359"/>
      <c r="Q1148" s="353"/>
      <c r="R1148" s="353"/>
      <c r="S1148" s="200"/>
      <c r="T1148" s="353"/>
      <c r="U1148" s="353"/>
      <c r="V1148" s="353"/>
      <c r="W1148" s="200"/>
      <c r="X1148" s="200"/>
      <c r="Y1148" s="200"/>
      <c r="Z1148" s="200"/>
      <c r="AA1148" s="200"/>
      <c r="AB1148" s="200"/>
      <c r="AC1148" s="200"/>
      <c r="AD1148" s="200"/>
      <c r="AE1148" s="200"/>
      <c r="AF1148" s="200"/>
      <c r="AG1148" s="200"/>
      <c r="AH1148" s="200"/>
      <c r="AI1148" s="200"/>
      <c r="AJ1148" s="200"/>
      <c r="AK1148" s="200"/>
      <c r="AL1148" s="200"/>
      <c r="AM1148" s="200"/>
      <c r="AN1148" s="200"/>
      <c r="AO1148" s="200"/>
      <c r="AP1148" s="200"/>
      <c r="AQ1148" s="200"/>
      <c r="AR1148" s="200"/>
      <c r="AS1148" s="200"/>
    </row>
    <row r="1149" spans="1:45" ht="16.5" customHeight="1">
      <c r="A1149" s="307"/>
      <c r="B1149" s="307"/>
      <c r="C1149" s="200"/>
      <c r="D1149" s="200"/>
      <c r="E1149" s="200"/>
      <c r="F1149" s="200"/>
      <c r="G1149" s="200"/>
      <c r="H1149" s="200"/>
      <c r="I1149" s="200"/>
      <c r="J1149" s="200"/>
      <c r="K1149" s="200"/>
      <c r="L1149" s="200"/>
      <c r="M1149" s="200"/>
      <c r="N1149" s="200"/>
      <c r="O1149" s="200"/>
      <c r="P1149" s="359"/>
      <c r="Q1149" s="353"/>
      <c r="R1149" s="353"/>
      <c r="S1149" s="200"/>
      <c r="T1149" s="353"/>
      <c r="U1149" s="353"/>
      <c r="V1149" s="353"/>
      <c r="W1149" s="200"/>
      <c r="X1149" s="200"/>
      <c r="Y1149" s="200"/>
      <c r="Z1149" s="200"/>
      <c r="AA1149" s="200"/>
      <c r="AB1149" s="200"/>
      <c r="AC1149" s="200"/>
      <c r="AD1149" s="200"/>
      <c r="AE1149" s="200"/>
      <c r="AF1149" s="200"/>
      <c r="AG1149" s="200"/>
      <c r="AH1149" s="200"/>
      <c r="AI1149" s="200"/>
      <c r="AJ1149" s="200"/>
      <c r="AK1149" s="200"/>
      <c r="AL1149" s="200"/>
      <c r="AM1149" s="200"/>
      <c r="AN1149" s="200"/>
      <c r="AO1149" s="200"/>
      <c r="AP1149" s="200"/>
      <c r="AQ1149" s="200"/>
      <c r="AR1149" s="200"/>
      <c r="AS1149" s="200"/>
    </row>
    <row r="1150" spans="1:45" ht="16.5" customHeight="1">
      <c r="A1150" s="307"/>
      <c r="B1150" s="307"/>
      <c r="C1150" s="200"/>
      <c r="D1150" s="200"/>
      <c r="E1150" s="200"/>
      <c r="F1150" s="200"/>
      <c r="G1150" s="200"/>
      <c r="H1150" s="200"/>
      <c r="I1150" s="200"/>
      <c r="J1150" s="200"/>
      <c r="K1150" s="200"/>
      <c r="L1150" s="200"/>
      <c r="M1150" s="200"/>
      <c r="N1150" s="200"/>
      <c r="O1150" s="200"/>
      <c r="P1150" s="359"/>
      <c r="Q1150" s="353"/>
      <c r="R1150" s="353"/>
      <c r="S1150" s="200"/>
      <c r="T1150" s="353"/>
      <c r="U1150" s="353"/>
      <c r="V1150" s="353"/>
      <c r="W1150" s="200"/>
      <c r="X1150" s="200"/>
      <c r="Y1150" s="200"/>
      <c r="Z1150" s="200"/>
      <c r="AA1150" s="200"/>
      <c r="AB1150" s="200"/>
      <c r="AC1150" s="200"/>
      <c r="AD1150" s="200"/>
      <c r="AE1150" s="200"/>
      <c r="AF1150" s="200"/>
      <c r="AG1150" s="200"/>
      <c r="AH1150" s="200"/>
      <c r="AI1150" s="200"/>
      <c r="AJ1150" s="200"/>
      <c r="AK1150" s="200"/>
      <c r="AL1150" s="200"/>
      <c r="AM1150" s="200"/>
      <c r="AN1150" s="200"/>
      <c r="AO1150" s="200"/>
      <c r="AP1150" s="200"/>
      <c r="AQ1150" s="200"/>
      <c r="AR1150" s="200"/>
      <c r="AS1150" s="200"/>
    </row>
    <row r="1151" spans="1:45" ht="16.5" customHeight="1">
      <c r="A1151" s="307"/>
      <c r="B1151" s="307"/>
      <c r="C1151" s="200"/>
      <c r="D1151" s="200"/>
      <c r="E1151" s="200"/>
      <c r="F1151" s="200"/>
      <c r="G1151" s="200"/>
      <c r="H1151" s="200"/>
      <c r="I1151" s="200"/>
      <c r="J1151" s="200"/>
      <c r="K1151" s="200"/>
      <c r="L1151" s="200"/>
      <c r="M1151" s="200"/>
      <c r="N1151" s="200"/>
      <c r="O1151" s="200"/>
      <c r="P1151" s="359"/>
      <c r="Q1151" s="353"/>
      <c r="R1151" s="353"/>
      <c r="S1151" s="200"/>
      <c r="T1151" s="353"/>
      <c r="U1151" s="353"/>
      <c r="V1151" s="353"/>
      <c r="W1151" s="200"/>
      <c r="X1151" s="200"/>
      <c r="Y1151" s="200"/>
      <c r="Z1151" s="200"/>
      <c r="AA1151" s="200"/>
      <c r="AB1151" s="200"/>
      <c r="AC1151" s="200"/>
      <c r="AD1151" s="200"/>
      <c r="AE1151" s="200"/>
      <c r="AF1151" s="200"/>
      <c r="AG1151" s="200"/>
      <c r="AH1151" s="200"/>
      <c r="AI1151" s="200"/>
      <c r="AJ1151" s="200"/>
      <c r="AK1151" s="200"/>
      <c r="AL1151" s="200"/>
      <c r="AM1151" s="200"/>
      <c r="AN1151" s="200"/>
      <c r="AO1151" s="200"/>
      <c r="AP1151" s="200"/>
      <c r="AQ1151" s="200"/>
      <c r="AR1151" s="200"/>
      <c r="AS1151" s="200"/>
    </row>
    <row r="1152" spans="1:45" ht="16.5" customHeight="1">
      <c r="A1152" s="307"/>
      <c r="B1152" s="307"/>
      <c r="C1152" s="200"/>
      <c r="D1152" s="200"/>
      <c r="E1152" s="200"/>
      <c r="F1152" s="200"/>
      <c r="G1152" s="200"/>
      <c r="H1152" s="200"/>
      <c r="I1152" s="200"/>
      <c r="J1152" s="200"/>
      <c r="K1152" s="200"/>
      <c r="L1152" s="200"/>
      <c r="M1152" s="200"/>
      <c r="N1152" s="200"/>
      <c r="O1152" s="200"/>
      <c r="P1152" s="359"/>
      <c r="Q1152" s="353"/>
      <c r="R1152" s="353"/>
      <c r="S1152" s="200"/>
      <c r="T1152" s="353"/>
      <c r="U1152" s="353"/>
      <c r="V1152" s="353"/>
      <c r="W1152" s="200"/>
      <c r="X1152" s="200"/>
      <c r="Y1152" s="200"/>
      <c r="Z1152" s="200"/>
      <c r="AA1152" s="200"/>
      <c r="AB1152" s="200"/>
      <c r="AC1152" s="200"/>
      <c r="AD1152" s="200"/>
      <c r="AE1152" s="200"/>
      <c r="AF1152" s="200"/>
      <c r="AG1152" s="200"/>
      <c r="AH1152" s="200"/>
      <c r="AI1152" s="200"/>
      <c r="AJ1152" s="200"/>
      <c r="AK1152" s="200"/>
      <c r="AL1152" s="200"/>
      <c r="AM1152" s="200"/>
      <c r="AN1152" s="200"/>
      <c r="AO1152" s="200"/>
      <c r="AP1152" s="200"/>
      <c r="AQ1152" s="200"/>
      <c r="AR1152" s="200"/>
      <c r="AS1152" s="200"/>
    </row>
    <row r="1153" spans="1:45" ht="16.5" customHeight="1">
      <c r="A1153" s="307"/>
      <c r="B1153" s="307"/>
      <c r="C1153" s="200"/>
      <c r="D1153" s="200"/>
      <c r="E1153" s="200"/>
      <c r="F1153" s="200"/>
      <c r="G1153" s="200"/>
      <c r="H1153" s="200"/>
      <c r="I1153" s="200"/>
      <c r="J1153" s="200"/>
      <c r="K1153" s="200"/>
      <c r="L1153" s="200"/>
      <c r="M1153" s="200"/>
      <c r="N1153" s="200"/>
      <c r="O1153" s="200"/>
      <c r="P1153" s="359"/>
      <c r="Q1153" s="353"/>
      <c r="R1153" s="353"/>
      <c r="S1153" s="200"/>
      <c r="T1153" s="353"/>
      <c r="U1153" s="353"/>
      <c r="V1153" s="353"/>
      <c r="W1153" s="200"/>
      <c r="X1153" s="200"/>
      <c r="Y1153" s="200"/>
      <c r="Z1153" s="200"/>
      <c r="AA1153" s="200"/>
      <c r="AB1153" s="200"/>
      <c r="AC1153" s="200"/>
      <c r="AD1153" s="200"/>
      <c r="AE1153" s="200"/>
      <c r="AF1153" s="200"/>
      <c r="AG1153" s="200"/>
      <c r="AH1153" s="200"/>
      <c r="AI1153" s="200"/>
      <c r="AJ1153" s="200"/>
      <c r="AK1153" s="200"/>
      <c r="AL1153" s="200"/>
      <c r="AM1153" s="200"/>
      <c r="AN1153" s="200"/>
      <c r="AO1153" s="200"/>
      <c r="AP1153" s="200"/>
      <c r="AQ1153" s="200"/>
      <c r="AR1153" s="200"/>
      <c r="AS1153" s="200"/>
    </row>
    <row r="1154" spans="1:45" ht="16.5" customHeight="1">
      <c r="A1154" s="307"/>
      <c r="B1154" s="307"/>
      <c r="C1154" s="200"/>
      <c r="D1154" s="200"/>
      <c r="E1154" s="200"/>
      <c r="F1154" s="200"/>
      <c r="G1154" s="200"/>
      <c r="H1154" s="200"/>
      <c r="I1154" s="200"/>
      <c r="J1154" s="200"/>
      <c r="K1154" s="200"/>
      <c r="L1154" s="200"/>
      <c r="M1154" s="200"/>
      <c r="N1154" s="200"/>
      <c r="O1154" s="200"/>
      <c r="P1154" s="359"/>
      <c r="Q1154" s="353"/>
      <c r="R1154" s="353"/>
      <c r="S1154" s="200"/>
      <c r="T1154" s="353"/>
      <c r="U1154" s="353"/>
      <c r="V1154" s="353"/>
      <c r="W1154" s="200"/>
      <c r="X1154" s="200"/>
      <c r="Y1154" s="200"/>
      <c r="Z1154" s="200"/>
      <c r="AA1154" s="200"/>
      <c r="AB1154" s="200"/>
      <c r="AC1154" s="200"/>
      <c r="AD1154" s="200"/>
      <c r="AE1154" s="200"/>
      <c r="AF1154" s="200"/>
      <c r="AG1154" s="200"/>
      <c r="AH1154" s="200"/>
      <c r="AI1154" s="200"/>
      <c r="AJ1154" s="200"/>
      <c r="AK1154" s="200"/>
      <c r="AL1154" s="200"/>
      <c r="AM1154" s="200"/>
      <c r="AN1154" s="200"/>
      <c r="AO1154" s="200"/>
      <c r="AP1154" s="200"/>
      <c r="AQ1154" s="200"/>
      <c r="AR1154" s="200"/>
      <c r="AS1154" s="200"/>
    </row>
    <row r="1155" spans="1:45" ht="16.5" customHeight="1">
      <c r="A1155" s="307"/>
      <c r="B1155" s="307"/>
      <c r="C1155" s="200"/>
      <c r="D1155" s="200"/>
      <c r="E1155" s="200"/>
      <c r="F1155" s="200"/>
      <c r="G1155" s="200"/>
      <c r="H1155" s="200"/>
      <c r="I1155" s="200"/>
      <c r="J1155" s="200"/>
      <c r="K1155" s="200"/>
      <c r="L1155" s="200"/>
      <c r="M1155" s="200"/>
      <c r="N1155" s="200"/>
      <c r="O1155" s="200"/>
      <c r="P1155" s="359"/>
      <c r="Q1155" s="353"/>
      <c r="R1155" s="353"/>
      <c r="S1155" s="200"/>
      <c r="T1155" s="353"/>
      <c r="U1155" s="353"/>
      <c r="V1155" s="353"/>
      <c r="W1155" s="200"/>
      <c r="X1155" s="200"/>
      <c r="Y1155" s="200"/>
      <c r="Z1155" s="200"/>
      <c r="AA1155" s="200"/>
      <c r="AB1155" s="200"/>
      <c r="AC1155" s="200"/>
      <c r="AD1155" s="200"/>
      <c r="AE1155" s="200"/>
      <c r="AF1155" s="200"/>
      <c r="AG1155" s="200"/>
      <c r="AH1155" s="200"/>
      <c r="AI1155" s="200"/>
      <c r="AJ1155" s="200"/>
      <c r="AK1155" s="200"/>
      <c r="AL1155" s="200"/>
      <c r="AM1155" s="200"/>
      <c r="AN1155" s="200"/>
      <c r="AO1155" s="200"/>
      <c r="AP1155" s="200"/>
      <c r="AQ1155" s="200"/>
      <c r="AR1155" s="200"/>
      <c r="AS1155" s="200"/>
    </row>
    <row r="1156" spans="1:45" ht="16.5" customHeight="1">
      <c r="A1156" s="307"/>
      <c r="B1156" s="307"/>
      <c r="C1156" s="200"/>
      <c r="D1156" s="200"/>
      <c r="E1156" s="200"/>
      <c r="F1156" s="200"/>
      <c r="G1156" s="200"/>
      <c r="H1156" s="200"/>
      <c r="I1156" s="200"/>
      <c r="J1156" s="200"/>
      <c r="K1156" s="200"/>
      <c r="L1156" s="200"/>
      <c r="M1156" s="200"/>
      <c r="N1156" s="200"/>
      <c r="O1156" s="200"/>
      <c r="P1156" s="359"/>
      <c r="Q1156" s="353"/>
      <c r="R1156" s="353"/>
      <c r="S1156" s="200"/>
      <c r="T1156" s="353"/>
      <c r="U1156" s="353"/>
      <c r="V1156" s="353"/>
      <c r="W1156" s="200"/>
      <c r="X1156" s="200"/>
      <c r="Y1156" s="200"/>
      <c r="Z1156" s="200"/>
      <c r="AA1156" s="200"/>
      <c r="AB1156" s="200"/>
      <c r="AC1156" s="200"/>
      <c r="AD1156" s="200"/>
      <c r="AE1156" s="200"/>
      <c r="AF1156" s="200"/>
      <c r="AG1156" s="200"/>
      <c r="AH1156" s="200"/>
      <c r="AI1156" s="200"/>
      <c r="AJ1156" s="200"/>
      <c r="AK1156" s="200"/>
      <c r="AL1156" s="200"/>
      <c r="AM1156" s="200"/>
      <c r="AN1156" s="200"/>
      <c r="AO1156" s="200"/>
      <c r="AP1156" s="200"/>
      <c r="AQ1156" s="200"/>
      <c r="AR1156" s="200"/>
      <c r="AS1156" s="200"/>
    </row>
    <row r="1157" spans="1:45" ht="16.5" customHeight="1">
      <c r="A1157" s="307"/>
      <c r="B1157" s="307"/>
      <c r="C1157" s="200"/>
      <c r="D1157" s="200"/>
      <c r="E1157" s="200"/>
      <c r="F1157" s="200"/>
      <c r="G1157" s="200"/>
      <c r="H1157" s="200"/>
      <c r="I1157" s="200"/>
      <c r="J1157" s="200"/>
      <c r="K1157" s="200"/>
      <c r="L1157" s="200"/>
      <c r="M1157" s="200"/>
      <c r="N1157" s="200"/>
      <c r="O1157" s="200"/>
      <c r="P1157" s="359"/>
      <c r="Q1157" s="353"/>
      <c r="R1157" s="353"/>
      <c r="S1157" s="200"/>
      <c r="T1157" s="353"/>
      <c r="U1157" s="353"/>
      <c r="V1157" s="353"/>
      <c r="W1157" s="200"/>
      <c r="X1157" s="200"/>
      <c r="Y1157" s="200"/>
      <c r="Z1157" s="200"/>
      <c r="AA1157" s="200"/>
      <c r="AB1157" s="200"/>
      <c r="AC1157" s="200"/>
      <c r="AD1157" s="200"/>
      <c r="AE1157" s="200"/>
      <c r="AF1157" s="200"/>
      <c r="AG1157" s="200"/>
      <c r="AH1157" s="200"/>
      <c r="AI1157" s="200"/>
      <c r="AJ1157" s="200"/>
      <c r="AK1157" s="200"/>
      <c r="AL1157" s="200"/>
      <c r="AM1157" s="200"/>
      <c r="AN1157" s="200"/>
      <c r="AO1157" s="200"/>
      <c r="AP1157" s="200"/>
      <c r="AQ1157" s="200"/>
      <c r="AR1157" s="200"/>
      <c r="AS1157" s="200"/>
    </row>
    <row r="1158" spans="1:45" ht="16.5" customHeight="1">
      <c r="A1158" s="307"/>
      <c r="B1158" s="307"/>
      <c r="C1158" s="200"/>
      <c r="D1158" s="200"/>
      <c r="E1158" s="200"/>
      <c r="F1158" s="200"/>
      <c r="G1158" s="200"/>
      <c r="H1158" s="200"/>
      <c r="I1158" s="200"/>
      <c r="J1158" s="200"/>
      <c r="K1158" s="200"/>
      <c r="L1158" s="200"/>
      <c r="M1158" s="200"/>
      <c r="N1158" s="200"/>
      <c r="O1158" s="200"/>
      <c r="P1158" s="359"/>
      <c r="Q1158" s="353"/>
      <c r="R1158" s="353"/>
      <c r="S1158" s="200"/>
      <c r="T1158" s="353"/>
      <c r="U1158" s="353"/>
      <c r="V1158" s="353"/>
      <c r="W1158" s="200"/>
      <c r="X1158" s="200"/>
      <c r="Y1158" s="200"/>
      <c r="Z1158" s="200"/>
      <c r="AA1158" s="200"/>
      <c r="AB1158" s="200"/>
      <c r="AC1158" s="200"/>
      <c r="AD1158" s="200"/>
      <c r="AE1158" s="200"/>
      <c r="AF1158" s="200"/>
      <c r="AG1158" s="200"/>
      <c r="AH1158" s="200"/>
      <c r="AI1158" s="200"/>
      <c r="AJ1158" s="200"/>
      <c r="AK1158" s="200"/>
      <c r="AL1158" s="200"/>
      <c r="AM1158" s="200"/>
      <c r="AN1158" s="200"/>
      <c r="AO1158" s="200"/>
      <c r="AP1158" s="200"/>
      <c r="AQ1158" s="200"/>
      <c r="AR1158" s="200"/>
      <c r="AS1158" s="200"/>
    </row>
    <row r="1159" spans="1:45" ht="16.5" customHeight="1">
      <c r="A1159" s="307"/>
      <c r="B1159" s="307"/>
      <c r="C1159" s="200"/>
      <c r="D1159" s="200"/>
      <c r="E1159" s="200"/>
      <c r="F1159" s="200"/>
      <c r="G1159" s="200"/>
      <c r="H1159" s="200"/>
      <c r="I1159" s="200"/>
      <c r="J1159" s="200"/>
      <c r="K1159" s="200"/>
      <c r="L1159" s="200"/>
      <c r="M1159" s="200"/>
      <c r="N1159" s="200"/>
      <c r="O1159" s="200"/>
      <c r="P1159" s="359"/>
      <c r="Q1159" s="353"/>
      <c r="R1159" s="353"/>
      <c r="S1159" s="200"/>
      <c r="T1159" s="353"/>
      <c r="U1159" s="353"/>
      <c r="V1159" s="353"/>
      <c r="W1159" s="200"/>
      <c r="X1159" s="200"/>
      <c r="Y1159" s="200"/>
      <c r="Z1159" s="200"/>
      <c r="AA1159" s="200"/>
      <c r="AB1159" s="200"/>
      <c r="AC1159" s="200"/>
      <c r="AD1159" s="200"/>
      <c r="AE1159" s="200"/>
      <c r="AF1159" s="200"/>
      <c r="AG1159" s="200"/>
      <c r="AH1159" s="200"/>
      <c r="AI1159" s="200"/>
      <c r="AJ1159" s="200"/>
      <c r="AK1159" s="200"/>
      <c r="AL1159" s="200"/>
      <c r="AM1159" s="200"/>
      <c r="AN1159" s="200"/>
      <c r="AO1159" s="200"/>
      <c r="AP1159" s="200"/>
      <c r="AQ1159" s="200"/>
      <c r="AR1159" s="200"/>
      <c r="AS1159" s="200"/>
    </row>
    <row r="1160" spans="1:45" ht="16.5" customHeight="1">
      <c r="A1160" s="307"/>
      <c r="B1160" s="307"/>
      <c r="C1160" s="200"/>
      <c r="D1160" s="200"/>
      <c r="E1160" s="200"/>
      <c r="F1160" s="200"/>
      <c r="G1160" s="200"/>
      <c r="H1160" s="200"/>
      <c r="I1160" s="200"/>
      <c r="J1160" s="200"/>
      <c r="K1160" s="200"/>
      <c r="L1160" s="200"/>
      <c r="M1160" s="200"/>
      <c r="N1160" s="200"/>
      <c r="O1160" s="200"/>
      <c r="P1160" s="359"/>
      <c r="Q1160" s="353"/>
      <c r="R1160" s="353"/>
      <c r="S1160" s="200"/>
      <c r="T1160" s="353"/>
      <c r="U1160" s="353"/>
      <c r="V1160" s="353"/>
      <c r="W1160" s="200"/>
      <c r="X1160" s="200"/>
      <c r="Y1160" s="200"/>
      <c r="Z1160" s="200"/>
      <c r="AA1160" s="200"/>
      <c r="AB1160" s="200"/>
      <c r="AC1160" s="200"/>
      <c r="AD1160" s="200"/>
      <c r="AE1160" s="200"/>
      <c r="AF1160" s="200"/>
      <c r="AG1160" s="200"/>
      <c r="AH1160" s="200"/>
      <c r="AI1160" s="200"/>
      <c r="AJ1160" s="200"/>
      <c r="AK1160" s="200"/>
      <c r="AL1160" s="200"/>
      <c r="AM1160" s="200"/>
      <c r="AN1160" s="200"/>
      <c r="AO1160" s="200"/>
      <c r="AP1160" s="200"/>
      <c r="AQ1160" s="200"/>
      <c r="AR1160" s="200"/>
      <c r="AS1160" s="200"/>
    </row>
    <row r="1161" spans="1:45" ht="16.5" customHeight="1">
      <c r="A1161" s="307"/>
      <c r="B1161" s="307"/>
      <c r="C1161" s="200"/>
      <c r="D1161" s="200"/>
      <c r="E1161" s="200"/>
      <c r="F1161" s="200"/>
      <c r="G1161" s="200"/>
      <c r="H1161" s="200"/>
      <c r="I1161" s="200"/>
      <c r="J1161" s="200"/>
      <c r="K1161" s="200"/>
      <c r="L1161" s="200"/>
      <c r="M1161" s="200"/>
      <c r="N1161" s="200"/>
      <c r="O1161" s="200"/>
      <c r="P1161" s="359"/>
      <c r="Q1161" s="353"/>
      <c r="R1161" s="353"/>
      <c r="S1161" s="200"/>
      <c r="T1161" s="353"/>
      <c r="U1161" s="353"/>
      <c r="V1161" s="353"/>
      <c r="W1161" s="200"/>
      <c r="X1161" s="200"/>
      <c r="Y1161" s="200"/>
      <c r="Z1161" s="200"/>
      <c r="AA1161" s="200"/>
      <c r="AB1161" s="200"/>
      <c r="AC1161" s="200"/>
      <c r="AD1161" s="200"/>
      <c r="AE1161" s="200"/>
      <c r="AF1161" s="200"/>
      <c r="AG1161" s="200"/>
      <c r="AH1161" s="200"/>
      <c r="AI1161" s="200"/>
      <c r="AJ1161" s="200"/>
      <c r="AK1161" s="200"/>
      <c r="AL1161" s="200"/>
      <c r="AM1161" s="200"/>
      <c r="AN1161" s="200"/>
      <c r="AO1161" s="200"/>
      <c r="AP1161" s="200"/>
      <c r="AQ1161" s="200"/>
      <c r="AR1161" s="200"/>
      <c r="AS1161" s="200"/>
    </row>
    <row r="1162" spans="1:45" ht="16.5" customHeight="1">
      <c r="A1162" s="307"/>
      <c r="B1162" s="307"/>
      <c r="C1162" s="200"/>
      <c r="D1162" s="200"/>
      <c r="E1162" s="200"/>
      <c r="F1162" s="200"/>
      <c r="G1162" s="200"/>
      <c r="H1162" s="200"/>
      <c r="I1162" s="200"/>
      <c r="J1162" s="200"/>
      <c r="K1162" s="200"/>
      <c r="L1162" s="200"/>
      <c r="M1162" s="200"/>
      <c r="N1162" s="200"/>
      <c r="O1162" s="200"/>
      <c r="P1162" s="359"/>
      <c r="Q1162" s="353"/>
      <c r="R1162" s="353"/>
      <c r="S1162" s="200"/>
      <c r="T1162" s="353"/>
      <c r="U1162" s="353"/>
      <c r="V1162" s="353"/>
      <c r="W1162" s="200"/>
      <c r="X1162" s="200"/>
      <c r="Y1162" s="200"/>
      <c r="Z1162" s="200"/>
      <c r="AA1162" s="200"/>
      <c r="AB1162" s="200"/>
      <c r="AC1162" s="200"/>
      <c r="AD1162" s="200"/>
      <c r="AE1162" s="200"/>
      <c r="AF1162" s="200"/>
      <c r="AG1162" s="200"/>
      <c r="AH1162" s="200"/>
      <c r="AI1162" s="200"/>
      <c r="AJ1162" s="200"/>
      <c r="AK1162" s="200"/>
      <c r="AL1162" s="200"/>
      <c r="AM1162" s="200"/>
      <c r="AN1162" s="200"/>
      <c r="AO1162" s="200"/>
      <c r="AP1162" s="200"/>
      <c r="AQ1162" s="200"/>
      <c r="AR1162" s="200"/>
      <c r="AS1162" s="200"/>
    </row>
    <row r="1163" spans="1:45" ht="16.5" customHeight="1">
      <c r="A1163" s="307"/>
      <c r="B1163" s="307"/>
      <c r="C1163" s="200"/>
      <c r="D1163" s="200"/>
      <c r="E1163" s="200"/>
      <c r="F1163" s="200"/>
      <c r="G1163" s="200"/>
      <c r="H1163" s="200"/>
      <c r="I1163" s="200"/>
      <c r="J1163" s="200"/>
      <c r="K1163" s="200"/>
      <c r="L1163" s="200"/>
      <c r="M1163" s="200"/>
      <c r="N1163" s="200"/>
      <c r="O1163" s="200"/>
      <c r="P1163" s="359"/>
      <c r="Q1163" s="353"/>
      <c r="R1163" s="353"/>
      <c r="S1163" s="200"/>
      <c r="T1163" s="353"/>
      <c r="U1163" s="353"/>
      <c r="V1163" s="353"/>
      <c r="W1163" s="200"/>
      <c r="X1163" s="200"/>
      <c r="Y1163" s="200"/>
      <c r="Z1163" s="200"/>
      <c r="AA1163" s="200"/>
      <c r="AB1163" s="200"/>
      <c r="AC1163" s="200"/>
      <c r="AD1163" s="200"/>
      <c r="AE1163" s="200"/>
      <c r="AF1163" s="200"/>
      <c r="AG1163" s="200"/>
      <c r="AH1163" s="200"/>
      <c r="AI1163" s="200"/>
      <c r="AJ1163" s="200"/>
      <c r="AK1163" s="200"/>
      <c r="AL1163" s="200"/>
      <c r="AM1163" s="200"/>
      <c r="AN1163" s="200"/>
      <c r="AO1163" s="200"/>
      <c r="AP1163" s="200"/>
      <c r="AQ1163" s="200"/>
      <c r="AR1163" s="200"/>
      <c r="AS1163" s="200"/>
    </row>
    <row r="1164" spans="1:45" ht="16.5" customHeight="1">
      <c r="A1164" s="307"/>
      <c r="B1164" s="307"/>
      <c r="C1164" s="200"/>
      <c r="D1164" s="200"/>
      <c r="E1164" s="200"/>
      <c r="F1164" s="200"/>
      <c r="G1164" s="200"/>
      <c r="H1164" s="200"/>
      <c r="I1164" s="200"/>
      <c r="J1164" s="200"/>
      <c r="K1164" s="200"/>
      <c r="L1164" s="200"/>
      <c r="M1164" s="200"/>
      <c r="N1164" s="200"/>
      <c r="O1164" s="200"/>
      <c r="P1164" s="359"/>
      <c r="Q1164" s="353"/>
      <c r="R1164" s="353"/>
      <c r="S1164" s="200"/>
      <c r="T1164" s="353"/>
      <c r="U1164" s="353"/>
      <c r="V1164" s="353"/>
      <c r="W1164" s="200"/>
      <c r="X1164" s="200"/>
      <c r="Y1164" s="200"/>
      <c r="Z1164" s="200"/>
      <c r="AA1164" s="200"/>
      <c r="AB1164" s="200"/>
      <c r="AC1164" s="200"/>
      <c r="AD1164" s="200"/>
      <c r="AE1164" s="200"/>
      <c r="AF1164" s="200"/>
      <c r="AG1164" s="200"/>
      <c r="AH1164" s="200"/>
      <c r="AI1164" s="200"/>
      <c r="AJ1164" s="200"/>
      <c r="AK1164" s="200"/>
      <c r="AL1164" s="200"/>
      <c r="AM1164" s="200"/>
      <c r="AN1164" s="200"/>
      <c r="AO1164" s="200"/>
      <c r="AP1164" s="200"/>
      <c r="AQ1164" s="200"/>
      <c r="AR1164" s="200"/>
      <c r="AS1164" s="200"/>
    </row>
    <row r="1165" spans="1:45" ht="16.5" customHeight="1">
      <c r="A1165" s="307"/>
      <c r="B1165" s="307"/>
      <c r="C1165" s="200"/>
      <c r="D1165" s="200"/>
      <c r="E1165" s="200"/>
      <c r="F1165" s="200"/>
      <c r="G1165" s="200"/>
      <c r="H1165" s="200"/>
      <c r="I1165" s="200"/>
      <c r="J1165" s="200"/>
      <c r="K1165" s="200"/>
      <c r="L1165" s="200"/>
      <c r="M1165" s="200"/>
      <c r="N1165" s="200"/>
      <c r="O1165" s="200"/>
      <c r="P1165" s="359"/>
      <c r="Q1165" s="353"/>
      <c r="R1165" s="353"/>
      <c r="S1165" s="200"/>
      <c r="T1165" s="353"/>
      <c r="U1165" s="353"/>
      <c r="V1165" s="353"/>
      <c r="W1165" s="200"/>
      <c r="X1165" s="200"/>
      <c r="Y1165" s="200"/>
      <c r="Z1165" s="200"/>
      <c r="AA1165" s="200"/>
      <c r="AB1165" s="200"/>
      <c r="AC1165" s="200"/>
      <c r="AD1165" s="200"/>
      <c r="AE1165" s="200"/>
      <c r="AF1165" s="200"/>
      <c r="AG1165" s="200"/>
      <c r="AH1165" s="200"/>
      <c r="AI1165" s="200"/>
      <c r="AJ1165" s="200"/>
      <c r="AK1165" s="200"/>
      <c r="AL1165" s="200"/>
      <c r="AM1165" s="200"/>
      <c r="AN1165" s="200"/>
      <c r="AO1165" s="200"/>
      <c r="AP1165" s="200"/>
      <c r="AQ1165" s="200"/>
      <c r="AR1165" s="200"/>
      <c r="AS1165" s="200"/>
    </row>
    <row r="1166" spans="1:45" ht="16.5" customHeight="1">
      <c r="A1166" s="307"/>
      <c r="B1166" s="307"/>
      <c r="C1166" s="200"/>
      <c r="D1166" s="200"/>
      <c r="E1166" s="200"/>
      <c r="F1166" s="200"/>
      <c r="G1166" s="200"/>
      <c r="H1166" s="200"/>
      <c r="I1166" s="200"/>
      <c r="J1166" s="200"/>
      <c r="K1166" s="200"/>
      <c r="L1166" s="200"/>
      <c r="M1166" s="200"/>
      <c r="N1166" s="200"/>
      <c r="O1166" s="200"/>
      <c r="P1166" s="359"/>
      <c r="Q1166" s="353"/>
      <c r="R1166" s="353"/>
      <c r="S1166" s="200"/>
      <c r="T1166" s="353"/>
      <c r="U1166" s="353"/>
      <c r="V1166" s="353"/>
      <c r="W1166" s="200"/>
      <c r="X1166" s="200"/>
      <c r="Y1166" s="200"/>
      <c r="Z1166" s="200"/>
      <c r="AA1166" s="200"/>
      <c r="AB1166" s="200"/>
      <c r="AC1166" s="200"/>
      <c r="AD1166" s="200"/>
      <c r="AE1166" s="200"/>
      <c r="AF1166" s="200"/>
      <c r="AG1166" s="200"/>
      <c r="AH1166" s="200"/>
      <c r="AI1166" s="200"/>
      <c r="AJ1166" s="200"/>
      <c r="AK1166" s="200"/>
      <c r="AL1166" s="200"/>
      <c r="AM1166" s="200"/>
      <c r="AN1166" s="200"/>
      <c r="AO1166" s="200"/>
      <c r="AP1166" s="200"/>
      <c r="AQ1166" s="200"/>
      <c r="AR1166" s="200"/>
      <c r="AS1166" s="200"/>
    </row>
    <row r="1167" spans="1:45" ht="16.5" customHeight="1">
      <c r="A1167" s="307"/>
      <c r="B1167" s="307"/>
      <c r="C1167" s="200"/>
      <c r="D1167" s="200"/>
      <c r="E1167" s="200"/>
      <c r="F1167" s="200"/>
      <c r="G1167" s="200"/>
      <c r="H1167" s="200"/>
      <c r="I1167" s="200"/>
      <c r="J1167" s="200"/>
      <c r="K1167" s="200"/>
      <c r="L1167" s="200"/>
      <c r="M1167" s="200"/>
      <c r="N1167" s="200"/>
      <c r="O1167" s="200"/>
      <c r="P1167" s="359"/>
      <c r="Q1167" s="353"/>
      <c r="R1167" s="353"/>
      <c r="S1167" s="200"/>
      <c r="T1167" s="353"/>
      <c r="U1167" s="353"/>
      <c r="V1167" s="353"/>
      <c r="W1167" s="200"/>
      <c r="X1167" s="200"/>
      <c r="Y1167" s="200"/>
      <c r="Z1167" s="200"/>
      <c r="AA1167" s="200"/>
      <c r="AB1167" s="200"/>
      <c r="AC1167" s="200"/>
      <c r="AD1167" s="200"/>
      <c r="AE1167" s="200"/>
      <c r="AF1167" s="200"/>
      <c r="AG1167" s="200"/>
      <c r="AH1167" s="200"/>
      <c r="AI1167" s="200"/>
      <c r="AJ1167" s="200"/>
      <c r="AK1167" s="200"/>
      <c r="AL1167" s="200"/>
      <c r="AM1167" s="200"/>
      <c r="AN1167" s="200"/>
      <c r="AO1167" s="200"/>
      <c r="AP1167" s="200"/>
      <c r="AQ1167" s="200"/>
      <c r="AR1167" s="200"/>
      <c r="AS1167" s="200"/>
    </row>
    <row r="1168" spans="1:45" ht="16.5" customHeight="1">
      <c r="A1168" s="307"/>
      <c r="B1168" s="307"/>
      <c r="C1168" s="200"/>
      <c r="D1168" s="200"/>
      <c r="E1168" s="200"/>
      <c r="F1168" s="200"/>
      <c r="G1168" s="200"/>
      <c r="H1168" s="200"/>
      <c r="I1168" s="200"/>
      <c r="J1168" s="200"/>
      <c r="K1168" s="200"/>
      <c r="L1168" s="200"/>
      <c r="M1168" s="200"/>
      <c r="N1168" s="200"/>
      <c r="O1168" s="200"/>
      <c r="P1168" s="359"/>
      <c r="Q1168" s="353"/>
      <c r="R1168" s="353"/>
      <c r="S1168" s="200"/>
      <c r="T1168" s="353"/>
      <c r="U1168" s="353"/>
      <c r="V1168" s="353"/>
      <c r="W1168" s="200"/>
      <c r="X1168" s="200"/>
      <c r="Y1168" s="200"/>
      <c r="Z1168" s="200"/>
      <c r="AA1168" s="200"/>
      <c r="AB1168" s="200"/>
      <c r="AC1168" s="200"/>
      <c r="AD1168" s="200"/>
      <c r="AE1168" s="200"/>
      <c r="AF1168" s="200"/>
      <c r="AG1168" s="200"/>
      <c r="AH1168" s="200"/>
      <c r="AI1168" s="200"/>
      <c r="AJ1168" s="200"/>
      <c r="AK1168" s="200"/>
      <c r="AL1168" s="200"/>
      <c r="AM1168" s="200"/>
      <c r="AN1168" s="200"/>
      <c r="AO1168" s="200"/>
      <c r="AP1168" s="200"/>
      <c r="AQ1168" s="200"/>
      <c r="AR1168" s="200"/>
      <c r="AS1168" s="200"/>
    </row>
    <row r="1169" spans="1:45" ht="16.5" customHeight="1">
      <c r="A1169" s="307"/>
      <c r="B1169" s="307"/>
      <c r="C1169" s="200"/>
      <c r="D1169" s="200"/>
      <c r="E1169" s="200"/>
      <c r="F1169" s="200"/>
      <c r="G1169" s="200"/>
      <c r="H1169" s="200"/>
      <c r="I1169" s="200"/>
      <c r="J1169" s="200"/>
      <c r="K1169" s="200"/>
      <c r="L1169" s="200"/>
      <c r="M1169" s="200"/>
      <c r="N1169" s="200"/>
      <c r="O1169" s="200"/>
      <c r="P1169" s="359"/>
      <c r="Q1169" s="353"/>
      <c r="R1169" s="353"/>
      <c r="S1169" s="200"/>
      <c r="T1169" s="353"/>
      <c r="U1169" s="353"/>
      <c r="V1169" s="353"/>
      <c r="W1169" s="200"/>
      <c r="X1169" s="200"/>
      <c r="Y1169" s="200"/>
      <c r="Z1169" s="200"/>
      <c r="AA1169" s="200"/>
      <c r="AB1169" s="200"/>
      <c r="AC1169" s="200"/>
      <c r="AD1169" s="200"/>
      <c r="AE1169" s="200"/>
      <c r="AF1169" s="200"/>
      <c r="AG1169" s="200"/>
      <c r="AH1169" s="200"/>
      <c r="AI1169" s="200"/>
      <c r="AJ1169" s="200"/>
      <c r="AK1169" s="200"/>
      <c r="AL1169" s="200"/>
      <c r="AM1169" s="200"/>
      <c r="AN1169" s="200"/>
      <c r="AO1169" s="200"/>
      <c r="AP1169" s="200"/>
      <c r="AQ1169" s="200"/>
      <c r="AR1169" s="200"/>
      <c r="AS1169" s="200"/>
    </row>
    <row r="1170" spans="1:45" ht="16.5" customHeight="1">
      <c r="A1170" s="307"/>
      <c r="B1170" s="307"/>
      <c r="C1170" s="200"/>
      <c r="D1170" s="200"/>
      <c r="E1170" s="200"/>
      <c r="F1170" s="200"/>
      <c r="G1170" s="200"/>
      <c r="H1170" s="200"/>
      <c r="I1170" s="200"/>
      <c r="J1170" s="200"/>
      <c r="K1170" s="200"/>
      <c r="L1170" s="200"/>
      <c r="M1170" s="200"/>
      <c r="N1170" s="200"/>
      <c r="O1170" s="200"/>
      <c r="P1170" s="359"/>
      <c r="Q1170" s="353"/>
      <c r="R1170" s="353"/>
      <c r="S1170" s="200"/>
      <c r="T1170" s="353"/>
      <c r="U1170" s="353"/>
      <c r="V1170" s="353"/>
      <c r="W1170" s="200"/>
      <c r="X1170" s="200"/>
      <c r="Y1170" s="200"/>
      <c r="Z1170" s="200"/>
      <c r="AA1170" s="200"/>
      <c r="AB1170" s="200"/>
      <c r="AC1170" s="200"/>
      <c r="AD1170" s="200"/>
      <c r="AE1170" s="200"/>
      <c r="AF1170" s="200"/>
      <c r="AG1170" s="200"/>
      <c r="AH1170" s="200"/>
      <c r="AI1170" s="200"/>
      <c r="AJ1170" s="200"/>
      <c r="AK1170" s="200"/>
      <c r="AL1170" s="200"/>
      <c r="AM1170" s="200"/>
      <c r="AN1170" s="200"/>
      <c r="AO1170" s="200"/>
      <c r="AP1170" s="200"/>
      <c r="AQ1170" s="200"/>
      <c r="AR1170" s="200"/>
      <c r="AS1170" s="200"/>
    </row>
    <row r="1171" spans="1:45" ht="16.5" customHeight="1">
      <c r="A1171" s="307"/>
      <c r="B1171" s="307"/>
      <c r="C1171" s="200"/>
      <c r="D1171" s="200"/>
      <c r="E1171" s="200"/>
      <c r="F1171" s="200"/>
      <c r="G1171" s="200"/>
      <c r="H1171" s="200"/>
      <c r="I1171" s="200"/>
      <c r="J1171" s="200"/>
      <c r="K1171" s="200"/>
      <c r="L1171" s="200"/>
      <c r="M1171" s="200"/>
      <c r="N1171" s="200"/>
      <c r="O1171" s="200"/>
      <c r="P1171" s="359"/>
      <c r="Q1171" s="353"/>
      <c r="R1171" s="353"/>
      <c r="S1171" s="200"/>
      <c r="T1171" s="353"/>
      <c r="U1171" s="353"/>
      <c r="V1171" s="353"/>
      <c r="W1171" s="200"/>
      <c r="X1171" s="200"/>
      <c r="Y1171" s="200"/>
      <c r="Z1171" s="200"/>
      <c r="AA1171" s="200"/>
      <c r="AB1171" s="200"/>
      <c r="AC1171" s="200"/>
      <c r="AD1171" s="200"/>
      <c r="AE1171" s="200"/>
      <c r="AF1171" s="200"/>
      <c r="AG1171" s="200"/>
      <c r="AH1171" s="200"/>
      <c r="AI1171" s="200"/>
      <c r="AJ1171" s="200"/>
      <c r="AK1171" s="200"/>
      <c r="AL1171" s="200"/>
      <c r="AM1171" s="200"/>
      <c r="AN1171" s="200"/>
      <c r="AO1171" s="200"/>
      <c r="AP1171" s="200"/>
      <c r="AQ1171" s="200"/>
      <c r="AR1171" s="200"/>
      <c r="AS1171" s="200"/>
    </row>
    <row r="1172" spans="1:45" ht="16.5" customHeight="1">
      <c r="A1172" s="307"/>
      <c r="B1172" s="307"/>
      <c r="C1172" s="200"/>
      <c r="D1172" s="200"/>
      <c r="E1172" s="200"/>
      <c r="F1172" s="200"/>
      <c r="G1172" s="200"/>
      <c r="H1172" s="200"/>
      <c r="I1172" s="200"/>
      <c r="J1172" s="200"/>
      <c r="K1172" s="200"/>
      <c r="L1172" s="200"/>
      <c r="M1172" s="200"/>
      <c r="N1172" s="200"/>
      <c r="O1172" s="200"/>
      <c r="P1172" s="359"/>
      <c r="Q1172" s="353"/>
      <c r="R1172" s="353"/>
      <c r="S1172" s="200"/>
      <c r="T1172" s="353"/>
      <c r="U1172" s="353"/>
      <c r="V1172" s="353"/>
      <c r="W1172" s="200"/>
      <c r="X1172" s="200"/>
      <c r="Y1172" s="200"/>
      <c r="Z1172" s="200"/>
      <c r="AA1172" s="200"/>
      <c r="AB1172" s="200"/>
      <c r="AC1172" s="200"/>
      <c r="AD1172" s="200"/>
      <c r="AE1172" s="200"/>
      <c r="AF1172" s="200"/>
      <c r="AG1172" s="200"/>
      <c r="AH1172" s="200"/>
      <c r="AI1172" s="200"/>
      <c r="AJ1172" s="200"/>
      <c r="AK1172" s="200"/>
      <c r="AL1172" s="200"/>
      <c r="AM1172" s="200"/>
      <c r="AN1172" s="200"/>
      <c r="AO1172" s="200"/>
      <c r="AP1172" s="200"/>
      <c r="AQ1172" s="200"/>
      <c r="AR1172" s="200"/>
      <c r="AS1172" s="200"/>
    </row>
    <row r="1173" spans="1:45" ht="16.5" customHeight="1">
      <c r="A1173" s="307"/>
      <c r="B1173" s="307"/>
      <c r="C1173" s="200"/>
      <c r="D1173" s="200"/>
      <c r="E1173" s="200"/>
      <c r="F1173" s="200"/>
      <c r="G1173" s="200"/>
      <c r="H1173" s="200"/>
      <c r="I1173" s="200"/>
      <c r="J1173" s="200"/>
      <c r="K1173" s="200"/>
      <c r="L1173" s="200"/>
      <c r="M1173" s="200"/>
      <c r="N1173" s="200"/>
      <c r="O1173" s="200"/>
      <c r="P1173" s="359"/>
      <c r="Q1173" s="353"/>
      <c r="R1173" s="353"/>
      <c r="S1173" s="200"/>
      <c r="T1173" s="353"/>
      <c r="U1173" s="353"/>
      <c r="V1173" s="353"/>
      <c r="W1173" s="200"/>
      <c r="X1173" s="200"/>
      <c r="Y1173" s="200"/>
      <c r="Z1173" s="200"/>
      <c r="AA1173" s="200"/>
      <c r="AB1173" s="200"/>
      <c r="AC1173" s="200"/>
      <c r="AD1173" s="200"/>
      <c r="AE1173" s="200"/>
      <c r="AF1173" s="200"/>
      <c r="AG1173" s="200"/>
      <c r="AH1173" s="200"/>
      <c r="AI1173" s="200"/>
      <c r="AJ1173" s="200"/>
      <c r="AK1173" s="200"/>
      <c r="AL1173" s="200"/>
      <c r="AM1173" s="200"/>
      <c r="AN1173" s="200"/>
      <c r="AO1173" s="200"/>
      <c r="AP1173" s="200"/>
      <c r="AQ1173" s="200"/>
      <c r="AR1173" s="200"/>
      <c r="AS1173" s="200"/>
    </row>
    <row r="1174" spans="1:45" ht="16.5" customHeight="1">
      <c r="A1174" s="307"/>
      <c r="B1174" s="307"/>
      <c r="C1174" s="200"/>
      <c r="D1174" s="200"/>
      <c r="E1174" s="200"/>
      <c r="F1174" s="200"/>
      <c r="G1174" s="200"/>
      <c r="H1174" s="200"/>
      <c r="I1174" s="200"/>
      <c r="J1174" s="200"/>
      <c r="K1174" s="200"/>
      <c r="L1174" s="200"/>
      <c r="M1174" s="200"/>
      <c r="N1174" s="200"/>
      <c r="O1174" s="200"/>
      <c r="P1174" s="359"/>
      <c r="Q1174" s="353"/>
      <c r="R1174" s="353"/>
      <c r="S1174" s="200"/>
      <c r="T1174" s="353"/>
      <c r="U1174" s="353"/>
      <c r="V1174" s="353"/>
      <c r="W1174" s="200"/>
      <c r="X1174" s="200"/>
      <c r="Y1174" s="200"/>
      <c r="Z1174" s="200"/>
      <c r="AA1174" s="200"/>
      <c r="AB1174" s="200"/>
      <c r="AC1174" s="200"/>
      <c r="AD1174" s="200"/>
      <c r="AE1174" s="200"/>
      <c r="AF1174" s="200"/>
      <c r="AG1174" s="200"/>
      <c r="AH1174" s="200"/>
      <c r="AI1174" s="200"/>
      <c r="AJ1174" s="200"/>
      <c r="AK1174" s="200"/>
      <c r="AL1174" s="200"/>
      <c r="AM1174" s="200"/>
      <c r="AN1174" s="200"/>
      <c r="AO1174" s="200"/>
      <c r="AP1174" s="200"/>
      <c r="AQ1174" s="200"/>
      <c r="AR1174" s="200"/>
      <c r="AS1174" s="200"/>
    </row>
    <row r="1175" spans="1:45" ht="16.5" customHeight="1">
      <c r="A1175" s="307"/>
      <c r="B1175" s="307"/>
      <c r="C1175" s="200"/>
      <c r="D1175" s="200"/>
      <c r="E1175" s="200"/>
      <c r="F1175" s="200"/>
      <c r="G1175" s="200"/>
      <c r="H1175" s="200"/>
      <c r="I1175" s="200"/>
      <c r="J1175" s="200"/>
      <c r="K1175" s="200"/>
      <c r="L1175" s="200"/>
      <c r="M1175" s="200"/>
      <c r="N1175" s="200"/>
      <c r="O1175" s="200"/>
      <c r="P1175" s="359"/>
      <c r="Q1175" s="353"/>
      <c r="R1175" s="353"/>
      <c r="S1175" s="200"/>
      <c r="T1175" s="353"/>
      <c r="U1175" s="353"/>
      <c r="V1175" s="353"/>
      <c r="W1175" s="200"/>
      <c r="X1175" s="200"/>
      <c r="Y1175" s="200"/>
      <c r="Z1175" s="200"/>
      <c r="AA1175" s="200"/>
      <c r="AB1175" s="200"/>
      <c r="AC1175" s="200"/>
      <c r="AD1175" s="200"/>
      <c r="AE1175" s="200"/>
      <c r="AF1175" s="200"/>
      <c r="AG1175" s="200"/>
      <c r="AH1175" s="200"/>
      <c r="AI1175" s="200"/>
      <c r="AJ1175" s="200"/>
      <c r="AK1175" s="200"/>
      <c r="AL1175" s="200"/>
      <c r="AM1175" s="200"/>
      <c r="AN1175" s="200"/>
      <c r="AO1175" s="200"/>
      <c r="AP1175" s="200"/>
      <c r="AQ1175" s="200"/>
      <c r="AR1175" s="200"/>
      <c r="AS1175" s="200"/>
    </row>
    <row r="1176" spans="1:45" ht="16.5" customHeight="1">
      <c r="A1176" s="307"/>
      <c r="B1176" s="307"/>
      <c r="C1176" s="200"/>
      <c r="D1176" s="200"/>
      <c r="E1176" s="200"/>
      <c r="F1176" s="200"/>
      <c r="G1176" s="200"/>
      <c r="H1176" s="200"/>
      <c r="I1176" s="200"/>
      <c r="J1176" s="200"/>
      <c r="K1176" s="200"/>
      <c r="L1176" s="200"/>
      <c r="M1176" s="200"/>
      <c r="N1176" s="200"/>
      <c r="O1176" s="200"/>
      <c r="P1176" s="359"/>
      <c r="Q1176" s="353"/>
      <c r="R1176" s="353"/>
      <c r="S1176" s="200"/>
      <c r="T1176" s="353"/>
      <c r="U1176" s="353"/>
      <c r="V1176" s="353"/>
      <c r="W1176" s="200"/>
      <c r="X1176" s="200"/>
      <c r="Y1176" s="200"/>
      <c r="Z1176" s="200"/>
      <c r="AA1176" s="200"/>
      <c r="AB1176" s="200"/>
      <c r="AC1176" s="200"/>
      <c r="AD1176" s="200"/>
      <c r="AE1176" s="200"/>
      <c r="AF1176" s="200"/>
      <c r="AG1176" s="200"/>
      <c r="AH1176" s="200"/>
      <c r="AI1176" s="200"/>
      <c r="AJ1176" s="200"/>
      <c r="AK1176" s="200"/>
      <c r="AL1176" s="200"/>
      <c r="AM1176" s="200"/>
      <c r="AN1176" s="200"/>
      <c r="AO1176" s="200"/>
      <c r="AP1176" s="200"/>
      <c r="AQ1176" s="200"/>
      <c r="AR1176" s="200"/>
      <c r="AS1176" s="200"/>
    </row>
    <row r="1177" spans="1:45" ht="16.5" customHeight="1">
      <c r="A1177" s="307"/>
      <c r="B1177" s="307"/>
      <c r="C1177" s="200"/>
      <c r="D1177" s="200"/>
      <c r="E1177" s="200"/>
      <c r="F1177" s="200"/>
      <c r="G1177" s="200"/>
      <c r="H1177" s="200"/>
      <c r="I1177" s="200"/>
      <c r="J1177" s="200"/>
      <c r="K1177" s="200"/>
      <c r="L1177" s="200"/>
      <c r="M1177" s="200"/>
      <c r="N1177" s="200"/>
      <c r="O1177" s="200"/>
      <c r="P1177" s="359"/>
      <c r="Q1177" s="353"/>
      <c r="R1177" s="353"/>
      <c r="S1177" s="200"/>
      <c r="T1177" s="353"/>
      <c r="U1177" s="353"/>
      <c r="V1177" s="353"/>
      <c r="W1177" s="200"/>
      <c r="X1177" s="200"/>
      <c r="Y1177" s="200"/>
      <c r="Z1177" s="200"/>
      <c r="AA1177" s="200"/>
      <c r="AB1177" s="200"/>
      <c r="AC1177" s="200"/>
      <c r="AD1177" s="200"/>
      <c r="AE1177" s="200"/>
      <c r="AF1177" s="200"/>
      <c r="AG1177" s="200"/>
      <c r="AH1177" s="200"/>
      <c r="AI1177" s="200"/>
      <c r="AJ1177" s="200"/>
      <c r="AK1177" s="200"/>
      <c r="AL1177" s="200"/>
      <c r="AM1177" s="200"/>
      <c r="AN1177" s="200"/>
      <c r="AO1177" s="200"/>
      <c r="AP1177" s="200"/>
      <c r="AQ1177" s="200"/>
      <c r="AR1177" s="200"/>
      <c r="AS1177" s="200"/>
    </row>
    <row r="1178" spans="1:45" ht="16.5" customHeight="1">
      <c r="A1178" s="307"/>
      <c r="B1178" s="307"/>
      <c r="C1178" s="200"/>
      <c r="D1178" s="200"/>
      <c r="E1178" s="200"/>
      <c r="F1178" s="200"/>
      <c r="G1178" s="200"/>
      <c r="H1178" s="200"/>
      <c r="I1178" s="200"/>
      <c r="J1178" s="200"/>
      <c r="K1178" s="200"/>
      <c r="L1178" s="200"/>
      <c r="M1178" s="200"/>
      <c r="N1178" s="200"/>
      <c r="O1178" s="200"/>
      <c r="P1178" s="359"/>
      <c r="Q1178" s="353"/>
      <c r="R1178" s="353"/>
      <c r="S1178" s="200"/>
      <c r="T1178" s="353"/>
      <c r="U1178" s="353"/>
      <c r="V1178" s="353"/>
      <c r="W1178" s="200"/>
      <c r="X1178" s="200"/>
      <c r="Y1178" s="200"/>
      <c r="Z1178" s="200"/>
      <c r="AA1178" s="200"/>
      <c r="AB1178" s="200"/>
      <c r="AC1178" s="200"/>
      <c r="AD1178" s="200"/>
      <c r="AE1178" s="200"/>
      <c r="AF1178" s="200"/>
      <c r="AG1178" s="200"/>
      <c r="AH1178" s="200"/>
      <c r="AI1178" s="200"/>
      <c r="AJ1178" s="200"/>
      <c r="AK1178" s="200"/>
      <c r="AL1178" s="200"/>
      <c r="AM1178" s="200"/>
      <c r="AN1178" s="200"/>
      <c r="AO1178" s="200"/>
      <c r="AP1178" s="200"/>
      <c r="AQ1178" s="200"/>
      <c r="AR1178" s="200"/>
      <c r="AS1178" s="200"/>
    </row>
    <row r="1179" spans="1:45" ht="16.5" customHeight="1">
      <c r="A1179" s="307"/>
      <c r="B1179" s="307"/>
      <c r="C1179" s="200"/>
      <c r="D1179" s="200"/>
      <c r="E1179" s="200"/>
      <c r="F1179" s="200"/>
      <c r="G1179" s="200"/>
      <c r="H1179" s="200"/>
      <c r="I1179" s="200"/>
      <c r="J1179" s="200"/>
      <c r="K1179" s="200"/>
      <c r="L1179" s="200"/>
      <c r="M1179" s="200"/>
      <c r="N1179" s="200"/>
      <c r="O1179" s="200"/>
      <c r="P1179" s="359"/>
      <c r="Q1179" s="353"/>
      <c r="R1179" s="353"/>
      <c r="S1179" s="200"/>
      <c r="T1179" s="353"/>
      <c r="U1179" s="353"/>
      <c r="V1179" s="353"/>
      <c r="W1179" s="200"/>
      <c r="X1179" s="200"/>
      <c r="Y1179" s="200"/>
      <c r="Z1179" s="200"/>
      <c r="AA1179" s="200"/>
      <c r="AB1179" s="200"/>
      <c r="AC1179" s="200"/>
      <c r="AD1179" s="200"/>
      <c r="AE1179" s="200"/>
      <c r="AF1179" s="200"/>
      <c r="AG1179" s="200"/>
      <c r="AH1179" s="200"/>
      <c r="AI1179" s="200"/>
      <c r="AJ1179" s="200"/>
      <c r="AK1179" s="200"/>
      <c r="AL1179" s="200"/>
      <c r="AM1179" s="200"/>
      <c r="AN1179" s="200"/>
      <c r="AO1179" s="200"/>
      <c r="AP1179" s="200"/>
      <c r="AQ1179" s="200"/>
      <c r="AR1179" s="200"/>
      <c r="AS1179" s="200"/>
    </row>
    <row r="1180" spans="1:45" ht="16.5" customHeight="1">
      <c r="A1180" s="307"/>
      <c r="B1180" s="307"/>
      <c r="C1180" s="200"/>
      <c r="D1180" s="200"/>
      <c r="E1180" s="200"/>
      <c r="F1180" s="200"/>
      <c r="G1180" s="200"/>
      <c r="H1180" s="200"/>
      <c r="I1180" s="200"/>
      <c r="J1180" s="200"/>
      <c r="K1180" s="200"/>
      <c r="L1180" s="200"/>
      <c r="M1180" s="200"/>
      <c r="N1180" s="200"/>
      <c r="O1180" s="200"/>
      <c r="P1180" s="359"/>
      <c r="Q1180" s="353"/>
      <c r="R1180" s="353"/>
      <c r="S1180" s="200"/>
      <c r="T1180" s="353"/>
      <c r="U1180" s="353"/>
      <c r="V1180" s="353"/>
      <c r="W1180" s="200"/>
      <c r="X1180" s="200"/>
      <c r="Y1180" s="200"/>
      <c r="Z1180" s="200"/>
      <c r="AA1180" s="200"/>
      <c r="AB1180" s="200"/>
      <c r="AC1180" s="200"/>
      <c r="AD1180" s="200"/>
      <c r="AE1180" s="200"/>
      <c r="AF1180" s="200"/>
      <c r="AG1180" s="200"/>
      <c r="AH1180" s="200"/>
      <c r="AI1180" s="200"/>
      <c r="AJ1180" s="200"/>
      <c r="AK1180" s="200"/>
      <c r="AL1180" s="200"/>
      <c r="AM1180" s="200"/>
      <c r="AN1180" s="200"/>
      <c r="AO1180" s="200"/>
      <c r="AP1180" s="200"/>
      <c r="AQ1180" s="200"/>
      <c r="AR1180" s="200"/>
      <c r="AS1180" s="200"/>
    </row>
    <row r="1181" spans="1:45" ht="16.5" customHeight="1">
      <c r="A1181" s="307"/>
      <c r="B1181" s="307"/>
      <c r="C1181" s="200"/>
      <c r="D1181" s="200"/>
      <c r="E1181" s="200"/>
      <c r="F1181" s="200"/>
      <c r="G1181" s="200"/>
      <c r="H1181" s="200"/>
      <c r="I1181" s="200"/>
      <c r="J1181" s="200"/>
      <c r="K1181" s="200"/>
      <c r="L1181" s="200"/>
      <c r="M1181" s="200"/>
      <c r="N1181" s="200"/>
      <c r="O1181" s="200"/>
      <c r="P1181" s="359"/>
      <c r="Q1181" s="353"/>
      <c r="R1181" s="353"/>
      <c r="S1181" s="200"/>
      <c r="T1181" s="353"/>
      <c r="U1181" s="353"/>
      <c r="V1181" s="353"/>
      <c r="W1181" s="200"/>
      <c r="X1181" s="200"/>
      <c r="Y1181" s="200"/>
      <c r="Z1181" s="200"/>
      <c r="AA1181" s="200"/>
      <c r="AB1181" s="200"/>
      <c r="AC1181" s="200"/>
      <c r="AD1181" s="200"/>
      <c r="AE1181" s="200"/>
      <c r="AF1181" s="200"/>
      <c r="AG1181" s="200"/>
      <c r="AH1181" s="200"/>
      <c r="AI1181" s="200"/>
      <c r="AJ1181" s="200"/>
      <c r="AK1181" s="200"/>
      <c r="AL1181" s="200"/>
      <c r="AM1181" s="200"/>
      <c r="AN1181" s="200"/>
      <c r="AO1181" s="200"/>
      <c r="AP1181" s="200"/>
      <c r="AQ1181" s="200"/>
      <c r="AR1181" s="200"/>
      <c r="AS1181" s="200"/>
    </row>
    <row r="1182" spans="1:45" ht="16.5" customHeight="1">
      <c r="A1182" s="307"/>
      <c r="B1182" s="307"/>
      <c r="C1182" s="200"/>
      <c r="D1182" s="200"/>
      <c r="E1182" s="200"/>
      <c r="F1182" s="200"/>
      <c r="G1182" s="200"/>
      <c r="H1182" s="200"/>
      <c r="I1182" s="200"/>
      <c r="J1182" s="200"/>
      <c r="K1182" s="200"/>
      <c r="L1182" s="200"/>
      <c r="M1182" s="200"/>
      <c r="N1182" s="200"/>
      <c r="O1182" s="200"/>
      <c r="P1182" s="359"/>
      <c r="Q1182" s="353"/>
      <c r="R1182" s="353"/>
      <c r="S1182" s="200"/>
      <c r="T1182" s="353"/>
      <c r="U1182" s="353"/>
      <c r="V1182" s="353"/>
      <c r="W1182" s="200"/>
      <c r="X1182" s="200"/>
      <c r="Y1182" s="200"/>
      <c r="Z1182" s="200"/>
      <c r="AA1182" s="200"/>
      <c r="AB1182" s="200"/>
      <c r="AC1182" s="200"/>
      <c r="AD1182" s="200"/>
      <c r="AE1182" s="200"/>
      <c r="AF1182" s="200"/>
      <c r="AG1182" s="200"/>
      <c r="AH1182" s="200"/>
      <c r="AI1182" s="200"/>
      <c r="AJ1182" s="200"/>
      <c r="AK1182" s="200"/>
      <c r="AL1182" s="200"/>
      <c r="AM1182" s="200"/>
      <c r="AN1182" s="200"/>
      <c r="AO1182" s="200"/>
      <c r="AP1182" s="200"/>
      <c r="AQ1182" s="200"/>
      <c r="AR1182" s="200"/>
      <c r="AS1182" s="200"/>
    </row>
    <row r="1183" spans="1:45" ht="16.5" customHeight="1">
      <c r="A1183" s="307"/>
      <c r="B1183" s="307"/>
      <c r="C1183" s="200"/>
      <c r="D1183" s="200"/>
      <c r="E1183" s="200"/>
      <c r="F1183" s="200"/>
      <c r="G1183" s="200"/>
      <c r="H1183" s="200"/>
      <c r="I1183" s="200"/>
      <c r="J1183" s="200"/>
      <c r="K1183" s="200"/>
      <c r="L1183" s="200"/>
      <c r="M1183" s="200"/>
      <c r="N1183" s="200"/>
      <c r="O1183" s="200"/>
      <c r="P1183" s="359"/>
      <c r="Q1183" s="353"/>
      <c r="R1183" s="353"/>
      <c r="S1183" s="200"/>
      <c r="T1183" s="353"/>
      <c r="U1183" s="353"/>
      <c r="V1183" s="353"/>
      <c r="W1183" s="200"/>
      <c r="X1183" s="200"/>
      <c r="Y1183" s="200"/>
      <c r="Z1183" s="200"/>
      <c r="AA1183" s="200"/>
      <c r="AB1183" s="200"/>
      <c r="AC1183" s="200"/>
      <c r="AD1183" s="200"/>
      <c r="AE1183" s="200"/>
      <c r="AF1183" s="200"/>
      <c r="AG1183" s="200"/>
      <c r="AH1183" s="200"/>
      <c r="AI1183" s="200"/>
      <c r="AJ1183" s="200"/>
      <c r="AK1183" s="200"/>
      <c r="AL1183" s="200"/>
      <c r="AM1183" s="200"/>
      <c r="AN1183" s="200"/>
      <c r="AO1183" s="200"/>
      <c r="AP1183" s="200"/>
      <c r="AQ1183" s="200"/>
      <c r="AR1183" s="200"/>
      <c r="AS1183" s="200"/>
    </row>
    <row r="1184" spans="1:45" ht="16.5" customHeight="1">
      <c r="A1184" s="307"/>
      <c r="B1184" s="307"/>
      <c r="C1184" s="200"/>
      <c r="D1184" s="200"/>
      <c r="E1184" s="200"/>
      <c r="F1184" s="200"/>
      <c r="G1184" s="200"/>
      <c r="H1184" s="200"/>
      <c r="I1184" s="200"/>
      <c r="J1184" s="200"/>
      <c r="K1184" s="200"/>
      <c r="L1184" s="200"/>
      <c r="M1184" s="200"/>
      <c r="N1184" s="200"/>
      <c r="O1184" s="200"/>
      <c r="P1184" s="359"/>
      <c r="Q1184" s="353"/>
      <c r="R1184" s="353"/>
      <c r="S1184" s="200"/>
      <c r="T1184" s="353"/>
      <c r="U1184" s="353"/>
      <c r="V1184" s="353"/>
      <c r="W1184" s="200"/>
      <c r="X1184" s="200"/>
      <c r="Y1184" s="200"/>
      <c r="Z1184" s="200"/>
      <c r="AA1184" s="200"/>
      <c r="AB1184" s="200"/>
      <c r="AC1184" s="200"/>
      <c r="AD1184" s="200"/>
      <c r="AE1184" s="200"/>
      <c r="AF1184" s="200"/>
      <c r="AG1184" s="200"/>
      <c r="AH1184" s="200"/>
      <c r="AI1184" s="200"/>
      <c r="AJ1184" s="200"/>
      <c r="AK1184" s="200"/>
      <c r="AL1184" s="200"/>
      <c r="AM1184" s="200"/>
      <c r="AN1184" s="200"/>
      <c r="AO1184" s="200"/>
      <c r="AP1184" s="200"/>
      <c r="AQ1184" s="200"/>
      <c r="AR1184" s="200"/>
      <c r="AS1184" s="200"/>
    </row>
    <row r="1185" spans="1:45" ht="16.5" customHeight="1">
      <c r="A1185" s="307"/>
      <c r="B1185" s="307"/>
      <c r="C1185" s="200"/>
      <c r="D1185" s="200"/>
      <c r="E1185" s="200"/>
      <c r="F1185" s="200"/>
      <c r="G1185" s="200"/>
      <c r="H1185" s="200"/>
      <c r="I1185" s="200"/>
      <c r="J1185" s="200"/>
      <c r="K1185" s="200"/>
      <c r="L1185" s="200"/>
      <c r="M1185" s="200"/>
      <c r="N1185" s="200"/>
      <c r="O1185" s="200"/>
      <c r="P1185" s="359"/>
      <c r="Q1185" s="353"/>
      <c r="R1185" s="353"/>
      <c r="S1185" s="200"/>
      <c r="T1185" s="353"/>
      <c r="U1185" s="353"/>
      <c r="V1185" s="353"/>
      <c r="W1185" s="200"/>
      <c r="X1185" s="200"/>
      <c r="Y1185" s="200"/>
      <c r="Z1185" s="200"/>
      <c r="AA1185" s="200"/>
      <c r="AB1185" s="200"/>
      <c r="AC1185" s="200"/>
      <c r="AD1185" s="200"/>
      <c r="AE1185" s="200"/>
      <c r="AF1185" s="200"/>
      <c r="AG1185" s="200"/>
      <c r="AH1185" s="200"/>
      <c r="AI1185" s="200"/>
      <c r="AJ1185" s="200"/>
      <c r="AK1185" s="200"/>
      <c r="AL1185" s="200"/>
      <c r="AM1185" s="200"/>
      <c r="AN1185" s="200"/>
      <c r="AO1185" s="200"/>
      <c r="AP1185" s="200"/>
      <c r="AQ1185" s="200"/>
      <c r="AR1185" s="200"/>
      <c r="AS1185" s="200"/>
    </row>
    <row r="1186" spans="1:45" ht="16.5" customHeight="1">
      <c r="A1186" s="307"/>
      <c r="B1186" s="307"/>
      <c r="C1186" s="200"/>
      <c r="D1186" s="200"/>
      <c r="E1186" s="200"/>
      <c r="F1186" s="200"/>
      <c r="G1186" s="200"/>
      <c r="H1186" s="200"/>
      <c r="I1186" s="200"/>
      <c r="J1186" s="200"/>
      <c r="K1186" s="200"/>
      <c r="L1186" s="200"/>
      <c r="M1186" s="200"/>
      <c r="N1186" s="200"/>
      <c r="O1186" s="200"/>
      <c r="P1186" s="359"/>
      <c r="Q1186" s="353"/>
      <c r="R1186" s="353"/>
      <c r="S1186" s="200"/>
      <c r="T1186" s="353"/>
      <c r="U1186" s="353"/>
      <c r="V1186" s="353"/>
      <c r="W1186" s="200"/>
      <c r="X1186" s="200"/>
      <c r="Y1186" s="200"/>
      <c r="Z1186" s="200"/>
      <c r="AA1186" s="200"/>
      <c r="AB1186" s="200"/>
      <c r="AC1186" s="200"/>
      <c r="AD1186" s="200"/>
      <c r="AE1186" s="200"/>
      <c r="AF1186" s="200"/>
      <c r="AG1186" s="200"/>
      <c r="AH1186" s="200"/>
      <c r="AI1186" s="200"/>
      <c r="AJ1186" s="200"/>
      <c r="AK1186" s="200"/>
      <c r="AL1186" s="200"/>
      <c r="AM1186" s="200"/>
      <c r="AN1186" s="200"/>
      <c r="AO1186" s="200"/>
      <c r="AP1186" s="200"/>
      <c r="AQ1186" s="200"/>
      <c r="AR1186" s="200"/>
      <c r="AS1186" s="200"/>
    </row>
    <row r="1187" spans="1:45" ht="16.5" customHeight="1">
      <c r="A1187" s="307"/>
      <c r="B1187" s="307"/>
      <c r="C1187" s="200"/>
      <c r="D1187" s="200"/>
      <c r="E1187" s="200"/>
      <c r="F1187" s="200"/>
      <c r="G1187" s="200"/>
      <c r="H1187" s="200"/>
      <c r="I1187" s="200"/>
      <c r="J1187" s="200"/>
      <c r="K1187" s="200"/>
      <c r="L1187" s="200"/>
      <c r="M1187" s="200"/>
      <c r="N1187" s="200"/>
      <c r="O1187" s="200"/>
      <c r="P1187" s="359"/>
      <c r="Q1187" s="353"/>
      <c r="R1187" s="353"/>
      <c r="S1187" s="200"/>
      <c r="T1187" s="353"/>
      <c r="U1187" s="353"/>
      <c r="V1187" s="353"/>
      <c r="W1187" s="200"/>
      <c r="X1187" s="200"/>
      <c r="Y1187" s="200"/>
      <c r="Z1187" s="200"/>
      <c r="AA1187" s="200"/>
      <c r="AB1187" s="200"/>
      <c r="AC1187" s="200"/>
      <c r="AD1187" s="200"/>
      <c r="AE1187" s="200"/>
      <c r="AF1187" s="200"/>
      <c r="AG1187" s="200"/>
      <c r="AH1187" s="200"/>
      <c r="AI1187" s="200"/>
      <c r="AJ1187" s="200"/>
      <c r="AK1187" s="200"/>
      <c r="AL1187" s="200"/>
      <c r="AM1187" s="200"/>
      <c r="AN1187" s="200"/>
      <c r="AO1187" s="200"/>
      <c r="AP1187" s="200"/>
      <c r="AQ1187" s="200"/>
      <c r="AR1187" s="200"/>
      <c r="AS1187" s="200"/>
    </row>
    <row r="1188" spans="1:45" ht="16.5" customHeight="1">
      <c r="A1188" s="307"/>
      <c r="B1188" s="307"/>
      <c r="C1188" s="200"/>
      <c r="D1188" s="200"/>
      <c r="E1188" s="200"/>
      <c r="F1188" s="200"/>
      <c r="G1188" s="200"/>
      <c r="H1188" s="200"/>
      <c r="I1188" s="200"/>
      <c r="J1188" s="200"/>
      <c r="K1188" s="200"/>
      <c r="L1188" s="200"/>
      <c r="M1188" s="200"/>
      <c r="N1188" s="200"/>
      <c r="O1188" s="200"/>
      <c r="P1188" s="359"/>
      <c r="Q1188" s="353"/>
      <c r="R1188" s="353"/>
      <c r="S1188" s="200"/>
      <c r="T1188" s="353"/>
      <c r="U1188" s="353"/>
      <c r="V1188" s="353"/>
      <c r="W1188" s="200"/>
      <c r="X1188" s="200"/>
      <c r="Y1188" s="200"/>
      <c r="Z1188" s="200"/>
      <c r="AA1188" s="200"/>
      <c r="AB1188" s="200"/>
      <c r="AC1188" s="200"/>
      <c r="AD1188" s="200"/>
      <c r="AE1188" s="200"/>
      <c r="AF1188" s="200"/>
      <c r="AG1188" s="200"/>
      <c r="AH1188" s="200"/>
      <c r="AI1188" s="200"/>
      <c r="AJ1188" s="200"/>
      <c r="AK1188" s="200"/>
      <c r="AL1188" s="200"/>
      <c r="AM1188" s="200"/>
      <c r="AN1188" s="200"/>
      <c r="AO1188" s="200"/>
      <c r="AP1188" s="200"/>
      <c r="AQ1188" s="200"/>
      <c r="AR1188" s="200"/>
      <c r="AS1188" s="200"/>
    </row>
    <row r="1189" spans="1:45" ht="16.5" customHeight="1">
      <c r="A1189" s="307"/>
      <c r="B1189" s="307"/>
      <c r="C1189" s="200"/>
      <c r="D1189" s="200"/>
      <c r="E1189" s="200"/>
      <c r="F1189" s="200"/>
      <c r="G1189" s="200"/>
      <c r="H1189" s="200"/>
      <c r="I1189" s="200"/>
      <c r="J1189" s="200"/>
      <c r="K1189" s="200"/>
      <c r="L1189" s="200"/>
      <c r="M1189" s="200"/>
      <c r="N1189" s="200"/>
      <c r="O1189" s="200"/>
      <c r="P1189" s="359"/>
      <c r="Q1189" s="353"/>
      <c r="R1189" s="353"/>
      <c r="S1189" s="200"/>
      <c r="T1189" s="353"/>
      <c r="U1189" s="353"/>
      <c r="V1189" s="353"/>
      <c r="W1189" s="200"/>
      <c r="X1189" s="200"/>
      <c r="Y1189" s="200"/>
      <c r="Z1189" s="200"/>
      <c r="AA1189" s="200"/>
      <c r="AB1189" s="200"/>
      <c r="AC1189" s="200"/>
      <c r="AD1189" s="200"/>
      <c r="AE1189" s="200"/>
      <c r="AF1189" s="200"/>
      <c r="AG1189" s="200"/>
      <c r="AH1189" s="200"/>
      <c r="AI1189" s="200"/>
      <c r="AJ1189" s="200"/>
      <c r="AK1189" s="200"/>
      <c r="AL1189" s="200"/>
      <c r="AM1189" s="200"/>
      <c r="AN1189" s="200"/>
      <c r="AO1189" s="200"/>
      <c r="AP1189" s="200"/>
      <c r="AQ1189" s="200"/>
      <c r="AR1189" s="200"/>
      <c r="AS1189" s="200"/>
    </row>
    <row r="1190" spans="1:45" ht="16.5" customHeight="1">
      <c r="A1190" s="307"/>
      <c r="B1190" s="307"/>
      <c r="C1190" s="200"/>
      <c r="D1190" s="200"/>
      <c r="E1190" s="200"/>
      <c r="F1190" s="200"/>
      <c r="G1190" s="200"/>
      <c r="H1190" s="200"/>
      <c r="I1190" s="200"/>
      <c r="J1190" s="200"/>
      <c r="K1190" s="200"/>
      <c r="L1190" s="200"/>
      <c r="M1190" s="200"/>
      <c r="N1190" s="200"/>
      <c r="O1190" s="200"/>
      <c r="P1190" s="359"/>
      <c r="Q1190" s="353"/>
      <c r="R1190" s="353"/>
      <c r="S1190" s="200"/>
      <c r="T1190" s="353"/>
      <c r="U1190" s="353"/>
      <c r="V1190" s="353"/>
      <c r="W1190" s="200"/>
      <c r="X1190" s="200"/>
      <c r="Y1190" s="200"/>
      <c r="Z1190" s="200"/>
      <c r="AA1190" s="200"/>
      <c r="AB1190" s="200"/>
      <c r="AC1190" s="200"/>
      <c r="AD1190" s="200"/>
      <c r="AE1190" s="200"/>
      <c r="AF1190" s="200"/>
      <c r="AG1190" s="200"/>
      <c r="AH1190" s="200"/>
      <c r="AI1190" s="200"/>
      <c r="AJ1190" s="200"/>
      <c r="AK1190" s="200"/>
      <c r="AL1190" s="200"/>
      <c r="AM1190" s="200"/>
      <c r="AN1190" s="200"/>
      <c r="AO1190" s="200"/>
      <c r="AP1190" s="200"/>
      <c r="AQ1190" s="200"/>
      <c r="AR1190" s="200"/>
      <c r="AS1190" s="200"/>
    </row>
    <row r="1191" spans="1:45" ht="16.5" customHeight="1">
      <c r="A1191" s="307"/>
      <c r="B1191" s="307"/>
      <c r="C1191" s="200"/>
      <c r="D1191" s="200"/>
      <c r="E1191" s="200"/>
      <c r="F1191" s="200"/>
      <c r="G1191" s="200"/>
      <c r="H1191" s="200"/>
      <c r="I1191" s="200"/>
      <c r="J1191" s="200"/>
      <c r="K1191" s="200"/>
      <c r="L1191" s="200"/>
      <c r="M1191" s="200"/>
      <c r="N1191" s="200"/>
      <c r="O1191" s="200"/>
      <c r="P1191" s="359"/>
      <c r="Q1191" s="353"/>
      <c r="R1191" s="353"/>
      <c r="S1191" s="200"/>
      <c r="T1191" s="353"/>
      <c r="U1191" s="353"/>
      <c r="V1191" s="353"/>
      <c r="W1191" s="200"/>
      <c r="X1191" s="200"/>
      <c r="Y1191" s="200"/>
      <c r="Z1191" s="200"/>
      <c r="AA1191" s="200"/>
      <c r="AB1191" s="200"/>
      <c r="AC1191" s="200"/>
      <c r="AD1191" s="200"/>
      <c r="AE1191" s="200"/>
      <c r="AF1191" s="200"/>
      <c r="AG1191" s="200"/>
      <c r="AH1191" s="200"/>
      <c r="AI1191" s="200"/>
      <c r="AJ1191" s="200"/>
      <c r="AK1191" s="200"/>
      <c r="AL1191" s="200"/>
      <c r="AM1191" s="200"/>
      <c r="AN1191" s="200"/>
      <c r="AO1191" s="200"/>
      <c r="AP1191" s="200"/>
      <c r="AQ1191" s="200"/>
      <c r="AR1191" s="200"/>
      <c r="AS1191" s="200"/>
    </row>
    <row r="1192" spans="1:45" ht="16.5" customHeight="1">
      <c r="A1192" s="307"/>
      <c r="B1192" s="307"/>
      <c r="C1192" s="200"/>
      <c r="D1192" s="200"/>
      <c r="E1192" s="200"/>
      <c r="F1192" s="200"/>
      <c r="G1192" s="200"/>
      <c r="H1192" s="200"/>
      <c r="I1192" s="200"/>
      <c r="J1192" s="200"/>
      <c r="K1192" s="200"/>
      <c r="L1192" s="200"/>
      <c r="M1192" s="200"/>
      <c r="N1192" s="200"/>
      <c r="O1192" s="200"/>
      <c r="P1192" s="359"/>
      <c r="Q1192" s="353"/>
      <c r="R1192" s="353"/>
      <c r="S1192" s="200"/>
      <c r="T1192" s="353"/>
      <c r="U1192" s="353"/>
      <c r="V1192" s="353"/>
      <c r="W1192" s="200"/>
      <c r="X1192" s="200"/>
      <c r="Y1192" s="200"/>
      <c r="Z1192" s="200"/>
      <c r="AA1192" s="200"/>
      <c r="AB1192" s="200"/>
      <c r="AC1192" s="200"/>
      <c r="AD1192" s="200"/>
      <c r="AE1192" s="200"/>
      <c r="AF1192" s="200"/>
      <c r="AG1192" s="200"/>
      <c r="AH1192" s="200"/>
      <c r="AI1192" s="200"/>
      <c r="AJ1192" s="200"/>
      <c r="AK1192" s="200"/>
      <c r="AL1192" s="200"/>
      <c r="AM1192" s="200"/>
      <c r="AN1192" s="200"/>
      <c r="AO1192" s="200"/>
      <c r="AP1192" s="200"/>
      <c r="AQ1192" s="200"/>
      <c r="AR1192" s="200"/>
      <c r="AS1192" s="200"/>
    </row>
    <row r="1193" spans="1:45" ht="16.5" customHeight="1">
      <c r="A1193" s="307"/>
      <c r="B1193" s="307"/>
      <c r="C1193" s="200"/>
      <c r="D1193" s="200"/>
      <c r="E1193" s="200"/>
      <c r="F1193" s="200"/>
      <c r="G1193" s="200"/>
      <c r="H1193" s="200"/>
      <c r="I1193" s="200"/>
      <c r="J1193" s="200"/>
      <c r="K1193" s="200"/>
      <c r="L1193" s="200"/>
      <c r="M1193" s="200"/>
      <c r="N1193" s="200"/>
      <c r="O1193" s="200"/>
      <c r="P1193" s="359"/>
      <c r="Q1193" s="353"/>
      <c r="R1193" s="353"/>
      <c r="S1193" s="200"/>
      <c r="T1193" s="353"/>
      <c r="U1193" s="353"/>
      <c r="V1193" s="353"/>
      <c r="W1193" s="200"/>
      <c r="X1193" s="200"/>
      <c r="Y1193" s="200"/>
      <c r="Z1193" s="200"/>
      <c r="AA1193" s="200"/>
      <c r="AB1193" s="200"/>
      <c r="AC1193" s="200"/>
      <c r="AD1193" s="200"/>
      <c r="AE1193" s="200"/>
      <c r="AF1193" s="200"/>
      <c r="AG1193" s="200"/>
      <c r="AH1193" s="200"/>
      <c r="AI1193" s="200"/>
      <c r="AJ1193" s="200"/>
      <c r="AK1193" s="200"/>
      <c r="AL1193" s="200"/>
      <c r="AM1193" s="200"/>
      <c r="AN1193" s="200"/>
      <c r="AO1193" s="200"/>
      <c r="AP1193" s="200"/>
      <c r="AQ1193" s="200"/>
      <c r="AR1193" s="200"/>
      <c r="AS1193" s="200"/>
    </row>
    <row r="1194" spans="1:45" ht="16.5" customHeight="1">
      <c r="A1194" s="307"/>
      <c r="B1194" s="307"/>
      <c r="C1194" s="200"/>
      <c r="D1194" s="200"/>
      <c r="E1194" s="200"/>
      <c r="F1194" s="200"/>
      <c r="G1194" s="200"/>
      <c r="H1194" s="200"/>
      <c r="I1194" s="200"/>
      <c r="J1194" s="200"/>
      <c r="K1194" s="200"/>
      <c r="L1194" s="200"/>
      <c r="M1194" s="200"/>
      <c r="N1194" s="200"/>
      <c r="O1194" s="200"/>
      <c r="P1194" s="359"/>
      <c r="Q1194" s="353"/>
      <c r="R1194" s="353"/>
      <c r="S1194" s="200"/>
      <c r="T1194" s="353"/>
      <c r="U1194" s="353"/>
      <c r="V1194" s="353"/>
      <c r="W1194" s="200"/>
      <c r="X1194" s="200"/>
      <c r="Y1194" s="200"/>
      <c r="Z1194" s="200"/>
      <c r="AA1194" s="200"/>
      <c r="AB1194" s="200"/>
      <c r="AC1194" s="200"/>
      <c r="AD1194" s="200"/>
      <c r="AE1194" s="200"/>
      <c r="AF1194" s="200"/>
      <c r="AG1194" s="200"/>
      <c r="AH1194" s="200"/>
      <c r="AI1194" s="200"/>
      <c r="AJ1194" s="200"/>
      <c r="AK1194" s="200"/>
      <c r="AL1194" s="200"/>
      <c r="AM1194" s="200"/>
      <c r="AN1194" s="200"/>
      <c r="AO1194" s="200"/>
      <c r="AP1194" s="200"/>
      <c r="AQ1194" s="200"/>
      <c r="AR1194" s="200"/>
      <c r="AS1194" s="200"/>
    </row>
    <row r="1195" spans="1:45" ht="16.5" customHeight="1">
      <c r="A1195" s="307"/>
      <c r="B1195" s="307"/>
      <c r="C1195" s="200"/>
      <c r="D1195" s="200"/>
      <c r="E1195" s="200"/>
      <c r="F1195" s="200"/>
      <c r="G1195" s="200"/>
      <c r="H1195" s="200"/>
      <c r="I1195" s="200"/>
      <c r="J1195" s="200"/>
      <c r="K1195" s="200"/>
      <c r="L1195" s="200"/>
      <c r="M1195" s="200"/>
      <c r="N1195" s="200"/>
      <c r="O1195" s="200"/>
      <c r="P1195" s="359"/>
      <c r="Q1195" s="353"/>
      <c r="R1195" s="353"/>
      <c r="S1195" s="200"/>
      <c r="T1195" s="353"/>
      <c r="U1195" s="353"/>
      <c r="V1195" s="353"/>
      <c r="W1195" s="200"/>
      <c r="X1195" s="200"/>
      <c r="Y1195" s="200"/>
      <c r="Z1195" s="200"/>
      <c r="AA1195" s="200"/>
      <c r="AB1195" s="200"/>
      <c r="AC1195" s="200"/>
      <c r="AD1195" s="200"/>
      <c r="AE1195" s="200"/>
      <c r="AF1195" s="200"/>
      <c r="AG1195" s="200"/>
      <c r="AH1195" s="200"/>
      <c r="AI1195" s="200"/>
      <c r="AJ1195" s="200"/>
      <c r="AK1195" s="200"/>
      <c r="AL1195" s="200"/>
      <c r="AM1195" s="200"/>
      <c r="AN1195" s="200"/>
      <c r="AO1195" s="200"/>
      <c r="AP1195" s="200"/>
      <c r="AQ1195" s="200"/>
      <c r="AR1195" s="200"/>
      <c r="AS1195" s="200"/>
    </row>
    <row r="1196" spans="1:45" ht="16.5" customHeight="1">
      <c r="A1196" s="307"/>
      <c r="B1196" s="307"/>
      <c r="C1196" s="200"/>
      <c r="D1196" s="200"/>
      <c r="E1196" s="200"/>
      <c r="F1196" s="200"/>
      <c r="G1196" s="200"/>
      <c r="H1196" s="200"/>
      <c r="I1196" s="200"/>
      <c r="J1196" s="200"/>
      <c r="K1196" s="200"/>
      <c r="L1196" s="200"/>
      <c r="M1196" s="200"/>
      <c r="N1196" s="200"/>
      <c r="O1196" s="200"/>
      <c r="P1196" s="359"/>
      <c r="Q1196" s="353"/>
      <c r="R1196" s="353"/>
      <c r="S1196" s="200"/>
      <c r="T1196" s="353"/>
      <c r="U1196" s="353"/>
      <c r="V1196" s="353"/>
      <c r="W1196" s="200"/>
      <c r="X1196" s="200"/>
      <c r="Y1196" s="200"/>
      <c r="Z1196" s="200"/>
      <c r="AA1196" s="200"/>
      <c r="AB1196" s="200"/>
      <c r="AC1196" s="200"/>
      <c r="AD1196" s="200"/>
      <c r="AE1196" s="200"/>
      <c r="AF1196" s="200"/>
      <c r="AG1196" s="200"/>
      <c r="AH1196" s="200"/>
      <c r="AI1196" s="200"/>
      <c r="AJ1196" s="200"/>
      <c r="AK1196" s="200"/>
      <c r="AL1196" s="200"/>
      <c r="AM1196" s="200"/>
      <c r="AN1196" s="200"/>
      <c r="AO1196" s="200"/>
      <c r="AP1196" s="200"/>
      <c r="AQ1196" s="200"/>
      <c r="AR1196" s="200"/>
      <c r="AS1196" s="200"/>
    </row>
    <row r="1197" spans="1:45" ht="16.5" customHeight="1">
      <c r="A1197" s="307"/>
      <c r="B1197" s="307"/>
      <c r="C1197" s="200"/>
      <c r="D1197" s="200"/>
      <c r="E1197" s="200"/>
      <c r="F1197" s="200"/>
      <c r="G1197" s="200"/>
      <c r="H1197" s="200"/>
      <c r="I1197" s="200"/>
      <c r="J1197" s="200"/>
      <c r="K1197" s="200"/>
      <c r="L1197" s="200"/>
      <c r="M1197" s="200"/>
      <c r="N1197" s="200"/>
      <c r="O1197" s="200"/>
      <c r="P1197" s="359"/>
      <c r="Q1197" s="353"/>
      <c r="R1197" s="353"/>
      <c r="S1197" s="200"/>
      <c r="T1197" s="353"/>
      <c r="U1197" s="353"/>
      <c r="V1197" s="353"/>
      <c r="W1197" s="200"/>
      <c r="X1197" s="200"/>
      <c r="Y1197" s="200"/>
      <c r="Z1197" s="200"/>
      <c r="AA1197" s="200"/>
      <c r="AB1197" s="200"/>
      <c r="AC1197" s="200"/>
      <c r="AD1197" s="200"/>
      <c r="AE1197" s="200"/>
      <c r="AF1197" s="200"/>
      <c r="AG1197" s="200"/>
      <c r="AH1197" s="200"/>
      <c r="AI1197" s="200"/>
      <c r="AJ1197" s="200"/>
      <c r="AK1197" s="200"/>
      <c r="AL1197" s="200"/>
      <c r="AM1197" s="200"/>
      <c r="AN1197" s="200"/>
      <c r="AO1197" s="200"/>
      <c r="AP1197" s="200"/>
      <c r="AQ1197" s="200"/>
      <c r="AR1197" s="200"/>
      <c r="AS1197" s="200"/>
    </row>
    <row r="1198" spans="1:45" ht="16.5" customHeight="1">
      <c r="A1198" s="307"/>
      <c r="B1198" s="307"/>
      <c r="C1198" s="200"/>
      <c r="D1198" s="200"/>
      <c r="E1198" s="200"/>
      <c r="F1198" s="200"/>
      <c r="G1198" s="200"/>
      <c r="H1198" s="200"/>
      <c r="I1198" s="200"/>
      <c r="J1198" s="200"/>
      <c r="K1198" s="200"/>
      <c r="L1198" s="200"/>
      <c r="M1198" s="200"/>
      <c r="N1198" s="200"/>
      <c r="O1198" s="200"/>
      <c r="P1198" s="359"/>
      <c r="Q1198" s="353"/>
      <c r="R1198" s="353"/>
      <c r="S1198" s="200"/>
      <c r="T1198" s="353"/>
      <c r="U1198" s="353"/>
      <c r="V1198" s="353"/>
      <c r="W1198" s="200"/>
      <c r="X1198" s="200"/>
      <c r="Y1198" s="200"/>
      <c r="Z1198" s="200"/>
      <c r="AA1198" s="200"/>
      <c r="AB1198" s="200"/>
      <c r="AC1198" s="200"/>
      <c r="AD1198" s="200"/>
      <c r="AE1198" s="200"/>
      <c r="AF1198" s="200"/>
      <c r="AG1198" s="200"/>
      <c r="AH1198" s="200"/>
      <c r="AI1198" s="200"/>
      <c r="AJ1198" s="200"/>
      <c r="AK1198" s="200"/>
      <c r="AL1198" s="200"/>
      <c r="AM1198" s="200"/>
      <c r="AN1198" s="200"/>
      <c r="AO1198" s="200"/>
      <c r="AP1198" s="200"/>
      <c r="AQ1198" s="200"/>
      <c r="AR1198" s="200"/>
      <c r="AS1198" s="200"/>
    </row>
    <row r="1199" spans="1:45" ht="16.5" customHeight="1">
      <c r="A1199" s="307"/>
      <c r="B1199" s="307"/>
      <c r="C1199" s="200"/>
      <c r="D1199" s="200"/>
      <c r="E1199" s="200"/>
      <c r="F1199" s="200"/>
      <c r="G1199" s="200"/>
      <c r="H1199" s="200"/>
      <c r="I1199" s="200"/>
      <c r="J1199" s="200"/>
      <c r="K1199" s="200"/>
      <c r="L1199" s="200"/>
      <c r="M1199" s="200"/>
      <c r="N1199" s="200"/>
      <c r="O1199" s="200"/>
      <c r="P1199" s="359"/>
      <c r="Q1199" s="353"/>
      <c r="R1199" s="353"/>
      <c r="S1199" s="200"/>
      <c r="T1199" s="353"/>
      <c r="U1199" s="353"/>
      <c r="V1199" s="353"/>
      <c r="W1199" s="200"/>
      <c r="X1199" s="200"/>
      <c r="Y1199" s="200"/>
      <c r="Z1199" s="200"/>
      <c r="AA1199" s="200"/>
      <c r="AB1199" s="200"/>
      <c r="AC1199" s="200"/>
      <c r="AD1199" s="200"/>
      <c r="AE1199" s="200"/>
      <c r="AF1199" s="200"/>
      <c r="AG1199" s="200"/>
      <c r="AH1199" s="200"/>
      <c r="AI1199" s="200"/>
      <c r="AJ1199" s="200"/>
      <c r="AK1199" s="200"/>
      <c r="AL1199" s="200"/>
      <c r="AM1199" s="200"/>
      <c r="AN1199" s="200"/>
      <c r="AO1199" s="200"/>
      <c r="AP1199" s="200"/>
      <c r="AQ1199" s="200"/>
      <c r="AR1199" s="200"/>
      <c r="AS1199" s="200"/>
    </row>
    <row r="1200" spans="1:45" ht="16.5" customHeight="1">
      <c r="A1200" s="307"/>
      <c r="B1200" s="307"/>
      <c r="C1200" s="200"/>
      <c r="D1200" s="200"/>
      <c r="E1200" s="200"/>
      <c r="F1200" s="200"/>
      <c r="G1200" s="200"/>
      <c r="H1200" s="200"/>
      <c r="I1200" s="200"/>
      <c r="J1200" s="200"/>
      <c r="K1200" s="200"/>
      <c r="L1200" s="200"/>
      <c r="M1200" s="200"/>
      <c r="N1200" s="200"/>
      <c r="O1200" s="200"/>
      <c r="P1200" s="359"/>
      <c r="Q1200" s="353"/>
      <c r="R1200" s="353"/>
      <c r="S1200" s="200"/>
      <c r="T1200" s="353"/>
      <c r="U1200" s="353"/>
      <c r="V1200" s="353"/>
      <c r="W1200" s="200"/>
      <c r="X1200" s="200"/>
      <c r="Y1200" s="200"/>
      <c r="Z1200" s="200"/>
      <c r="AA1200" s="200"/>
      <c r="AB1200" s="200"/>
      <c r="AC1200" s="200"/>
      <c r="AD1200" s="200"/>
      <c r="AE1200" s="200"/>
      <c r="AF1200" s="200"/>
      <c r="AG1200" s="200"/>
      <c r="AH1200" s="200"/>
      <c r="AI1200" s="200"/>
      <c r="AJ1200" s="200"/>
      <c r="AK1200" s="200"/>
      <c r="AL1200" s="200"/>
      <c r="AM1200" s="200"/>
      <c r="AN1200" s="200"/>
      <c r="AO1200" s="200"/>
      <c r="AP1200" s="200"/>
      <c r="AQ1200" s="200"/>
      <c r="AR1200" s="200"/>
      <c r="AS1200" s="200"/>
    </row>
    <row r="1201" spans="1:45" ht="16.5" customHeight="1">
      <c r="A1201" s="307"/>
      <c r="B1201" s="307"/>
      <c r="C1201" s="200"/>
      <c r="D1201" s="200"/>
      <c r="E1201" s="200"/>
      <c r="F1201" s="200"/>
      <c r="G1201" s="200"/>
      <c r="H1201" s="200"/>
      <c r="I1201" s="200"/>
      <c r="J1201" s="200"/>
      <c r="K1201" s="200"/>
      <c r="L1201" s="200"/>
      <c r="M1201" s="200"/>
      <c r="N1201" s="200"/>
      <c r="O1201" s="200"/>
      <c r="P1201" s="359"/>
      <c r="Q1201" s="353"/>
      <c r="R1201" s="353"/>
      <c r="S1201" s="200"/>
      <c r="T1201" s="353"/>
      <c r="U1201" s="353"/>
      <c r="V1201" s="353"/>
      <c r="W1201" s="200"/>
      <c r="X1201" s="200"/>
      <c r="Y1201" s="200"/>
      <c r="Z1201" s="200"/>
      <c r="AA1201" s="200"/>
      <c r="AB1201" s="200"/>
      <c r="AC1201" s="200"/>
      <c r="AD1201" s="200"/>
      <c r="AE1201" s="200"/>
      <c r="AF1201" s="200"/>
      <c r="AG1201" s="200"/>
      <c r="AH1201" s="200"/>
      <c r="AI1201" s="200"/>
      <c r="AJ1201" s="200"/>
      <c r="AK1201" s="200"/>
      <c r="AL1201" s="200"/>
      <c r="AM1201" s="200"/>
      <c r="AN1201" s="200"/>
      <c r="AO1201" s="200"/>
      <c r="AP1201" s="200"/>
      <c r="AQ1201" s="200"/>
      <c r="AR1201" s="200"/>
      <c r="AS1201" s="200"/>
    </row>
    <row r="1202" spans="1:45" ht="16.5" customHeight="1">
      <c r="A1202" s="307"/>
      <c r="B1202" s="307"/>
      <c r="C1202" s="200"/>
      <c r="D1202" s="200"/>
      <c r="E1202" s="200"/>
      <c r="F1202" s="200"/>
      <c r="G1202" s="200"/>
      <c r="H1202" s="200"/>
      <c r="I1202" s="200"/>
      <c r="J1202" s="200"/>
      <c r="K1202" s="200"/>
      <c r="L1202" s="200"/>
      <c r="M1202" s="200"/>
      <c r="N1202" s="200"/>
      <c r="O1202" s="200"/>
      <c r="P1202" s="359"/>
      <c r="Q1202" s="353"/>
      <c r="R1202" s="353"/>
      <c r="S1202" s="200"/>
      <c r="T1202" s="353"/>
      <c r="U1202" s="353"/>
      <c r="V1202" s="353"/>
      <c r="W1202" s="200"/>
      <c r="X1202" s="200"/>
      <c r="Y1202" s="200"/>
      <c r="Z1202" s="200"/>
      <c r="AA1202" s="200"/>
      <c r="AB1202" s="200"/>
      <c r="AC1202" s="200"/>
      <c r="AD1202" s="200"/>
      <c r="AE1202" s="200"/>
      <c r="AF1202" s="200"/>
      <c r="AG1202" s="200"/>
      <c r="AH1202" s="200"/>
      <c r="AI1202" s="200"/>
      <c r="AJ1202" s="200"/>
      <c r="AK1202" s="200"/>
      <c r="AL1202" s="200"/>
      <c r="AM1202" s="200"/>
      <c r="AN1202" s="200"/>
      <c r="AO1202" s="200"/>
      <c r="AP1202" s="200"/>
      <c r="AQ1202" s="200"/>
      <c r="AR1202" s="200"/>
      <c r="AS1202" s="200"/>
    </row>
    <row r="1203" spans="1:45" ht="16.5" customHeight="1">
      <c r="A1203" s="307"/>
      <c r="B1203" s="307"/>
      <c r="C1203" s="200"/>
      <c r="D1203" s="200"/>
      <c r="E1203" s="200"/>
      <c r="F1203" s="200"/>
      <c r="G1203" s="200"/>
      <c r="H1203" s="200"/>
      <c r="I1203" s="200"/>
      <c r="J1203" s="200"/>
      <c r="K1203" s="200"/>
      <c r="L1203" s="200"/>
      <c r="M1203" s="200"/>
      <c r="N1203" s="200"/>
      <c r="O1203" s="200"/>
      <c r="P1203" s="359"/>
      <c r="Q1203" s="353"/>
      <c r="R1203" s="353"/>
      <c r="S1203" s="200"/>
      <c r="T1203" s="353"/>
      <c r="U1203" s="353"/>
      <c r="V1203" s="353"/>
      <c r="W1203" s="200"/>
      <c r="X1203" s="200"/>
      <c r="Y1203" s="200"/>
      <c r="Z1203" s="200"/>
      <c r="AA1203" s="200"/>
      <c r="AB1203" s="200"/>
      <c r="AC1203" s="200"/>
      <c r="AD1203" s="200"/>
      <c r="AE1203" s="200"/>
      <c r="AF1203" s="200"/>
      <c r="AG1203" s="200"/>
      <c r="AH1203" s="200"/>
      <c r="AI1203" s="200"/>
      <c r="AJ1203" s="200"/>
      <c r="AK1203" s="200"/>
      <c r="AL1203" s="200"/>
      <c r="AM1203" s="200"/>
      <c r="AN1203" s="200"/>
      <c r="AO1203" s="200"/>
      <c r="AP1203" s="200"/>
      <c r="AQ1203" s="200"/>
      <c r="AR1203" s="200"/>
      <c r="AS1203" s="200"/>
    </row>
    <row r="1204" spans="1:45" ht="16.5" customHeight="1">
      <c r="A1204" s="307"/>
      <c r="B1204" s="307"/>
      <c r="C1204" s="200"/>
      <c r="D1204" s="200"/>
      <c r="E1204" s="200"/>
      <c r="F1204" s="200"/>
      <c r="G1204" s="200"/>
      <c r="H1204" s="200"/>
      <c r="I1204" s="200"/>
      <c r="J1204" s="200"/>
      <c r="K1204" s="200"/>
      <c r="L1204" s="200"/>
      <c r="M1204" s="200"/>
      <c r="N1204" s="200"/>
      <c r="O1204" s="200"/>
      <c r="P1204" s="359"/>
      <c r="Q1204" s="353"/>
      <c r="R1204" s="353"/>
      <c r="S1204" s="200"/>
      <c r="T1204" s="353"/>
      <c r="U1204" s="353"/>
      <c r="V1204" s="353"/>
      <c r="W1204" s="200"/>
      <c r="X1204" s="200"/>
      <c r="Y1204" s="200"/>
      <c r="Z1204" s="200"/>
      <c r="AA1204" s="200"/>
      <c r="AB1204" s="200"/>
      <c r="AC1204" s="200"/>
      <c r="AD1204" s="200"/>
      <c r="AE1204" s="200"/>
      <c r="AF1204" s="200"/>
      <c r="AG1204" s="200"/>
      <c r="AH1204" s="200"/>
      <c r="AI1204" s="200"/>
      <c r="AJ1204" s="200"/>
      <c r="AK1204" s="200"/>
      <c r="AL1204" s="200"/>
      <c r="AM1204" s="200"/>
      <c r="AN1204" s="200"/>
      <c r="AO1204" s="200"/>
      <c r="AP1204" s="200"/>
      <c r="AQ1204" s="200"/>
      <c r="AR1204" s="200"/>
      <c r="AS1204" s="200"/>
    </row>
    <row r="1205" spans="1:45" ht="16.5" customHeight="1">
      <c r="A1205" s="307"/>
      <c r="B1205" s="307"/>
      <c r="C1205" s="200"/>
      <c r="D1205" s="200"/>
      <c r="E1205" s="200"/>
      <c r="F1205" s="200"/>
      <c r="G1205" s="200"/>
      <c r="H1205" s="200"/>
      <c r="I1205" s="200"/>
      <c r="J1205" s="200"/>
      <c r="K1205" s="200"/>
      <c r="L1205" s="200"/>
      <c r="M1205" s="200"/>
      <c r="N1205" s="200"/>
      <c r="O1205" s="200"/>
      <c r="P1205" s="359"/>
      <c r="Q1205" s="353"/>
      <c r="R1205" s="353"/>
      <c r="S1205" s="200"/>
      <c r="T1205" s="353"/>
      <c r="U1205" s="353"/>
      <c r="V1205" s="353"/>
      <c r="W1205" s="200"/>
      <c r="X1205" s="200"/>
      <c r="Y1205" s="200"/>
      <c r="Z1205" s="200"/>
      <c r="AA1205" s="200"/>
      <c r="AB1205" s="200"/>
      <c r="AC1205" s="200"/>
      <c r="AD1205" s="200"/>
      <c r="AE1205" s="200"/>
      <c r="AF1205" s="200"/>
      <c r="AG1205" s="200"/>
      <c r="AH1205" s="200"/>
      <c r="AI1205" s="200"/>
      <c r="AJ1205" s="200"/>
      <c r="AK1205" s="200"/>
      <c r="AL1205" s="200"/>
      <c r="AM1205" s="200"/>
      <c r="AN1205" s="200"/>
      <c r="AO1205" s="200"/>
      <c r="AP1205" s="200"/>
      <c r="AQ1205" s="200"/>
      <c r="AR1205" s="200"/>
      <c r="AS1205" s="200"/>
    </row>
    <row r="1206" spans="1:45" ht="16.5" customHeight="1">
      <c r="A1206" s="307"/>
      <c r="B1206" s="307"/>
      <c r="C1206" s="200"/>
      <c r="D1206" s="200"/>
      <c r="E1206" s="200"/>
      <c r="F1206" s="200"/>
      <c r="G1206" s="200"/>
      <c r="H1206" s="200"/>
      <c r="I1206" s="200"/>
      <c r="J1206" s="200"/>
      <c r="K1206" s="200"/>
      <c r="L1206" s="200"/>
      <c r="M1206" s="200"/>
      <c r="N1206" s="200"/>
      <c r="O1206" s="200"/>
      <c r="P1206" s="359"/>
      <c r="Q1206" s="353"/>
      <c r="R1206" s="353"/>
      <c r="S1206" s="200"/>
      <c r="T1206" s="353"/>
      <c r="U1206" s="353"/>
      <c r="V1206" s="353"/>
      <c r="W1206" s="200"/>
      <c r="X1206" s="200"/>
      <c r="Y1206" s="200"/>
      <c r="Z1206" s="200"/>
      <c r="AA1206" s="200"/>
      <c r="AB1206" s="200"/>
      <c r="AC1206" s="200"/>
      <c r="AD1206" s="200"/>
      <c r="AE1206" s="200"/>
      <c r="AF1206" s="200"/>
      <c r="AG1206" s="200"/>
      <c r="AH1206" s="200"/>
      <c r="AI1206" s="200"/>
      <c r="AJ1206" s="200"/>
      <c r="AK1206" s="200"/>
      <c r="AL1206" s="200"/>
      <c r="AM1206" s="200"/>
      <c r="AN1206" s="200"/>
      <c r="AO1206" s="200"/>
      <c r="AP1206" s="200"/>
      <c r="AQ1206" s="200"/>
      <c r="AR1206" s="200"/>
      <c r="AS1206" s="200"/>
    </row>
    <row r="1207" spans="1:45" ht="16.5" customHeight="1">
      <c r="A1207" s="307"/>
      <c r="B1207" s="307"/>
      <c r="C1207" s="200"/>
      <c r="D1207" s="200"/>
      <c r="E1207" s="200"/>
      <c r="F1207" s="200"/>
      <c r="G1207" s="200"/>
      <c r="H1207" s="200"/>
      <c r="I1207" s="200"/>
      <c r="J1207" s="200"/>
      <c r="K1207" s="200"/>
      <c r="L1207" s="200"/>
      <c r="M1207" s="200"/>
      <c r="N1207" s="200"/>
      <c r="O1207" s="200"/>
      <c r="P1207" s="359"/>
      <c r="Q1207" s="353"/>
      <c r="R1207" s="353"/>
      <c r="S1207" s="200"/>
      <c r="T1207" s="353"/>
      <c r="U1207" s="353"/>
      <c r="V1207" s="353"/>
      <c r="W1207" s="200"/>
      <c r="X1207" s="200"/>
      <c r="Y1207" s="200"/>
      <c r="Z1207" s="200"/>
      <c r="AA1207" s="200"/>
      <c r="AB1207" s="200"/>
      <c r="AC1207" s="200"/>
      <c r="AD1207" s="200"/>
      <c r="AE1207" s="200"/>
      <c r="AF1207" s="200"/>
      <c r="AG1207" s="200"/>
      <c r="AH1207" s="200"/>
      <c r="AI1207" s="200"/>
      <c r="AJ1207" s="200"/>
      <c r="AK1207" s="200"/>
      <c r="AL1207" s="200"/>
      <c r="AM1207" s="200"/>
      <c r="AN1207" s="200"/>
      <c r="AO1207" s="200"/>
      <c r="AP1207" s="200"/>
      <c r="AQ1207" s="200"/>
      <c r="AR1207" s="200"/>
      <c r="AS1207" s="200"/>
    </row>
    <row r="1208" spans="1:45" ht="16.5" customHeight="1">
      <c r="A1208" s="307"/>
      <c r="B1208" s="307"/>
      <c r="C1208" s="200"/>
      <c r="D1208" s="200"/>
      <c r="E1208" s="200"/>
      <c r="F1208" s="200"/>
      <c r="G1208" s="200"/>
      <c r="H1208" s="200"/>
      <c r="I1208" s="200"/>
      <c r="J1208" s="200"/>
      <c r="K1208" s="200"/>
      <c r="L1208" s="200"/>
      <c r="M1208" s="200"/>
      <c r="N1208" s="200"/>
      <c r="O1208" s="200"/>
      <c r="P1208" s="359"/>
      <c r="Q1208" s="353"/>
      <c r="R1208" s="353"/>
      <c r="S1208" s="200"/>
      <c r="T1208" s="353"/>
      <c r="U1208" s="353"/>
      <c r="V1208" s="353"/>
      <c r="W1208" s="200"/>
      <c r="X1208" s="200"/>
      <c r="Y1208" s="200"/>
      <c r="Z1208" s="200"/>
      <c r="AA1208" s="200"/>
      <c r="AB1208" s="200"/>
      <c r="AC1208" s="200"/>
      <c r="AD1208" s="200"/>
      <c r="AE1208" s="200"/>
      <c r="AF1208" s="200"/>
      <c r="AG1208" s="200"/>
      <c r="AH1208" s="200"/>
      <c r="AI1208" s="200"/>
      <c r="AJ1208" s="200"/>
      <c r="AK1208" s="200"/>
      <c r="AL1208" s="200"/>
      <c r="AM1208" s="200"/>
      <c r="AN1208" s="200"/>
      <c r="AO1208" s="200"/>
      <c r="AP1208" s="200"/>
      <c r="AQ1208" s="200"/>
      <c r="AR1208" s="200"/>
      <c r="AS1208" s="200"/>
    </row>
    <row r="1209" spans="1:45" ht="16.5" customHeight="1">
      <c r="A1209" s="307"/>
      <c r="B1209" s="307"/>
      <c r="C1209" s="200"/>
      <c r="D1209" s="200"/>
      <c r="E1209" s="200"/>
      <c r="F1209" s="200"/>
      <c r="G1209" s="200"/>
      <c r="H1209" s="200"/>
      <c r="I1209" s="200"/>
      <c r="J1209" s="200"/>
      <c r="K1209" s="200"/>
      <c r="L1209" s="200"/>
      <c r="M1209" s="200"/>
      <c r="N1209" s="200"/>
      <c r="O1209" s="200"/>
      <c r="P1209" s="359"/>
      <c r="Q1209" s="353"/>
      <c r="R1209" s="353"/>
      <c r="S1209" s="200"/>
      <c r="T1209" s="353"/>
      <c r="U1209" s="353"/>
      <c r="V1209" s="353"/>
      <c r="W1209" s="200"/>
      <c r="X1209" s="200"/>
      <c r="Y1209" s="200"/>
      <c r="Z1209" s="200"/>
      <c r="AA1209" s="200"/>
      <c r="AB1209" s="200"/>
      <c r="AC1209" s="200"/>
      <c r="AD1209" s="200"/>
      <c r="AE1209" s="200"/>
      <c r="AF1209" s="200"/>
      <c r="AG1209" s="200"/>
      <c r="AH1209" s="200"/>
      <c r="AI1209" s="200"/>
      <c r="AJ1209" s="200"/>
      <c r="AK1209" s="200"/>
      <c r="AL1209" s="200"/>
      <c r="AM1209" s="200"/>
      <c r="AN1209" s="200"/>
      <c r="AO1209" s="200"/>
      <c r="AP1209" s="200"/>
      <c r="AQ1209" s="200"/>
      <c r="AR1209" s="200"/>
      <c r="AS1209" s="200"/>
    </row>
    <row r="1210" spans="1:45" ht="16.5" customHeight="1">
      <c r="A1210" s="307"/>
      <c r="B1210" s="307"/>
      <c r="C1210" s="200"/>
      <c r="D1210" s="200"/>
      <c r="E1210" s="200"/>
      <c r="F1210" s="200"/>
      <c r="G1210" s="200"/>
      <c r="H1210" s="200"/>
      <c r="I1210" s="200"/>
      <c r="J1210" s="200"/>
      <c r="K1210" s="200"/>
      <c r="L1210" s="200"/>
      <c r="M1210" s="200"/>
      <c r="N1210" s="200"/>
      <c r="O1210" s="200"/>
      <c r="P1210" s="359"/>
      <c r="Q1210" s="353"/>
      <c r="R1210" s="353"/>
      <c r="S1210" s="200"/>
      <c r="T1210" s="353"/>
      <c r="U1210" s="353"/>
      <c r="V1210" s="353"/>
      <c r="W1210" s="200"/>
      <c r="X1210" s="200"/>
      <c r="Y1210" s="200"/>
      <c r="Z1210" s="200"/>
      <c r="AA1210" s="200"/>
      <c r="AB1210" s="200"/>
      <c r="AC1210" s="200"/>
      <c r="AD1210" s="200"/>
      <c r="AE1210" s="200"/>
      <c r="AF1210" s="200"/>
      <c r="AG1210" s="200"/>
      <c r="AH1210" s="200"/>
      <c r="AI1210" s="200"/>
      <c r="AJ1210" s="200"/>
      <c r="AK1210" s="200"/>
      <c r="AL1210" s="200"/>
      <c r="AM1210" s="200"/>
      <c r="AN1210" s="200"/>
      <c r="AO1210" s="200"/>
      <c r="AP1210" s="200"/>
      <c r="AQ1210" s="200"/>
      <c r="AR1210" s="200"/>
      <c r="AS1210" s="200"/>
    </row>
    <row r="1211" spans="1:45" ht="16.5" customHeight="1">
      <c r="A1211" s="307"/>
      <c r="B1211" s="307"/>
      <c r="C1211" s="200"/>
      <c r="D1211" s="200"/>
      <c r="E1211" s="200"/>
      <c r="F1211" s="200"/>
      <c r="G1211" s="200"/>
      <c r="H1211" s="200"/>
      <c r="I1211" s="200"/>
      <c r="J1211" s="200"/>
      <c r="K1211" s="200"/>
      <c r="L1211" s="200"/>
      <c r="M1211" s="200"/>
      <c r="N1211" s="200"/>
      <c r="O1211" s="200"/>
      <c r="P1211" s="359"/>
      <c r="Q1211" s="353"/>
      <c r="R1211" s="353"/>
      <c r="S1211" s="200"/>
      <c r="T1211" s="353"/>
      <c r="U1211" s="353"/>
      <c r="V1211" s="353"/>
      <c r="W1211" s="200"/>
      <c r="X1211" s="200"/>
      <c r="Y1211" s="200"/>
      <c r="Z1211" s="200"/>
      <c r="AA1211" s="200"/>
      <c r="AB1211" s="200"/>
      <c r="AC1211" s="200"/>
      <c r="AD1211" s="200"/>
      <c r="AE1211" s="200"/>
      <c r="AF1211" s="200"/>
      <c r="AG1211" s="200"/>
      <c r="AH1211" s="200"/>
      <c r="AI1211" s="200"/>
      <c r="AJ1211" s="200"/>
      <c r="AK1211" s="200"/>
      <c r="AL1211" s="200"/>
      <c r="AM1211" s="200"/>
      <c r="AN1211" s="200"/>
      <c r="AO1211" s="200"/>
      <c r="AP1211" s="200"/>
      <c r="AQ1211" s="200"/>
      <c r="AR1211" s="200"/>
      <c r="AS1211" s="200"/>
    </row>
    <row r="1212" spans="1:45" ht="16.5" customHeight="1">
      <c r="A1212" s="307"/>
      <c r="B1212" s="307"/>
      <c r="C1212" s="200"/>
      <c r="D1212" s="200"/>
      <c r="E1212" s="200"/>
      <c r="F1212" s="200"/>
      <c r="G1212" s="200"/>
      <c r="H1212" s="200"/>
      <c r="I1212" s="200"/>
      <c r="J1212" s="200"/>
      <c r="K1212" s="200"/>
      <c r="L1212" s="200"/>
      <c r="M1212" s="200"/>
      <c r="N1212" s="200"/>
      <c r="O1212" s="200"/>
      <c r="P1212" s="359"/>
      <c r="Q1212" s="353"/>
      <c r="R1212" s="353"/>
      <c r="S1212" s="200"/>
      <c r="T1212" s="353"/>
      <c r="U1212" s="353"/>
      <c r="V1212" s="353"/>
      <c r="W1212" s="200"/>
      <c r="X1212" s="200"/>
      <c r="Y1212" s="200"/>
      <c r="Z1212" s="200"/>
      <c r="AA1212" s="200"/>
      <c r="AB1212" s="200"/>
      <c r="AC1212" s="200"/>
      <c r="AD1212" s="200"/>
      <c r="AE1212" s="200"/>
      <c r="AF1212" s="200"/>
      <c r="AG1212" s="200"/>
      <c r="AH1212" s="200"/>
      <c r="AI1212" s="200"/>
      <c r="AJ1212" s="200"/>
      <c r="AK1212" s="200"/>
      <c r="AL1212" s="200"/>
      <c r="AM1212" s="200"/>
      <c r="AN1212" s="200"/>
      <c r="AO1212" s="200"/>
      <c r="AP1212" s="200"/>
      <c r="AQ1212" s="200"/>
      <c r="AR1212" s="200"/>
      <c r="AS1212" s="200"/>
    </row>
    <row r="1213" spans="1:45" ht="16.5" customHeight="1">
      <c r="A1213" s="307"/>
      <c r="B1213" s="307"/>
      <c r="C1213" s="200"/>
      <c r="D1213" s="200"/>
      <c r="E1213" s="200"/>
      <c r="F1213" s="200"/>
      <c r="G1213" s="200"/>
      <c r="H1213" s="200"/>
      <c r="I1213" s="200"/>
      <c r="J1213" s="200"/>
      <c r="K1213" s="200"/>
      <c r="L1213" s="200"/>
      <c r="M1213" s="200"/>
      <c r="N1213" s="200"/>
      <c r="O1213" s="200"/>
      <c r="P1213" s="359"/>
      <c r="Q1213" s="353"/>
      <c r="R1213" s="353"/>
      <c r="S1213" s="200"/>
      <c r="T1213" s="353"/>
      <c r="U1213" s="353"/>
      <c r="V1213" s="353"/>
      <c r="W1213" s="200"/>
      <c r="X1213" s="200"/>
      <c r="Y1213" s="200"/>
      <c r="Z1213" s="200"/>
      <c r="AA1213" s="200"/>
      <c r="AB1213" s="200"/>
      <c r="AC1213" s="200"/>
      <c r="AD1213" s="200"/>
      <c r="AE1213" s="200"/>
      <c r="AF1213" s="200"/>
      <c r="AG1213" s="200"/>
      <c r="AH1213" s="200"/>
      <c r="AI1213" s="200"/>
      <c r="AJ1213" s="200"/>
      <c r="AK1213" s="200"/>
      <c r="AL1213" s="200"/>
      <c r="AM1213" s="200"/>
      <c r="AN1213" s="200"/>
      <c r="AO1213" s="200"/>
      <c r="AP1213" s="200"/>
      <c r="AQ1213" s="200"/>
      <c r="AR1213" s="200"/>
      <c r="AS1213" s="200"/>
    </row>
    <row r="1214" spans="1:45" ht="16.5" customHeight="1">
      <c r="A1214" s="307"/>
      <c r="B1214" s="307"/>
      <c r="C1214" s="200"/>
      <c r="D1214" s="200"/>
      <c r="E1214" s="200"/>
      <c r="F1214" s="200"/>
      <c r="G1214" s="200"/>
      <c r="H1214" s="200"/>
      <c r="I1214" s="200"/>
      <c r="J1214" s="200"/>
      <c r="K1214" s="200"/>
      <c r="L1214" s="200"/>
      <c r="M1214" s="200"/>
      <c r="N1214" s="200"/>
      <c r="O1214" s="200"/>
      <c r="P1214" s="359"/>
      <c r="Q1214" s="353"/>
      <c r="R1214" s="353"/>
      <c r="S1214" s="200"/>
      <c r="T1214" s="353"/>
      <c r="U1214" s="353"/>
      <c r="V1214" s="353"/>
      <c r="W1214" s="200"/>
      <c r="X1214" s="200"/>
      <c r="Y1214" s="200"/>
      <c r="Z1214" s="200"/>
      <c r="AA1214" s="200"/>
      <c r="AB1214" s="200"/>
      <c r="AC1214" s="200"/>
      <c r="AD1214" s="200"/>
      <c r="AE1214" s="200"/>
      <c r="AF1214" s="200"/>
      <c r="AG1214" s="200"/>
      <c r="AH1214" s="200"/>
      <c r="AI1214" s="200"/>
      <c r="AJ1214" s="200"/>
      <c r="AK1214" s="200"/>
      <c r="AL1214" s="200"/>
      <c r="AM1214" s="200"/>
      <c r="AN1214" s="200"/>
      <c r="AO1214" s="200"/>
      <c r="AP1214" s="200"/>
      <c r="AQ1214" s="200"/>
      <c r="AR1214" s="200"/>
      <c r="AS1214" s="200"/>
    </row>
    <row r="1215" spans="1:45" ht="16.5" customHeight="1">
      <c r="A1215" s="307"/>
      <c r="B1215" s="307"/>
      <c r="C1215" s="200"/>
      <c r="D1215" s="200"/>
      <c r="E1215" s="200"/>
      <c r="F1215" s="200"/>
      <c r="G1215" s="200"/>
      <c r="H1215" s="200"/>
      <c r="I1215" s="200"/>
      <c r="J1215" s="200"/>
      <c r="K1215" s="200"/>
      <c r="L1215" s="200"/>
      <c r="M1215" s="200"/>
      <c r="N1215" s="200"/>
      <c r="O1215" s="200"/>
      <c r="P1215" s="359"/>
      <c r="Q1215" s="353"/>
      <c r="R1215" s="353"/>
      <c r="S1215" s="200"/>
      <c r="T1215" s="353"/>
      <c r="U1215" s="353"/>
      <c r="V1215" s="353"/>
      <c r="W1215" s="200"/>
      <c r="X1215" s="200"/>
      <c r="Y1215" s="200"/>
      <c r="Z1215" s="200"/>
      <c r="AA1215" s="200"/>
      <c r="AB1215" s="200"/>
      <c r="AC1215" s="200"/>
      <c r="AD1215" s="200"/>
      <c r="AE1215" s="200"/>
      <c r="AF1215" s="200"/>
      <c r="AG1215" s="200"/>
      <c r="AH1215" s="200"/>
      <c r="AI1215" s="200"/>
      <c r="AJ1215" s="200"/>
      <c r="AK1215" s="200"/>
      <c r="AL1215" s="200"/>
      <c r="AM1215" s="200"/>
      <c r="AN1215" s="200"/>
      <c r="AO1215" s="200"/>
      <c r="AP1215" s="200"/>
      <c r="AQ1215" s="200"/>
      <c r="AR1215" s="200"/>
      <c r="AS1215" s="200"/>
    </row>
    <row r="1216" spans="1:45" ht="16.5" customHeight="1">
      <c r="A1216" s="307"/>
      <c r="B1216" s="307"/>
      <c r="C1216" s="200"/>
      <c r="D1216" s="200"/>
      <c r="E1216" s="200"/>
      <c r="F1216" s="200"/>
      <c r="G1216" s="200"/>
      <c r="H1216" s="200"/>
      <c r="I1216" s="200"/>
      <c r="J1216" s="200"/>
      <c r="K1216" s="200"/>
      <c r="L1216" s="200"/>
      <c r="M1216" s="200"/>
      <c r="N1216" s="200"/>
      <c r="O1216" s="200"/>
      <c r="P1216" s="359"/>
      <c r="Q1216" s="353"/>
      <c r="R1216" s="353"/>
      <c r="S1216" s="200"/>
      <c r="T1216" s="353"/>
      <c r="U1216" s="353"/>
      <c r="V1216" s="353"/>
      <c r="W1216" s="200"/>
      <c r="X1216" s="200"/>
      <c r="Y1216" s="200"/>
      <c r="Z1216" s="200"/>
      <c r="AA1216" s="200"/>
      <c r="AB1216" s="200"/>
      <c r="AC1216" s="200"/>
      <c r="AD1216" s="200"/>
      <c r="AE1216" s="200"/>
      <c r="AF1216" s="200"/>
      <c r="AG1216" s="200"/>
      <c r="AH1216" s="200"/>
      <c r="AI1216" s="200"/>
      <c r="AJ1216" s="200"/>
      <c r="AK1216" s="200"/>
      <c r="AL1216" s="200"/>
      <c r="AM1216" s="200"/>
      <c r="AN1216" s="200"/>
      <c r="AO1216" s="200"/>
      <c r="AP1216" s="200"/>
      <c r="AQ1216" s="200"/>
      <c r="AR1216" s="200"/>
      <c r="AS1216" s="200"/>
    </row>
    <row r="1217" spans="1:45" ht="16.5" customHeight="1">
      <c r="A1217" s="307"/>
      <c r="B1217" s="307"/>
      <c r="C1217" s="200"/>
      <c r="D1217" s="200"/>
      <c r="E1217" s="200"/>
      <c r="F1217" s="200"/>
      <c r="G1217" s="200"/>
      <c r="H1217" s="200"/>
      <c r="I1217" s="200"/>
      <c r="J1217" s="200"/>
      <c r="K1217" s="200"/>
      <c r="L1217" s="200"/>
      <c r="M1217" s="200"/>
      <c r="N1217" s="200"/>
      <c r="O1217" s="200"/>
      <c r="P1217" s="359"/>
      <c r="Q1217" s="353"/>
      <c r="R1217" s="353"/>
      <c r="S1217" s="200"/>
      <c r="T1217" s="353"/>
      <c r="U1217" s="353"/>
      <c r="V1217" s="353"/>
      <c r="W1217" s="200"/>
      <c r="X1217" s="200"/>
      <c r="Y1217" s="200"/>
      <c r="Z1217" s="200"/>
      <c r="AA1217" s="200"/>
      <c r="AB1217" s="200"/>
      <c r="AC1217" s="200"/>
      <c r="AD1217" s="200"/>
      <c r="AE1217" s="200"/>
      <c r="AF1217" s="200"/>
      <c r="AG1217" s="200"/>
      <c r="AH1217" s="200"/>
      <c r="AI1217" s="200"/>
      <c r="AJ1217" s="200"/>
      <c r="AK1217" s="200"/>
      <c r="AL1217" s="200"/>
      <c r="AM1217" s="200"/>
      <c r="AN1217" s="200"/>
      <c r="AO1217" s="200"/>
      <c r="AP1217" s="200"/>
      <c r="AQ1217" s="200"/>
      <c r="AR1217" s="200"/>
      <c r="AS1217" s="200"/>
    </row>
    <row r="1218" spans="1:45" ht="16.5" customHeight="1">
      <c r="A1218" s="307"/>
      <c r="B1218" s="307"/>
      <c r="C1218" s="200"/>
      <c r="D1218" s="200"/>
      <c r="E1218" s="200"/>
      <c r="F1218" s="200"/>
      <c r="G1218" s="200"/>
      <c r="H1218" s="200"/>
      <c r="I1218" s="200"/>
      <c r="J1218" s="200"/>
      <c r="K1218" s="200"/>
      <c r="L1218" s="200"/>
      <c r="M1218" s="200"/>
      <c r="N1218" s="200"/>
      <c r="O1218" s="200"/>
      <c r="P1218" s="359"/>
      <c r="Q1218" s="353"/>
      <c r="R1218" s="353"/>
      <c r="S1218" s="200"/>
      <c r="T1218" s="353"/>
      <c r="U1218" s="353"/>
      <c r="V1218" s="353"/>
      <c r="W1218" s="200"/>
      <c r="X1218" s="200"/>
      <c r="Y1218" s="200"/>
      <c r="Z1218" s="200"/>
      <c r="AA1218" s="200"/>
      <c r="AB1218" s="200"/>
      <c r="AC1218" s="200"/>
      <c r="AD1218" s="200"/>
      <c r="AE1218" s="200"/>
      <c r="AF1218" s="200"/>
      <c r="AG1218" s="200"/>
      <c r="AH1218" s="200"/>
      <c r="AI1218" s="200"/>
      <c r="AJ1218" s="200"/>
      <c r="AK1218" s="200"/>
      <c r="AL1218" s="200"/>
      <c r="AM1218" s="200"/>
      <c r="AN1218" s="200"/>
      <c r="AO1218" s="200"/>
      <c r="AP1218" s="200"/>
      <c r="AQ1218" s="200"/>
      <c r="AR1218" s="200"/>
      <c r="AS1218" s="200"/>
    </row>
    <row r="1219" spans="1:45" ht="16.5" customHeight="1">
      <c r="A1219" s="307"/>
      <c r="B1219" s="307"/>
      <c r="C1219" s="200"/>
      <c r="D1219" s="200"/>
      <c r="E1219" s="200"/>
      <c r="F1219" s="200"/>
      <c r="G1219" s="200"/>
      <c r="H1219" s="200"/>
      <c r="I1219" s="200"/>
      <c r="J1219" s="200"/>
      <c r="K1219" s="200"/>
      <c r="L1219" s="200"/>
      <c r="M1219" s="200"/>
      <c r="N1219" s="200"/>
      <c r="O1219" s="200"/>
      <c r="P1219" s="359"/>
      <c r="Q1219" s="353"/>
      <c r="R1219" s="353"/>
      <c r="S1219" s="200"/>
      <c r="T1219" s="353"/>
      <c r="U1219" s="353"/>
      <c r="V1219" s="353"/>
      <c r="W1219" s="200"/>
      <c r="X1219" s="200"/>
      <c r="Y1219" s="200"/>
      <c r="Z1219" s="200"/>
      <c r="AA1219" s="200"/>
      <c r="AB1219" s="200"/>
      <c r="AC1219" s="200"/>
      <c r="AD1219" s="200"/>
      <c r="AE1219" s="200"/>
      <c r="AF1219" s="200"/>
      <c r="AG1219" s="200"/>
      <c r="AH1219" s="200"/>
      <c r="AI1219" s="200"/>
      <c r="AJ1219" s="200"/>
      <c r="AK1219" s="200"/>
      <c r="AL1219" s="200"/>
      <c r="AM1219" s="200"/>
      <c r="AN1219" s="200"/>
      <c r="AO1219" s="200"/>
      <c r="AP1219" s="200"/>
      <c r="AQ1219" s="200"/>
      <c r="AR1219" s="200"/>
      <c r="AS1219" s="200"/>
    </row>
    <row r="1220" spans="1:45" ht="16.5" customHeight="1">
      <c r="A1220" s="307"/>
      <c r="B1220" s="307"/>
      <c r="C1220" s="200"/>
      <c r="D1220" s="200"/>
      <c r="E1220" s="200"/>
      <c r="F1220" s="200"/>
      <c r="G1220" s="200"/>
      <c r="H1220" s="200"/>
      <c r="I1220" s="200"/>
      <c r="J1220" s="200"/>
      <c r="K1220" s="200"/>
      <c r="L1220" s="200"/>
      <c r="M1220" s="200"/>
      <c r="N1220" s="200"/>
      <c r="O1220" s="200"/>
      <c r="P1220" s="359"/>
      <c r="Q1220" s="353"/>
      <c r="R1220" s="353"/>
      <c r="S1220" s="200"/>
      <c r="T1220" s="353"/>
      <c r="U1220" s="353"/>
      <c r="V1220" s="353"/>
      <c r="W1220" s="200"/>
      <c r="X1220" s="200"/>
      <c r="Y1220" s="200"/>
      <c r="Z1220" s="200"/>
      <c r="AA1220" s="200"/>
      <c r="AB1220" s="200"/>
      <c r="AC1220" s="200"/>
      <c r="AD1220" s="200"/>
      <c r="AE1220" s="200"/>
      <c r="AF1220" s="200"/>
      <c r="AG1220" s="200"/>
      <c r="AH1220" s="200"/>
      <c r="AI1220" s="200"/>
      <c r="AJ1220" s="200"/>
      <c r="AK1220" s="200"/>
      <c r="AL1220" s="200"/>
      <c r="AM1220" s="200"/>
      <c r="AN1220" s="200"/>
      <c r="AO1220" s="200"/>
      <c r="AP1220" s="200"/>
      <c r="AQ1220" s="200"/>
      <c r="AR1220" s="200"/>
      <c r="AS1220" s="200"/>
    </row>
    <row r="1221" spans="1:45" ht="16.5" customHeight="1">
      <c r="A1221" s="307"/>
      <c r="B1221" s="307"/>
      <c r="C1221" s="200"/>
      <c r="D1221" s="200"/>
      <c r="E1221" s="200"/>
      <c r="F1221" s="200"/>
      <c r="G1221" s="200"/>
      <c r="H1221" s="200"/>
      <c r="I1221" s="200"/>
      <c r="J1221" s="200"/>
      <c r="K1221" s="200"/>
      <c r="L1221" s="200"/>
      <c r="M1221" s="200"/>
      <c r="N1221" s="200"/>
      <c r="O1221" s="200"/>
      <c r="P1221" s="359"/>
      <c r="Q1221" s="353"/>
      <c r="R1221" s="353"/>
      <c r="S1221" s="200"/>
      <c r="T1221" s="353"/>
      <c r="U1221" s="353"/>
      <c r="V1221" s="353"/>
      <c r="W1221" s="200"/>
      <c r="X1221" s="200"/>
      <c r="Y1221" s="200"/>
      <c r="Z1221" s="200"/>
      <c r="AA1221" s="200"/>
      <c r="AB1221" s="200"/>
      <c r="AC1221" s="200"/>
      <c r="AD1221" s="200"/>
      <c r="AE1221" s="200"/>
      <c r="AF1221" s="200"/>
      <c r="AG1221" s="200"/>
      <c r="AH1221" s="200"/>
      <c r="AI1221" s="200"/>
      <c r="AJ1221" s="200"/>
      <c r="AK1221" s="200"/>
      <c r="AL1221" s="200"/>
      <c r="AM1221" s="200"/>
      <c r="AN1221" s="200"/>
      <c r="AO1221" s="200"/>
      <c r="AP1221" s="200"/>
      <c r="AQ1221" s="200"/>
      <c r="AR1221" s="200"/>
      <c r="AS1221" s="200"/>
    </row>
    <row r="1222" spans="1:45" ht="16.5" customHeight="1">
      <c r="A1222" s="307"/>
      <c r="B1222" s="307"/>
      <c r="C1222" s="200"/>
      <c r="D1222" s="200"/>
      <c r="E1222" s="200"/>
      <c r="F1222" s="200"/>
      <c r="G1222" s="200"/>
      <c r="H1222" s="200"/>
      <c r="I1222" s="200"/>
      <c r="J1222" s="200"/>
      <c r="K1222" s="200"/>
      <c r="L1222" s="200"/>
      <c r="M1222" s="200"/>
      <c r="N1222" s="200"/>
      <c r="O1222" s="200"/>
      <c r="P1222" s="359"/>
      <c r="Q1222" s="353"/>
      <c r="R1222" s="353"/>
      <c r="S1222" s="200"/>
      <c r="T1222" s="353"/>
      <c r="U1222" s="353"/>
      <c r="V1222" s="353"/>
      <c r="W1222" s="200"/>
      <c r="X1222" s="200"/>
      <c r="Y1222" s="200"/>
      <c r="Z1222" s="200"/>
      <c r="AA1222" s="200"/>
      <c r="AB1222" s="200"/>
      <c r="AC1222" s="200"/>
      <c r="AD1222" s="200"/>
      <c r="AE1222" s="200"/>
      <c r="AF1222" s="200"/>
      <c r="AG1222" s="200"/>
      <c r="AH1222" s="200"/>
      <c r="AI1222" s="200"/>
      <c r="AJ1222" s="200"/>
      <c r="AK1222" s="200"/>
      <c r="AL1222" s="200"/>
      <c r="AM1222" s="200"/>
      <c r="AN1222" s="200"/>
      <c r="AO1222" s="200"/>
      <c r="AP1222" s="200"/>
      <c r="AQ1222" s="200"/>
      <c r="AR1222" s="200"/>
      <c r="AS1222" s="200"/>
    </row>
    <row r="1223" spans="1:45" ht="16.5" customHeight="1">
      <c r="A1223" s="307"/>
      <c r="B1223" s="307"/>
      <c r="C1223" s="200"/>
      <c r="D1223" s="200"/>
      <c r="E1223" s="200"/>
      <c r="F1223" s="200"/>
      <c r="G1223" s="200"/>
      <c r="H1223" s="200"/>
      <c r="I1223" s="200"/>
      <c r="J1223" s="200"/>
      <c r="K1223" s="200"/>
      <c r="L1223" s="200"/>
      <c r="M1223" s="200"/>
      <c r="N1223" s="200"/>
      <c r="O1223" s="200"/>
      <c r="P1223" s="359"/>
      <c r="Q1223" s="353"/>
      <c r="R1223" s="353"/>
      <c r="S1223" s="200"/>
      <c r="T1223" s="353"/>
      <c r="U1223" s="353"/>
      <c r="V1223" s="353"/>
      <c r="W1223" s="200"/>
      <c r="X1223" s="200"/>
      <c r="Y1223" s="200"/>
      <c r="Z1223" s="200"/>
      <c r="AA1223" s="200"/>
      <c r="AB1223" s="200"/>
      <c r="AC1223" s="200"/>
      <c r="AD1223" s="200"/>
      <c r="AE1223" s="200"/>
      <c r="AF1223" s="200"/>
      <c r="AG1223" s="200"/>
      <c r="AH1223" s="200"/>
      <c r="AI1223" s="200"/>
      <c r="AJ1223" s="200"/>
      <c r="AK1223" s="200"/>
      <c r="AL1223" s="200"/>
      <c r="AM1223" s="200"/>
      <c r="AN1223" s="200"/>
      <c r="AO1223" s="200"/>
      <c r="AP1223" s="200"/>
      <c r="AQ1223" s="200"/>
      <c r="AR1223" s="200"/>
      <c r="AS1223" s="200"/>
    </row>
  </sheetData>
  <mergeCells count="4">
    <mergeCell ref="C1:H1"/>
    <mergeCell ref="J1:P1"/>
    <mergeCell ref="T1:V1"/>
    <mergeCell ref="X1:AD1"/>
  </mergeCells>
  <conditionalFormatting sqref="Y16:AC16">
    <cfRule type="cellIs" dxfId="5" priority="1" operator="between">
      <formula>-0.000001</formula>
      <formula>0.000001</formula>
    </cfRule>
  </conditionalFormatting>
  <conditionalFormatting sqref="Y16:AC16">
    <cfRule type="cellIs" dxfId="4" priority="2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228"/>
  <sheetViews>
    <sheetView showGridLines="0" workbookViewId="0">
      <pane ySplit="3" topLeftCell="A18" activePane="bottomLeft" state="frozen"/>
      <selection pane="bottomLeft" activeCell="AA28" sqref="AA28"/>
    </sheetView>
  </sheetViews>
  <sheetFormatPr defaultColWidth="12.5703125" defaultRowHeight="15.75" customHeight="1" outlineLevelRow="1"/>
  <cols>
    <col min="1" max="1" width="2.5703125" customWidth="1"/>
    <col min="2" max="2" width="15.85546875" customWidth="1"/>
    <col min="3" max="3" width="8.85546875" customWidth="1"/>
    <col min="4" max="5" width="8.85546875" hidden="1" customWidth="1"/>
    <col min="6" max="8" width="8.85546875" customWidth="1"/>
    <col min="9" max="9" width="2.85546875" customWidth="1"/>
    <col min="10" max="13" width="8.85546875" customWidth="1"/>
    <col min="14" max="14" width="8.85546875" hidden="1" customWidth="1"/>
    <col min="15" max="16" width="8.85546875" customWidth="1"/>
    <col min="17" max="18" width="8.85546875" hidden="1" customWidth="1"/>
    <col min="19" max="19" width="2.5703125" customWidth="1"/>
    <col min="20" max="20" width="8.85546875" customWidth="1"/>
    <col min="21" max="21" width="8.28515625" bestFit="1" customWidth="1"/>
    <col min="22" max="22" width="9.28515625" hidden="1" customWidth="1"/>
    <col min="23" max="23" width="2.85546875" customWidth="1"/>
    <col min="24" max="24" width="10.140625" hidden="1" customWidth="1"/>
    <col min="25" max="25" width="13.5703125" customWidth="1"/>
    <col min="26" max="26" width="11.7109375" bestFit="1" customWidth="1"/>
    <col min="27" max="27" width="11.85546875" customWidth="1"/>
    <col min="28" max="28" width="14" customWidth="1"/>
    <col min="29" max="29" width="12.140625" customWidth="1"/>
    <col min="30" max="30" width="10.140625" hidden="1" customWidth="1"/>
  </cols>
  <sheetData>
    <row r="1" spans="1:46" ht="30.75" customHeight="1">
      <c r="A1" s="369"/>
      <c r="B1" s="370"/>
      <c r="C1" s="479" t="s">
        <v>0</v>
      </c>
      <c r="D1" s="480"/>
      <c r="E1" s="480"/>
      <c r="F1" s="480"/>
      <c r="G1" s="480"/>
      <c r="H1" s="480"/>
      <c r="I1" s="2"/>
      <c r="J1" s="481" t="s">
        <v>1</v>
      </c>
      <c r="K1" s="480"/>
      <c r="L1" s="480"/>
      <c r="M1" s="480"/>
      <c r="N1" s="480"/>
      <c r="O1" s="480"/>
      <c r="P1" s="480"/>
      <c r="Q1" s="3"/>
      <c r="R1" s="3"/>
      <c r="S1" s="2"/>
      <c r="T1" s="481" t="s">
        <v>2</v>
      </c>
      <c r="U1" s="480"/>
      <c r="V1" s="480"/>
      <c r="W1" s="2"/>
      <c r="X1" s="483" t="s">
        <v>3</v>
      </c>
      <c r="Y1" s="480"/>
      <c r="Z1" s="480"/>
      <c r="AA1" s="480"/>
      <c r="AB1" s="480"/>
      <c r="AC1" s="480"/>
      <c r="AD1" s="480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48" customHeight="1">
      <c r="A2" s="371"/>
      <c r="B2" s="372"/>
      <c r="C2" s="6" t="s">
        <v>4</v>
      </c>
      <c r="D2" s="6" t="s">
        <v>5</v>
      </c>
      <c r="E2" s="6" t="s">
        <v>70</v>
      </c>
      <c r="F2" s="6" t="s">
        <v>7</v>
      </c>
      <c r="G2" s="6" t="s">
        <v>8</v>
      </c>
      <c r="H2" s="6" t="s">
        <v>9</v>
      </c>
      <c r="I2" s="7"/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10" t="s">
        <v>17</v>
      </c>
      <c r="R2" s="10" t="s">
        <v>18</v>
      </c>
      <c r="S2" s="373"/>
      <c r="T2" s="12" t="s">
        <v>19</v>
      </c>
      <c r="U2" s="12" t="s">
        <v>20</v>
      </c>
      <c r="V2" s="12" t="s">
        <v>21</v>
      </c>
      <c r="W2" s="7"/>
      <c r="X2" s="13" t="s">
        <v>22</v>
      </c>
      <c r="Y2" s="13" t="s">
        <v>23</v>
      </c>
      <c r="Z2" s="13" t="s">
        <v>24</v>
      </c>
      <c r="AA2" s="13" t="s">
        <v>71</v>
      </c>
      <c r="AB2" s="13" t="s">
        <v>72</v>
      </c>
      <c r="AC2" s="13" t="s">
        <v>27</v>
      </c>
      <c r="AD2" s="13" t="s">
        <v>28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84">
      <c r="A3" s="374"/>
      <c r="B3" s="16"/>
      <c r="C3" s="17" t="s">
        <v>73</v>
      </c>
      <c r="D3" s="17" t="s">
        <v>74</v>
      </c>
      <c r="E3" s="375" t="s">
        <v>75</v>
      </c>
      <c r="F3" s="17" t="s">
        <v>76</v>
      </c>
      <c r="G3" s="19" t="s">
        <v>33</v>
      </c>
      <c r="H3" s="17" t="s">
        <v>34</v>
      </c>
      <c r="I3" s="20"/>
      <c r="J3" s="21" t="s">
        <v>77</v>
      </c>
      <c r="K3" s="21" t="s">
        <v>36</v>
      </c>
      <c r="L3" s="21" t="s">
        <v>78</v>
      </c>
      <c r="M3" s="21" t="s">
        <v>79</v>
      </c>
      <c r="N3" s="376" t="s">
        <v>80</v>
      </c>
      <c r="O3" s="21" t="s">
        <v>81</v>
      </c>
      <c r="P3" s="23" t="s">
        <v>82</v>
      </c>
      <c r="Q3" s="24" t="s">
        <v>83</v>
      </c>
      <c r="R3" s="24" t="s">
        <v>84</v>
      </c>
      <c r="S3" s="377"/>
      <c r="T3" s="378" t="s">
        <v>85</v>
      </c>
      <c r="U3" s="378" t="s">
        <v>86</v>
      </c>
      <c r="V3" s="26" t="s">
        <v>46</v>
      </c>
      <c r="W3" s="20"/>
      <c r="X3" s="27" t="s">
        <v>47</v>
      </c>
      <c r="Y3" s="28" t="s">
        <v>48</v>
      </c>
      <c r="Z3" s="27" t="s">
        <v>49</v>
      </c>
      <c r="AA3" s="27" t="s">
        <v>50</v>
      </c>
      <c r="AB3" s="27" t="s">
        <v>87</v>
      </c>
      <c r="AC3" s="27" t="s">
        <v>88</v>
      </c>
      <c r="AD3" s="27" t="s">
        <v>89</v>
      </c>
      <c r="AE3" s="20"/>
      <c r="AF3" s="29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</row>
    <row r="4" spans="1:46" ht="15">
      <c r="A4" s="379"/>
      <c r="B4" s="93"/>
      <c r="C4" s="31"/>
      <c r="D4" s="32"/>
      <c r="E4" s="33"/>
      <c r="F4" s="33"/>
      <c r="G4" s="34"/>
      <c r="H4" s="34"/>
      <c r="I4" s="35"/>
      <c r="J4" s="35"/>
      <c r="K4" s="36"/>
      <c r="L4" s="33"/>
      <c r="M4" s="33"/>
      <c r="N4" s="37"/>
      <c r="O4" s="37"/>
      <c r="P4" s="38"/>
      <c r="Q4" s="39"/>
      <c r="R4" s="39"/>
      <c r="S4" s="163"/>
      <c r="T4" s="41"/>
      <c r="U4" s="42"/>
      <c r="V4" s="43"/>
      <c r="W4" s="35"/>
      <c r="X4" s="35"/>
      <c r="Y4" s="35"/>
      <c r="Z4" s="35"/>
      <c r="AA4" s="35"/>
      <c r="AB4" s="35"/>
      <c r="AC4" s="35"/>
      <c r="AD4" s="35"/>
      <c r="AE4" s="3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</row>
    <row r="5" spans="1:46" ht="22.5" customHeight="1">
      <c r="A5" s="46"/>
      <c r="B5" s="46" t="s">
        <v>90</v>
      </c>
      <c r="C5" s="47"/>
      <c r="D5" s="48"/>
      <c r="E5" s="49"/>
      <c r="F5" s="49"/>
      <c r="G5" s="50"/>
      <c r="H5" s="50"/>
      <c r="I5" s="51"/>
      <c r="J5" s="51"/>
      <c r="K5" s="52"/>
      <c r="L5" s="49"/>
      <c r="M5" s="49"/>
      <c r="N5" s="53"/>
      <c r="O5" s="53"/>
      <c r="P5" s="54"/>
      <c r="Q5" s="55"/>
      <c r="R5" s="55"/>
      <c r="S5" s="380"/>
      <c r="T5" s="57"/>
      <c r="U5" s="57"/>
      <c r="V5" s="58"/>
      <c r="W5" s="56"/>
      <c r="X5" s="51"/>
      <c r="Y5" s="51"/>
      <c r="Z5" s="51"/>
      <c r="AA5" s="51"/>
      <c r="AB5" s="51"/>
      <c r="AC5" s="51"/>
      <c r="AD5" s="51"/>
      <c r="AE5" s="51"/>
      <c r="AF5" s="51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</row>
    <row r="6" spans="1:46" ht="22.5" customHeight="1">
      <c r="A6" s="381"/>
      <c r="B6" s="90"/>
      <c r="C6" s="61"/>
      <c r="D6" s="167"/>
      <c r="E6" s="167"/>
      <c r="F6" s="167"/>
      <c r="G6" s="64"/>
      <c r="H6" s="168"/>
      <c r="I6" s="169"/>
      <c r="J6" s="169"/>
      <c r="K6" s="169"/>
      <c r="L6" s="173"/>
      <c r="M6" s="173"/>
      <c r="N6" s="169"/>
      <c r="O6" s="169"/>
      <c r="P6" s="168"/>
      <c r="Q6" s="171"/>
      <c r="R6" s="171"/>
      <c r="S6" s="171"/>
      <c r="T6" s="174"/>
      <c r="U6" s="72"/>
      <c r="V6" s="73"/>
      <c r="W6" s="169"/>
      <c r="X6" s="65"/>
      <c r="Y6" s="65"/>
      <c r="Z6" s="172"/>
      <c r="AA6" s="172"/>
      <c r="AB6" s="172"/>
      <c r="AC6" s="172"/>
      <c r="AD6" s="65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</row>
    <row r="7" spans="1:46" ht="22.5" customHeight="1">
      <c r="A7" s="382"/>
      <c r="B7" s="383" t="s">
        <v>91</v>
      </c>
      <c r="C7" s="47"/>
      <c r="D7" s="48"/>
      <c r="E7" s="48"/>
      <c r="F7" s="48"/>
      <c r="G7" s="50"/>
      <c r="H7" s="50"/>
      <c r="I7" s="51"/>
      <c r="J7" s="51"/>
      <c r="K7" s="384"/>
      <c r="L7" s="53"/>
      <c r="M7" s="53"/>
      <c r="N7" s="53"/>
      <c r="O7" s="53"/>
      <c r="P7" s="50"/>
      <c r="Q7" s="55"/>
      <c r="R7" s="55"/>
      <c r="S7" s="380"/>
      <c r="T7" s="385"/>
      <c r="U7" s="149"/>
      <c r="V7" s="58"/>
      <c r="W7" s="51"/>
      <c r="X7" s="51"/>
      <c r="Y7" s="51"/>
      <c r="Z7" s="51"/>
      <c r="AA7" s="51"/>
      <c r="AB7" s="51"/>
      <c r="AC7" s="51"/>
      <c r="AD7" s="51"/>
      <c r="AE7" s="51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</row>
    <row r="8" spans="1:46" ht="17.25" customHeight="1">
      <c r="A8" s="61"/>
      <c r="B8" s="386" t="s">
        <v>92</v>
      </c>
      <c r="C8" s="387"/>
      <c r="D8" s="388"/>
      <c r="E8" s="167"/>
      <c r="F8" s="167"/>
      <c r="G8" s="64"/>
      <c r="H8" s="64"/>
      <c r="I8" s="231"/>
      <c r="J8" s="231"/>
      <c r="K8" s="231"/>
      <c r="L8" s="67"/>
      <c r="M8" s="67"/>
      <c r="N8" s="231"/>
      <c r="O8" s="231"/>
      <c r="P8" s="64"/>
      <c r="Q8" s="70"/>
      <c r="R8" s="70"/>
      <c r="S8" s="70"/>
      <c r="T8" s="65"/>
      <c r="U8" s="389"/>
      <c r="V8" s="167"/>
      <c r="W8" s="231"/>
      <c r="X8" s="65"/>
      <c r="Y8" s="65"/>
      <c r="Z8" s="65"/>
      <c r="AA8" s="65"/>
      <c r="AB8" s="65"/>
      <c r="AC8" s="65"/>
      <c r="AD8" s="65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</row>
    <row r="9" spans="1:46" ht="17.25" customHeight="1">
      <c r="A9" s="61"/>
      <c r="B9" s="386" t="s">
        <v>93</v>
      </c>
      <c r="C9" s="387"/>
      <c r="D9" s="388"/>
      <c r="E9" s="388"/>
      <c r="F9" s="167"/>
      <c r="G9" s="64"/>
      <c r="H9" s="64"/>
      <c r="I9" s="231"/>
      <c r="J9" s="231"/>
      <c r="K9" s="231"/>
      <c r="L9" s="67"/>
      <c r="M9" s="67"/>
      <c r="N9" s="231"/>
      <c r="O9" s="231"/>
      <c r="P9" s="64"/>
      <c r="Q9" s="70"/>
      <c r="R9" s="70"/>
      <c r="S9" s="70"/>
      <c r="T9" s="65"/>
      <c r="U9" s="389"/>
      <c r="V9" s="167"/>
      <c r="W9" s="231"/>
      <c r="X9" s="65"/>
      <c r="Y9" s="65"/>
      <c r="Z9" s="65"/>
      <c r="AA9" s="65"/>
      <c r="AB9" s="65"/>
      <c r="AC9" s="65"/>
      <c r="AD9" s="65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</row>
    <row r="10" spans="1:46" ht="17.25" customHeight="1">
      <c r="A10" s="390"/>
      <c r="B10" s="91" t="s">
        <v>94</v>
      </c>
      <c r="C10" s="390"/>
      <c r="D10" s="391"/>
      <c r="E10" s="391"/>
      <c r="F10" s="391"/>
      <c r="G10" s="392"/>
      <c r="H10" s="393"/>
      <c r="I10" s="394"/>
      <c r="J10" s="394"/>
      <c r="K10" s="394"/>
      <c r="L10" s="395"/>
      <c r="M10" s="395"/>
      <c r="N10" s="394"/>
      <c r="O10" s="394"/>
      <c r="P10" s="393"/>
      <c r="Q10" s="396"/>
      <c r="R10" s="396"/>
      <c r="S10" s="396"/>
      <c r="T10" s="397"/>
      <c r="U10" s="398"/>
      <c r="V10" s="399"/>
      <c r="W10" s="394"/>
      <c r="X10" s="400"/>
      <c r="Y10" s="400"/>
      <c r="Z10" s="401"/>
      <c r="AA10" s="401"/>
      <c r="AB10" s="401"/>
      <c r="AC10" s="401"/>
      <c r="AD10" s="400"/>
      <c r="AE10" s="402"/>
      <c r="AF10" s="402"/>
      <c r="AG10" s="402"/>
      <c r="AH10" s="402"/>
      <c r="AI10" s="402"/>
      <c r="AJ10" s="402"/>
      <c r="AK10" s="402"/>
      <c r="AL10" s="402"/>
      <c r="AM10" s="402"/>
      <c r="AN10" s="402"/>
      <c r="AO10" s="402"/>
      <c r="AP10" s="402"/>
      <c r="AQ10" s="402"/>
      <c r="AR10" s="402"/>
      <c r="AS10" s="402"/>
      <c r="AT10" s="402"/>
    </row>
    <row r="11" spans="1:46" ht="15.75" customHeight="1">
      <c r="A11" s="403"/>
      <c r="B11" s="404"/>
      <c r="C11" s="109"/>
      <c r="D11" s="110"/>
      <c r="E11" s="114"/>
      <c r="F11" s="114"/>
      <c r="G11" s="125"/>
      <c r="H11" s="125"/>
      <c r="I11" s="44"/>
      <c r="J11" s="126"/>
      <c r="K11" s="127"/>
      <c r="L11" s="114"/>
      <c r="M11" s="114"/>
      <c r="N11" s="115"/>
      <c r="O11" s="115"/>
      <c r="P11" s="159"/>
      <c r="Q11" s="117"/>
      <c r="R11" s="117"/>
      <c r="S11" s="157"/>
      <c r="T11" s="118"/>
      <c r="U11" s="129"/>
      <c r="V11" s="122"/>
      <c r="W11" s="44"/>
      <c r="X11" s="44"/>
      <c r="Y11" s="44"/>
      <c r="Z11" s="44"/>
      <c r="AA11" s="44"/>
      <c r="AB11" s="44"/>
      <c r="AC11" s="44"/>
      <c r="AD11" s="44"/>
      <c r="AE11" s="44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</row>
    <row r="12" spans="1:46" ht="22.5" customHeight="1">
      <c r="A12" s="403"/>
      <c r="B12" s="30" t="s">
        <v>95</v>
      </c>
      <c r="C12" s="109">
        <v>600000</v>
      </c>
      <c r="D12" s="110"/>
      <c r="E12" s="159"/>
      <c r="F12" s="179">
        <f t="shared" ref="F12:F14" si="0">G12/C12</f>
        <v>5.4999999999999997E-3</v>
      </c>
      <c r="G12" s="159">
        <v>3300</v>
      </c>
      <c r="H12" s="159">
        <v>4000</v>
      </c>
      <c r="I12" s="44"/>
      <c r="J12" s="112">
        <f>(K12-M12)*P12</f>
        <v>1818.1818181818182</v>
      </c>
      <c r="K12" s="405">
        <f>Z12/H12</f>
        <v>5000</v>
      </c>
      <c r="L12" s="179"/>
      <c r="M12" s="405">
        <f>AC12/H12</f>
        <v>3500</v>
      </c>
      <c r="N12" s="115"/>
      <c r="O12" s="115"/>
      <c r="P12" s="406">
        <f t="shared" ref="P12:P14" si="1">H12/G12</f>
        <v>1.2121212121212122</v>
      </c>
      <c r="Q12" s="39"/>
      <c r="R12" s="39"/>
      <c r="S12" s="157"/>
      <c r="T12" s="121">
        <f>AB12/C12</f>
        <v>3.3333333333333335</v>
      </c>
      <c r="U12" s="121">
        <f>F12*J12</f>
        <v>10</v>
      </c>
      <c r="V12" s="122"/>
      <c r="W12" s="44"/>
      <c r="X12" s="44"/>
      <c r="Y12" s="44">
        <f t="shared" ref="Y12:Y14" si="2">C12*(U12-T12)</f>
        <v>3999999.9999999995</v>
      </c>
      <c r="Z12" s="126">
        <v>20000000</v>
      </c>
      <c r="AA12" s="126">
        <v>6000000</v>
      </c>
      <c r="AB12" s="126">
        <f>AB14</f>
        <v>2000000</v>
      </c>
      <c r="AC12" s="44">
        <f>Z12-AA12</f>
        <v>14000000</v>
      </c>
      <c r="AD12" s="44"/>
      <c r="AE12" s="44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</row>
    <row r="13" spans="1:46" ht="22.5" customHeight="1">
      <c r="A13" s="403"/>
      <c r="B13" s="30" t="s">
        <v>96</v>
      </c>
      <c r="C13" s="109">
        <v>450000</v>
      </c>
      <c r="D13" s="110"/>
      <c r="E13" s="159"/>
      <c r="F13" s="407">
        <f t="shared" si="0"/>
        <v>6.0000000000000001E-3</v>
      </c>
      <c r="G13" s="159">
        <v>2700</v>
      </c>
      <c r="H13" s="159">
        <v>3272</v>
      </c>
      <c r="I13" s="44"/>
      <c r="J13" s="421">
        <f t="shared" ref="J13:J14" si="3">(K13-M13)*P13</f>
        <v>1858.2222222222226</v>
      </c>
      <c r="K13" s="405">
        <v>5033.3740831295845</v>
      </c>
      <c r="L13" s="179"/>
      <c r="M13" s="127">
        <f t="shared" ref="M13:M14" si="4">M12</f>
        <v>3500</v>
      </c>
      <c r="N13" s="115"/>
      <c r="O13" s="115"/>
      <c r="P13" s="406">
        <f t="shared" si="1"/>
        <v>1.211851851851852</v>
      </c>
      <c r="Q13" s="39"/>
      <c r="R13" s="39"/>
      <c r="S13" s="157"/>
      <c r="T13" s="121">
        <f t="shared" ref="T13:T14" si="5">AB13/C13</f>
        <v>0</v>
      </c>
      <c r="U13" s="121">
        <f>F13*J13</f>
        <v>11.149333333333336</v>
      </c>
      <c r="V13" s="122"/>
      <c r="W13" s="44"/>
      <c r="X13" s="44"/>
      <c r="Y13" s="44">
        <f t="shared" si="2"/>
        <v>5017200.0000000009</v>
      </c>
      <c r="Z13" s="126">
        <f t="shared" ref="Z13:Z14" si="6">AA13+AC13</f>
        <v>16469200</v>
      </c>
      <c r="AA13" s="44">
        <f t="shared" ref="AA13:AA14" si="7">J13*G13</f>
        <v>5017200.0000000009</v>
      </c>
      <c r="AB13" s="126">
        <v>0</v>
      </c>
      <c r="AC13" s="44">
        <f t="shared" ref="AC13:AC14" si="8">M13*H13</f>
        <v>11452000</v>
      </c>
      <c r="AD13" s="44"/>
      <c r="AE13" s="44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</row>
    <row r="14" spans="1:46" ht="22.5" customHeight="1">
      <c r="A14" s="403"/>
      <c r="B14" s="30" t="s">
        <v>97</v>
      </c>
      <c r="C14" s="109">
        <v>150000</v>
      </c>
      <c r="D14" s="110"/>
      <c r="E14" s="159"/>
      <c r="F14" s="408">
        <f t="shared" si="0"/>
        <v>4.0000000000000001E-3</v>
      </c>
      <c r="G14" s="159">
        <v>600</v>
      </c>
      <c r="H14" s="159">
        <v>728</v>
      </c>
      <c r="I14" s="44"/>
      <c r="J14" s="421">
        <f t="shared" si="3"/>
        <v>1638</v>
      </c>
      <c r="K14" s="127">
        <v>4850</v>
      </c>
      <c r="L14" s="179"/>
      <c r="M14" s="127">
        <f t="shared" si="4"/>
        <v>3500</v>
      </c>
      <c r="N14" s="115"/>
      <c r="O14" s="115"/>
      <c r="P14" s="406">
        <f t="shared" si="1"/>
        <v>1.2133333333333334</v>
      </c>
      <c r="Q14" s="39"/>
      <c r="R14" s="39"/>
      <c r="S14" s="157"/>
      <c r="T14" s="121">
        <f t="shared" si="5"/>
        <v>13.333333333333334</v>
      </c>
      <c r="U14" s="121">
        <f>F14*J14</f>
        <v>6.5520000000000005</v>
      </c>
      <c r="V14" s="122"/>
      <c r="W14" s="44"/>
      <c r="X14" s="44"/>
      <c r="Y14" s="44">
        <f t="shared" si="2"/>
        <v>-1017200</v>
      </c>
      <c r="Z14" s="126">
        <f t="shared" si="6"/>
        <v>3530800</v>
      </c>
      <c r="AA14" s="44">
        <f t="shared" si="7"/>
        <v>982800</v>
      </c>
      <c r="AB14" s="126">
        <v>2000000</v>
      </c>
      <c r="AC14" s="44">
        <f t="shared" si="8"/>
        <v>2548000</v>
      </c>
      <c r="AD14" s="44"/>
      <c r="AE14" s="44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</row>
    <row r="15" spans="1:46" ht="15.75" customHeight="1">
      <c r="A15" s="403"/>
      <c r="B15" s="409"/>
      <c r="C15" s="124"/>
      <c r="D15" s="110"/>
      <c r="E15" s="125"/>
      <c r="F15" s="114"/>
      <c r="G15" s="125"/>
      <c r="H15" s="125"/>
      <c r="I15" s="44"/>
      <c r="J15" s="44"/>
      <c r="K15" s="127"/>
      <c r="L15" s="127"/>
      <c r="M15" s="127"/>
      <c r="N15" s="115"/>
      <c r="O15" s="115"/>
      <c r="P15" s="128"/>
      <c r="Q15" s="39"/>
      <c r="R15" s="39"/>
      <c r="S15" s="157"/>
      <c r="T15" s="118"/>
      <c r="U15" s="117"/>
      <c r="V15" s="122"/>
      <c r="W15" s="44"/>
      <c r="X15" s="44"/>
      <c r="Y15" s="44"/>
      <c r="Z15" s="44"/>
      <c r="AA15" s="44"/>
      <c r="AB15" s="44"/>
      <c r="AC15" s="44"/>
      <c r="AD15" s="44"/>
      <c r="AE15" s="44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</row>
    <row r="16" spans="1:46" ht="22.5" customHeight="1">
      <c r="A16" s="410"/>
      <c r="B16" s="130" t="s">
        <v>98</v>
      </c>
      <c r="C16" s="133"/>
      <c r="D16" s="411"/>
      <c r="E16" s="411"/>
      <c r="F16" s="411"/>
      <c r="G16" s="133">
        <f t="shared" ref="G16:H16" si="9">G12-G13-G14</f>
        <v>0</v>
      </c>
      <c r="H16" s="133">
        <f t="shared" si="9"/>
        <v>0</v>
      </c>
      <c r="I16" s="143"/>
      <c r="J16" s="143"/>
      <c r="K16" s="412"/>
      <c r="L16" s="413"/>
      <c r="M16" s="413"/>
      <c r="N16" s="413"/>
      <c r="O16" s="413"/>
      <c r="P16" s="414"/>
      <c r="Q16" s="415"/>
      <c r="R16" s="415"/>
      <c r="S16" s="138"/>
      <c r="T16" s="140"/>
      <c r="U16" s="141"/>
      <c r="V16" s="142"/>
      <c r="W16" s="143"/>
      <c r="X16" s="146"/>
      <c r="Y16" s="146">
        <f t="shared" ref="Y16:AC16" si="10">Y12-Y13-Y14</f>
        <v>-1.3969838619232178E-9</v>
      </c>
      <c r="Z16" s="146">
        <f t="shared" si="10"/>
        <v>0</v>
      </c>
      <c r="AA16" s="146">
        <f t="shared" si="10"/>
        <v>-9.3132257461547852E-10</v>
      </c>
      <c r="AB16" s="146">
        <f t="shared" si="10"/>
        <v>0</v>
      </c>
      <c r="AC16" s="146">
        <f t="shared" si="10"/>
        <v>0</v>
      </c>
      <c r="AD16" s="143"/>
      <c r="AE16" s="143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</row>
    <row r="17" spans="1:46" ht="22.5" customHeight="1">
      <c r="A17" s="410"/>
      <c r="B17" s="416" t="s">
        <v>99</v>
      </c>
      <c r="C17" s="133"/>
      <c r="D17" s="411"/>
      <c r="E17" s="411"/>
      <c r="F17" s="411"/>
      <c r="G17" s="133"/>
      <c r="H17" s="133"/>
      <c r="I17" s="143"/>
      <c r="J17" s="143"/>
      <c r="K17" s="412"/>
      <c r="L17" s="413"/>
      <c r="M17" s="413"/>
      <c r="N17" s="413"/>
      <c r="O17" s="413"/>
      <c r="P17" s="414"/>
      <c r="Q17" s="415"/>
      <c r="R17" s="415"/>
      <c r="S17" s="138"/>
      <c r="T17" s="140"/>
      <c r="U17" s="141"/>
      <c r="V17" s="142"/>
      <c r="W17" s="143"/>
      <c r="X17" s="146"/>
      <c r="Y17" s="146"/>
      <c r="Z17" s="146"/>
      <c r="AA17" s="146"/>
      <c r="AB17" s="146"/>
      <c r="AC17" s="146"/>
      <c r="AD17" s="143"/>
      <c r="AE17" s="143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</row>
    <row r="18" spans="1:46" ht="15.75" customHeight="1">
      <c r="A18" s="410"/>
      <c r="B18" s="416"/>
      <c r="C18" s="133"/>
      <c r="D18" s="411"/>
      <c r="E18" s="411"/>
      <c r="F18" s="411"/>
      <c r="G18" s="133"/>
      <c r="H18" s="133"/>
      <c r="I18" s="143"/>
      <c r="J18" s="143"/>
      <c r="K18" s="412"/>
      <c r="L18" s="413"/>
      <c r="M18" s="413"/>
      <c r="N18" s="413"/>
      <c r="O18" s="413"/>
      <c r="P18" s="414"/>
      <c r="Q18" s="415"/>
      <c r="R18" s="415"/>
      <c r="S18" s="138"/>
      <c r="T18" s="140"/>
      <c r="U18" s="141"/>
      <c r="V18" s="142"/>
      <c r="W18" s="143"/>
      <c r="X18" s="146"/>
      <c r="Y18" s="146"/>
      <c r="Z18" s="146"/>
      <c r="AA18" s="146"/>
      <c r="AB18" s="146"/>
      <c r="AC18" s="146"/>
      <c r="AD18" s="143"/>
      <c r="AE18" s="143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</row>
    <row r="19" spans="1:46" ht="22.5" hidden="1" customHeight="1">
      <c r="A19" s="403"/>
      <c r="B19" s="108" t="s">
        <v>63</v>
      </c>
      <c r="C19" s="124"/>
      <c r="D19" s="154"/>
      <c r="E19" s="154"/>
      <c r="F19" s="154"/>
      <c r="G19" s="125"/>
      <c r="H19" s="159"/>
      <c r="I19" s="155"/>
      <c r="J19" s="155"/>
      <c r="K19" s="155"/>
      <c r="L19" s="156"/>
      <c r="M19" s="156"/>
      <c r="N19" s="155"/>
      <c r="O19" s="155"/>
      <c r="P19" s="159"/>
      <c r="Q19" s="157"/>
      <c r="R19" s="157"/>
      <c r="S19" s="157"/>
      <c r="T19" s="117"/>
      <c r="U19" s="129"/>
      <c r="V19" s="122"/>
      <c r="W19" s="155"/>
      <c r="X19" s="44"/>
      <c r="Y19" s="44">
        <f t="shared" ref="Y19:AC19" si="11">Y20-Y21</f>
        <v>0</v>
      </c>
      <c r="Z19" s="44">
        <f t="shared" si="11"/>
        <v>0</v>
      </c>
      <c r="AA19" s="44">
        <f t="shared" si="11"/>
        <v>0</v>
      </c>
      <c r="AB19" s="44">
        <f t="shared" si="11"/>
        <v>0</v>
      </c>
      <c r="AC19" s="44">
        <f t="shared" si="11"/>
        <v>0</v>
      </c>
      <c r="AD19" s="44"/>
      <c r="AE19" s="44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</row>
    <row r="20" spans="1:46" ht="22.5" hidden="1" customHeight="1" outlineLevel="1">
      <c r="A20" s="403"/>
      <c r="B20" s="417" t="s">
        <v>64</v>
      </c>
      <c r="C20" s="124"/>
      <c r="D20" s="154"/>
      <c r="E20" s="154"/>
      <c r="F20" s="154"/>
      <c r="G20" s="125"/>
      <c r="H20" s="159"/>
      <c r="I20" s="155"/>
      <c r="J20" s="155"/>
      <c r="K20" s="155"/>
      <c r="L20" s="156"/>
      <c r="M20" s="156"/>
      <c r="N20" s="155"/>
      <c r="O20" s="155"/>
      <c r="P20" s="159"/>
      <c r="Q20" s="157"/>
      <c r="R20" s="157"/>
      <c r="S20" s="157"/>
      <c r="T20" s="117"/>
      <c r="U20" s="129"/>
      <c r="V20" s="122"/>
      <c r="W20" s="155"/>
      <c r="X20" s="158"/>
      <c r="Y20" s="158">
        <f>C12*(U12-T12)</f>
        <v>3999999.9999999995</v>
      </c>
      <c r="Z20" s="418">
        <f>H12*K12</f>
        <v>20000000</v>
      </c>
      <c r="AA20" s="418">
        <f>C12*U12</f>
        <v>6000000</v>
      </c>
      <c r="AB20" s="418">
        <f>T12*C12</f>
        <v>2000000</v>
      </c>
      <c r="AC20" s="158">
        <f>H12*M12</f>
        <v>14000000</v>
      </c>
      <c r="AD20" s="404"/>
      <c r="AE20" s="44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</row>
    <row r="21" spans="1:46" ht="22.5" hidden="1" customHeight="1" outlineLevel="1">
      <c r="A21" s="403"/>
      <c r="B21" s="419" t="s">
        <v>65</v>
      </c>
      <c r="C21" s="124"/>
      <c r="D21" s="154"/>
      <c r="E21" s="154"/>
      <c r="F21" s="154"/>
      <c r="G21" s="125"/>
      <c r="H21" s="159"/>
      <c r="I21" s="155"/>
      <c r="J21" s="155"/>
      <c r="K21" s="155"/>
      <c r="L21" s="156"/>
      <c r="M21" s="156"/>
      <c r="N21" s="155"/>
      <c r="O21" s="155"/>
      <c r="P21" s="159"/>
      <c r="Q21" s="157"/>
      <c r="R21" s="157"/>
      <c r="S21" s="157"/>
      <c r="T21" s="117"/>
      <c r="U21" s="129"/>
      <c r="V21" s="122"/>
      <c r="W21" s="155"/>
      <c r="X21" s="158"/>
      <c r="Y21" s="158">
        <f>Z12-AC12-AB12</f>
        <v>4000000</v>
      </c>
      <c r="Z21" s="418">
        <f>AA12+AC12</f>
        <v>20000000</v>
      </c>
      <c r="AA21" s="418">
        <f>Z12-AC12</f>
        <v>6000000</v>
      </c>
      <c r="AB21" s="418">
        <f>AB12</f>
        <v>2000000</v>
      </c>
      <c r="AC21" s="158">
        <f>Z12-AA12</f>
        <v>14000000</v>
      </c>
      <c r="AD21" s="158"/>
      <c r="AE21" s="44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</row>
    <row r="22" spans="1:46" ht="22.5" customHeight="1">
      <c r="A22" s="403"/>
      <c r="B22" s="409"/>
      <c r="C22" s="124"/>
      <c r="D22" s="110"/>
      <c r="E22" s="125"/>
      <c r="F22" s="114"/>
      <c r="G22" s="125"/>
      <c r="H22" s="125"/>
      <c r="I22" s="44"/>
      <c r="J22" s="44"/>
      <c r="K22" s="127"/>
      <c r="L22" s="127"/>
      <c r="M22" s="127"/>
      <c r="N22" s="115"/>
      <c r="O22" s="115"/>
      <c r="P22" s="128"/>
      <c r="Q22" s="39"/>
      <c r="R22" s="39"/>
      <c r="S22" s="157"/>
      <c r="T22" s="118"/>
      <c r="U22" s="117"/>
      <c r="V22" s="122"/>
      <c r="W22" s="44"/>
      <c r="X22" s="44"/>
      <c r="Y22" s="44"/>
      <c r="Z22" s="44"/>
      <c r="AA22" s="44"/>
      <c r="AB22" s="44"/>
      <c r="AC22" s="44"/>
      <c r="AD22" s="44"/>
      <c r="AE22" s="44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</row>
    <row r="23" spans="1:46" ht="22.5" customHeight="1">
      <c r="A23" s="382"/>
      <c r="B23" s="383" t="s">
        <v>100</v>
      </c>
      <c r="C23" s="47"/>
      <c r="D23" s="48"/>
      <c r="E23" s="50"/>
      <c r="F23" s="48"/>
      <c r="G23" s="50"/>
      <c r="H23" s="50"/>
      <c r="I23" s="51"/>
      <c r="J23" s="51"/>
      <c r="K23" s="384"/>
      <c r="L23" s="53"/>
      <c r="M23" s="53"/>
      <c r="N23" s="53"/>
      <c r="O23" s="53"/>
      <c r="P23" s="50"/>
      <c r="Q23" s="55"/>
      <c r="R23" s="55"/>
      <c r="S23" s="380"/>
      <c r="T23" s="385"/>
      <c r="U23" s="149"/>
      <c r="V23" s="58"/>
      <c r="W23" s="51"/>
      <c r="X23" s="51"/>
      <c r="Y23" s="51"/>
      <c r="Z23" s="51"/>
      <c r="AA23" s="51"/>
      <c r="AB23" s="51"/>
      <c r="AC23" s="51"/>
      <c r="AD23" s="51"/>
      <c r="AE23" s="51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</row>
    <row r="24" spans="1:46" ht="17.25" customHeight="1">
      <c r="A24" s="61"/>
      <c r="B24" s="91" t="s">
        <v>101</v>
      </c>
      <c r="C24" s="61"/>
      <c r="D24" s="167"/>
      <c r="E24" s="167"/>
      <c r="F24" s="167"/>
      <c r="G24" s="64"/>
      <c r="H24" s="168"/>
      <c r="I24" s="169"/>
      <c r="J24" s="169"/>
      <c r="K24" s="169"/>
      <c r="L24" s="173"/>
      <c r="M24" s="173"/>
      <c r="N24" s="169"/>
      <c r="O24" s="169"/>
      <c r="P24" s="168"/>
      <c r="Q24" s="171"/>
      <c r="R24" s="171"/>
      <c r="S24" s="171"/>
      <c r="T24" s="174"/>
      <c r="U24" s="72"/>
      <c r="V24" s="73"/>
      <c r="W24" s="169"/>
      <c r="X24" s="65"/>
      <c r="Y24" s="65"/>
      <c r="Z24" s="172"/>
      <c r="AA24" s="172"/>
      <c r="AB24" s="172"/>
      <c r="AC24" s="172"/>
      <c r="AD24" s="65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</row>
    <row r="25" spans="1:46" ht="17.25" customHeight="1">
      <c r="A25" s="61"/>
      <c r="B25" s="91" t="s">
        <v>102</v>
      </c>
      <c r="C25" s="61"/>
      <c r="D25" s="167"/>
      <c r="E25" s="167"/>
      <c r="F25" s="167"/>
      <c r="G25" s="64"/>
      <c r="H25" s="168"/>
      <c r="I25" s="169"/>
      <c r="J25" s="169"/>
      <c r="K25" s="169"/>
      <c r="L25" s="173"/>
      <c r="M25" s="173"/>
      <c r="N25" s="169"/>
      <c r="O25" s="169"/>
      <c r="P25" s="168"/>
      <c r="Q25" s="171"/>
      <c r="R25" s="171"/>
      <c r="S25" s="171"/>
      <c r="T25" s="174"/>
      <c r="U25" s="72"/>
      <c r="V25" s="73"/>
      <c r="W25" s="169"/>
      <c r="X25" s="65"/>
      <c r="Y25" s="65"/>
      <c r="Z25" s="172"/>
      <c r="AA25" s="172"/>
      <c r="AB25" s="172"/>
      <c r="AC25" s="172"/>
      <c r="AD25" s="65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</row>
    <row r="26" spans="1:46" ht="15.75" customHeight="1">
      <c r="A26" s="403"/>
      <c r="B26" s="404"/>
      <c r="C26" s="109"/>
      <c r="D26" s="110"/>
      <c r="E26" s="125"/>
      <c r="F26" s="114"/>
      <c r="G26" s="125"/>
      <c r="H26" s="125"/>
      <c r="I26" s="44"/>
      <c r="J26" s="126"/>
      <c r="K26" s="127"/>
      <c r="L26" s="114"/>
      <c r="M26" s="114"/>
      <c r="N26" s="115"/>
      <c r="O26" s="115"/>
      <c r="P26" s="159"/>
      <c r="Q26" s="117"/>
      <c r="R26" s="117"/>
      <c r="S26" s="157"/>
      <c r="T26" s="118"/>
      <c r="U26" s="129"/>
      <c r="V26" s="122"/>
      <c r="W26" s="44"/>
      <c r="X26" s="44"/>
      <c r="Y26" s="44"/>
      <c r="Z26" s="44"/>
      <c r="AA26" s="44"/>
      <c r="AB26" s="44"/>
      <c r="AC26" s="44"/>
      <c r="AD26" s="44"/>
      <c r="AE26" s="44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</row>
    <row r="27" spans="1:46" ht="22.5" customHeight="1">
      <c r="A27" s="403"/>
      <c r="B27" s="30" t="s">
        <v>97</v>
      </c>
      <c r="C27" s="420">
        <v>50000</v>
      </c>
      <c r="D27" s="110"/>
      <c r="E27" s="125"/>
      <c r="F27" s="154">
        <f>F14</f>
        <v>4.0000000000000001E-3</v>
      </c>
      <c r="G27" s="125">
        <f>C27*F27</f>
        <v>200</v>
      </c>
      <c r="H27" s="125">
        <f>G27*P27</f>
        <v>242.66666666666669</v>
      </c>
      <c r="I27" s="44"/>
      <c r="J27" s="421">
        <f t="shared" ref="J27" si="12">(K27-M27)*P27</f>
        <v>1638</v>
      </c>
      <c r="K27" s="405">
        <f>K14</f>
        <v>4850</v>
      </c>
      <c r="L27" s="179"/>
      <c r="M27" s="405">
        <f>M14</f>
        <v>3500</v>
      </c>
      <c r="N27" s="115"/>
      <c r="O27" s="115"/>
      <c r="P27" s="406">
        <f>P14</f>
        <v>1.2133333333333334</v>
      </c>
      <c r="Q27" s="39"/>
      <c r="R27" s="39"/>
      <c r="S27" s="157"/>
      <c r="T27" s="121">
        <v>13.333333333333334</v>
      </c>
      <c r="U27" s="121">
        <f>F27*J27</f>
        <v>6.5520000000000005</v>
      </c>
      <c r="V27" s="122"/>
      <c r="W27" s="44"/>
      <c r="X27" s="126"/>
      <c r="Y27" s="405">
        <f t="shared" ref="Y27" si="13">C27*(U27-T27)</f>
        <v>-339066.66666666669</v>
      </c>
      <c r="Z27" s="405">
        <f t="shared" ref="Z27" si="14">AA27+AC27</f>
        <v>1176933.3333333335</v>
      </c>
      <c r="AA27" s="405">
        <f t="shared" ref="AA27" si="15">J27*G27</f>
        <v>327600</v>
      </c>
      <c r="AB27" s="405">
        <f>T27*C27</f>
        <v>666666.66666666674</v>
      </c>
      <c r="AC27" s="405">
        <f t="shared" ref="AC27" si="16">M27*H27</f>
        <v>849333.33333333337</v>
      </c>
      <c r="AD27" s="44"/>
      <c r="AE27" s="44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</row>
    <row r="28" spans="1:46" ht="22.5" customHeight="1">
      <c r="A28" s="403"/>
      <c r="B28" s="153"/>
      <c r="C28" s="109"/>
      <c r="D28" s="154"/>
      <c r="E28" s="114"/>
      <c r="F28" s="114"/>
      <c r="G28" s="125"/>
      <c r="H28" s="159"/>
      <c r="I28" s="155"/>
      <c r="J28" s="155"/>
      <c r="K28" s="155"/>
      <c r="L28" s="165"/>
      <c r="M28" s="165"/>
      <c r="N28" s="155"/>
      <c r="O28" s="155"/>
      <c r="P28" s="159"/>
      <c r="Q28" s="157"/>
      <c r="R28" s="157"/>
      <c r="S28" s="157"/>
      <c r="T28" s="118"/>
      <c r="U28" s="129"/>
      <c r="V28" s="122"/>
      <c r="W28" s="155"/>
      <c r="X28" s="44"/>
      <c r="Y28" s="44"/>
      <c r="Z28" s="158"/>
      <c r="AA28" s="158"/>
      <c r="AB28" s="158"/>
      <c r="AC28" s="158"/>
      <c r="AD28" s="44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</row>
    <row r="29" spans="1:46" ht="15.75" customHeight="1">
      <c r="A29" s="403"/>
      <c r="B29" s="419"/>
      <c r="C29" s="124"/>
      <c r="D29" s="154"/>
      <c r="E29" s="154"/>
      <c r="F29" s="154"/>
      <c r="G29" s="125"/>
      <c r="H29" s="159"/>
      <c r="I29" s="155"/>
      <c r="J29" s="155"/>
      <c r="K29" s="155"/>
      <c r="L29" s="156"/>
      <c r="M29" s="156"/>
      <c r="N29" s="155"/>
      <c r="O29" s="155"/>
      <c r="P29" s="159"/>
      <c r="Q29" s="157"/>
      <c r="R29" s="157"/>
      <c r="S29" s="157"/>
      <c r="T29" s="117"/>
      <c r="U29" s="129"/>
      <c r="V29" s="122"/>
      <c r="W29" s="155"/>
      <c r="X29" s="44"/>
      <c r="Y29" s="484">
        <v>3999999.9999999995</v>
      </c>
      <c r="Z29" s="484">
        <v>20000000</v>
      </c>
      <c r="AA29" s="484">
        <v>6000000</v>
      </c>
      <c r="AB29" s="484">
        <v>2000000</v>
      </c>
      <c r="AC29" s="484">
        <v>14000000</v>
      </c>
      <c r="AD29" s="158"/>
      <c r="AE29" s="44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</row>
    <row r="30" spans="1:46" ht="16.5" customHeight="1">
      <c r="A30" s="422"/>
      <c r="B30" s="160"/>
      <c r="C30" s="31"/>
      <c r="D30" s="161"/>
      <c r="E30" s="161"/>
      <c r="F30" s="161"/>
      <c r="G30" s="34"/>
      <c r="H30" s="162"/>
      <c r="I30" s="155"/>
      <c r="J30" s="155"/>
      <c r="K30" s="155"/>
      <c r="L30" s="156"/>
      <c r="M30" s="156"/>
      <c r="N30" s="155"/>
      <c r="O30" s="155"/>
      <c r="P30" s="162"/>
      <c r="Q30" s="163"/>
      <c r="R30" s="163"/>
      <c r="S30" s="163"/>
      <c r="T30" s="117"/>
      <c r="U30" s="129"/>
      <c r="V30" s="43"/>
      <c r="W30" s="155"/>
      <c r="X30" s="35"/>
      <c r="Y30" s="405"/>
      <c r="Z30" s="405"/>
      <c r="AA30" s="405"/>
      <c r="AB30" s="405"/>
      <c r="AC30" s="405"/>
      <c r="AD30" s="3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</row>
    <row r="31" spans="1:46" ht="16.5" customHeight="1">
      <c r="A31" s="422"/>
      <c r="B31" s="160"/>
      <c r="C31" s="31"/>
      <c r="D31" s="161"/>
      <c r="E31" s="161"/>
      <c r="F31" s="161"/>
      <c r="G31" s="34"/>
      <c r="H31" s="162"/>
      <c r="I31" s="155"/>
      <c r="J31" s="155"/>
      <c r="K31" s="155"/>
      <c r="L31" s="156"/>
      <c r="M31" s="156"/>
      <c r="N31" s="155"/>
      <c r="O31" s="155"/>
      <c r="P31" s="162"/>
      <c r="Q31" s="163"/>
      <c r="R31" s="163"/>
      <c r="S31" s="163"/>
      <c r="T31" s="117"/>
      <c r="U31" s="129"/>
      <c r="V31" s="43"/>
      <c r="W31" s="155"/>
      <c r="X31" s="35"/>
      <c r="Y31" s="35"/>
      <c r="Z31" s="158"/>
      <c r="AA31" s="158"/>
      <c r="AB31" s="158"/>
      <c r="AC31" s="158"/>
      <c r="AD31" s="3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</row>
    <row r="32" spans="1:46" ht="16.5" customHeight="1">
      <c r="A32" s="422"/>
      <c r="B32" s="160"/>
      <c r="C32" s="31"/>
      <c r="D32" s="161"/>
      <c r="E32" s="161"/>
      <c r="F32" s="161"/>
      <c r="G32" s="34"/>
      <c r="H32" s="162"/>
      <c r="I32" s="155"/>
      <c r="J32" s="155"/>
      <c r="K32" s="155"/>
      <c r="L32" s="155"/>
      <c r="M32" s="155"/>
      <c r="N32" s="155"/>
      <c r="O32" s="155"/>
      <c r="P32" s="162"/>
      <c r="Q32" s="163"/>
      <c r="R32" s="163"/>
      <c r="S32" s="163"/>
      <c r="T32" s="117"/>
      <c r="U32" s="129"/>
      <c r="V32" s="43"/>
      <c r="W32" s="155"/>
      <c r="X32" s="35"/>
      <c r="Y32" s="35"/>
      <c r="Z32" s="158"/>
      <c r="AA32" s="158"/>
      <c r="AB32" s="158"/>
      <c r="AC32" s="158"/>
      <c r="AD32" s="3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</row>
    <row r="33" spans="1:46" ht="16.5" customHeight="1">
      <c r="A33" s="422"/>
      <c r="B33" s="160"/>
      <c r="C33" s="31"/>
      <c r="D33" s="161"/>
      <c r="E33" s="161"/>
      <c r="F33" s="161"/>
      <c r="G33" s="34"/>
      <c r="H33" s="162"/>
      <c r="I33" s="155"/>
      <c r="J33" s="155"/>
      <c r="K33" s="155"/>
      <c r="L33" s="165"/>
      <c r="M33" s="165"/>
      <c r="N33" s="155"/>
      <c r="O33" s="155"/>
      <c r="P33" s="162"/>
      <c r="Q33" s="163"/>
      <c r="R33" s="163"/>
      <c r="S33" s="163"/>
      <c r="T33" s="117"/>
      <c r="U33" s="129"/>
      <c r="V33" s="43"/>
      <c r="W33" s="155"/>
      <c r="X33" s="423"/>
      <c r="Y33" s="423"/>
      <c r="Z33" s="158"/>
      <c r="AA33" s="158"/>
      <c r="AB33" s="158"/>
      <c r="AC33" s="158"/>
      <c r="AD33" s="3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</row>
    <row r="34" spans="1:46" ht="16.5" customHeight="1">
      <c r="A34" s="422"/>
      <c r="B34" s="160"/>
      <c r="C34" s="164"/>
      <c r="D34" s="161"/>
      <c r="E34" s="33"/>
      <c r="F34" s="33"/>
      <c r="G34" s="34"/>
      <c r="H34" s="162"/>
      <c r="I34" s="155"/>
      <c r="J34" s="155"/>
      <c r="K34" s="155"/>
      <c r="L34" s="165"/>
      <c r="M34" s="165"/>
      <c r="N34" s="155"/>
      <c r="O34" s="155"/>
      <c r="P34" s="162"/>
      <c r="Q34" s="163"/>
      <c r="R34" s="163"/>
      <c r="S34" s="163"/>
      <c r="T34" s="118"/>
      <c r="U34" s="129"/>
      <c r="V34" s="43"/>
      <c r="W34" s="155"/>
      <c r="X34" s="35"/>
      <c r="Y34" s="35"/>
      <c r="Z34" s="158"/>
      <c r="AA34" s="158"/>
      <c r="AB34" s="158"/>
      <c r="AC34" s="158"/>
      <c r="AD34" s="3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</row>
    <row r="35" spans="1:46" ht="16.5" customHeight="1">
      <c r="A35" s="422"/>
      <c r="B35" s="160"/>
      <c r="C35" s="164"/>
      <c r="D35" s="161"/>
      <c r="E35" s="33"/>
      <c r="F35" s="33"/>
      <c r="G35" s="34"/>
      <c r="H35" s="162"/>
      <c r="I35" s="155"/>
      <c r="J35" s="155"/>
      <c r="K35" s="155"/>
      <c r="L35" s="165"/>
      <c r="M35" s="165"/>
      <c r="N35" s="155"/>
      <c r="O35" s="155"/>
      <c r="P35" s="162"/>
      <c r="Q35" s="163"/>
      <c r="R35" s="163"/>
      <c r="S35" s="163"/>
      <c r="T35" s="118"/>
      <c r="U35" s="129"/>
      <c r="V35" s="43"/>
      <c r="W35" s="155"/>
      <c r="X35" s="35"/>
      <c r="Y35" s="35"/>
      <c r="Z35" s="158"/>
      <c r="AA35" s="158"/>
      <c r="AB35" s="158"/>
      <c r="AC35" s="158"/>
      <c r="AD35" s="3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</row>
    <row r="36" spans="1:46" ht="16.5" customHeight="1">
      <c r="A36" s="422"/>
      <c r="B36" s="160"/>
      <c r="C36" s="164"/>
      <c r="D36" s="161"/>
      <c r="E36" s="33"/>
      <c r="F36" s="33"/>
      <c r="G36" s="34"/>
      <c r="H36" s="162"/>
      <c r="I36" s="155"/>
      <c r="J36" s="155"/>
      <c r="K36" s="155"/>
      <c r="L36" s="165"/>
      <c r="M36" s="165"/>
      <c r="N36" s="155"/>
      <c r="O36" s="155"/>
      <c r="P36" s="162"/>
      <c r="Q36" s="163"/>
      <c r="R36" s="163"/>
      <c r="S36" s="163"/>
      <c r="T36" s="118"/>
      <c r="U36" s="129"/>
      <c r="V36" s="43"/>
      <c r="W36" s="155"/>
      <c r="X36" s="35"/>
      <c r="Y36" s="35"/>
      <c r="Z36" s="158"/>
      <c r="AA36" s="158"/>
      <c r="AB36" s="158"/>
      <c r="AC36" s="158"/>
      <c r="AD36" s="3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</row>
    <row r="37" spans="1:46" ht="16.5" customHeight="1">
      <c r="A37" s="422"/>
      <c r="B37" s="160"/>
      <c r="C37" s="164"/>
      <c r="D37" s="161"/>
      <c r="E37" s="33"/>
      <c r="F37" s="33"/>
      <c r="G37" s="34"/>
      <c r="H37" s="162"/>
      <c r="I37" s="155"/>
      <c r="J37" s="155"/>
      <c r="K37" s="155"/>
      <c r="L37" s="165"/>
      <c r="M37" s="165"/>
      <c r="N37" s="155"/>
      <c r="O37" s="155"/>
      <c r="P37" s="162"/>
      <c r="Q37" s="163"/>
      <c r="R37" s="163"/>
      <c r="S37" s="163"/>
      <c r="T37" s="118"/>
      <c r="U37" s="129"/>
      <c r="V37" s="43"/>
      <c r="W37" s="155"/>
      <c r="X37" s="424"/>
      <c r="Y37" s="424"/>
      <c r="Z37" s="158"/>
      <c r="AA37" s="158"/>
      <c r="AB37" s="158"/>
      <c r="AC37" s="158"/>
      <c r="AD37" s="3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</row>
    <row r="38" spans="1:46" ht="16.5" customHeight="1">
      <c r="A38" s="422"/>
      <c r="B38" s="160"/>
      <c r="C38" s="31"/>
      <c r="D38" s="161"/>
      <c r="E38" s="161"/>
      <c r="F38" s="161"/>
      <c r="G38" s="34"/>
      <c r="H38" s="162"/>
      <c r="I38" s="155"/>
      <c r="J38" s="155"/>
      <c r="K38" s="155"/>
      <c r="L38" s="156"/>
      <c r="M38" s="156"/>
      <c r="N38" s="155"/>
      <c r="O38" s="155"/>
      <c r="P38" s="162"/>
      <c r="Q38" s="163"/>
      <c r="R38" s="163"/>
      <c r="S38" s="163"/>
      <c r="T38" s="117"/>
      <c r="U38" s="129"/>
      <c r="V38" s="43"/>
      <c r="W38" s="155"/>
      <c r="X38" s="424"/>
      <c r="Y38" s="424"/>
      <c r="Z38" s="158"/>
      <c r="AA38" s="158"/>
      <c r="AB38" s="158"/>
      <c r="AC38" s="158"/>
      <c r="AD38" s="3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</row>
    <row r="39" spans="1:46" ht="16.5" customHeight="1">
      <c r="A39" s="422"/>
      <c r="B39" s="160"/>
      <c r="C39" s="164"/>
      <c r="D39" s="161"/>
      <c r="E39" s="33"/>
      <c r="F39" s="33"/>
      <c r="G39" s="34"/>
      <c r="H39" s="162"/>
      <c r="I39" s="155"/>
      <c r="J39" s="155"/>
      <c r="K39" s="155"/>
      <c r="L39" s="165"/>
      <c r="M39" s="165"/>
      <c r="N39" s="155"/>
      <c r="O39" s="155"/>
      <c r="P39" s="162"/>
      <c r="Q39" s="163"/>
      <c r="R39" s="163"/>
      <c r="S39" s="163"/>
      <c r="T39" s="118"/>
      <c r="U39" s="129"/>
      <c r="V39" s="43"/>
      <c r="W39" s="155"/>
      <c r="X39" s="35"/>
      <c r="Y39" s="35"/>
      <c r="Z39" s="158"/>
      <c r="AA39" s="158"/>
      <c r="AB39" s="158"/>
      <c r="AC39" s="158"/>
      <c r="AD39" s="3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</row>
    <row r="40" spans="1:46" ht="16.5" customHeight="1">
      <c r="A40" s="422"/>
      <c r="B40" s="160"/>
      <c r="C40" s="31"/>
      <c r="D40" s="161"/>
      <c r="E40" s="161"/>
      <c r="F40" s="161"/>
      <c r="G40" s="34"/>
      <c r="H40" s="162"/>
      <c r="I40" s="155"/>
      <c r="J40" s="155"/>
      <c r="K40" s="155"/>
      <c r="L40" s="156"/>
      <c r="M40" s="156"/>
      <c r="N40" s="155"/>
      <c r="O40" s="155"/>
      <c r="P40" s="162"/>
      <c r="Q40" s="163"/>
      <c r="R40" s="163"/>
      <c r="S40" s="163"/>
      <c r="T40" s="117"/>
      <c r="U40" s="129"/>
      <c r="V40" s="43"/>
      <c r="W40" s="155"/>
      <c r="X40" s="35"/>
      <c r="Y40" s="35"/>
      <c r="Z40" s="158"/>
      <c r="AA40" s="158"/>
      <c r="AB40" s="158"/>
      <c r="AC40" s="158"/>
      <c r="AD40" s="3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</row>
    <row r="41" spans="1:46" ht="16.5" customHeight="1">
      <c r="A41" s="422"/>
      <c r="B41" s="160"/>
      <c r="C41" s="31"/>
      <c r="D41" s="161"/>
      <c r="E41" s="161"/>
      <c r="F41" s="161"/>
      <c r="G41" s="34"/>
      <c r="H41" s="162"/>
      <c r="I41" s="155"/>
      <c r="J41" s="155"/>
      <c r="K41" s="155"/>
      <c r="L41" s="156"/>
      <c r="M41" s="156"/>
      <c r="N41" s="155"/>
      <c r="O41" s="155"/>
      <c r="P41" s="162"/>
      <c r="Q41" s="163"/>
      <c r="R41" s="163"/>
      <c r="S41" s="163"/>
      <c r="T41" s="117"/>
      <c r="U41" s="129"/>
      <c r="V41" s="43"/>
      <c r="W41" s="155"/>
      <c r="X41" s="35"/>
      <c r="Y41" s="35"/>
      <c r="Z41" s="158"/>
      <c r="AA41" s="158"/>
      <c r="AB41" s="158"/>
      <c r="AC41" s="158"/>
      <c r="AD41" s="3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</row>
    <row r="42" spans="1:46" ht="16.5" customHeight="1">
      <c r="A42" s="422"/>
      <c r="B42" s="160"/>
      <c r="C42" s="166"/>
      <c r="D42" s="167"/>
      <c r="E42" s="63"/>
      <c r="F42" s="63"/>
      <c r="G42" s="64"/>
      <c r="H42" s="168"/>
      <c r="I42" s="169"/>
      <c r="J42" s="169"/>
      <c r="K42" s="169"/>
      <c r="L42" s="170"/>
      <c r="M42" s="170"/>
      <c r="N42" s="169"/>
      <c r="O42" s="169"/>
      <c r="P42" s="68"/>
      <c r="Q42" s="171"/>
      <c r="R42" s="171"/>
      <c r="S42" s="171"/>
      <c r="T42" s="71"/>
      <c r="U42" s="72"/>
      <c r="V42" s="73"/>
      <c r="W42" s="169"/>
      <c r="X42" s="65"/>
      <c r="Y42" s="65"/>
      <c r="Z42" s="172"/>
      <c r="AA42" s="172"/>
      <c r="AB42" s="172"/>
      <c r="AC42" s="172"/>
      <c r="AD42" s="6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</row>
    <row r="43" spans="1:46" ht="16.5" customHeight="1">
      <c r="A43" s="422"/>
      <c r="B43" s="160"/>
      <c r="C43" s="61"/>
      <c r="D43" s="167"/>
      <c r="E43" s="167"/>
      <c r="F43" s="167"/>
      <c r="G43" s="64"/>
      <c r="H43" s="168"/>
      <c r="I43" s="169"/>
      <c r="J43" s="169"/>
      <c r="K43" s="169"/>
      <c r="L43" s="173"/>
      <c r="M43" s="173"/>
      <c r="N43" s="169"/>
      <c r="O43" s="169"/>
      <c r="P43" s="168"/>
      <c r="Q43" s="171"/>
      <c r="R43" s="171"/>
      <c r="S43" s="171"/>
      <c r="T43" s="174"/>
      <c r="U43" s="72"/>
      <c r="V43" s="73"/>
      <c r="W43" s="169"/>
      <c r="X43" s="65"/>
      <c r="Y43" s="65"/>
      <c r="Z43" s="172"/>
      <c r="AA43" s="172"/>
      <c r="AB43" s="172"/>
      <c r="AC43" s="172"/>
      <c r="AD43" s="6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</row>
    <row r="44" spans="1:46" ht="16.5" customHeight="1">
      <c r="A44" s="422"/>
      <c r="B44" s="160"/>
      <c r="C44" s="61"/>
      <c r="D44" s="167"/>
      <c r="E44" s="167"/>
      <c r="F44" s="167"/>
      <c r="G44" s="64"/>
      <c r="H44" s="168"/>
      <c r="I44" s="169"/>
      <c r="J44" s="169"/>
      <c r="K44" s="169"/>
      <c r="L44" s="173"/>
      <c r="M44" s="173"/>
      <c r="N44" s="169"/>
      <c r="O44" s="169"/>
      <c r="P44" s="168"/>
      <c r="Q44" s="171"/>
      <c r="R44" s="171"/>
      <c r="S44" s="171"/>
      <c r="T44" s="174"/>
      <c r="U44" s="72"/>
      <c r="V44" s="73"/>
      <c r="W44" s="169"/>
      <c r="X44" s="65"/>
      <c r="Y44" s="65"/>
      <c r="Z44" s="172"/>
      <c r="AA44" s="172"/>
      <c r="AB44" s="172"/>
      <c r="AC44" s="172"/>
      <c r="AD44" s="6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</row>
    <row r="45" spans="1:46" ht="16.5" customHeight="1">
      <c r="A45" s="422"/>
      <c r="B45" s="160"/>
      <c r="C45" s="61"/>
      <c r="D45" s="167"/>
      <c r="E45" s="167"/>
      <c r="F45" s="167"/>
      <c r="G45" s="64"/>
      <c r="H45" s="168"/>
      <c r="I45" s="169"/>
      <c r="J45" s="169"/>
      <c r="K45" s="169"/>
      <c r="L45" s="173"/>
      <c r="M45" s="173"/>
      <c r="N45" s="169"/>
      <c r="O45" s="169"/>
      <c r="P45" s="168"/>
      <c r="Q45" s="171"/>
      <c r="R45" s="171"/>
      <c r="S45" s="171"/>
      <c r="T45" s="174"/>
      <c r="U45" s="72"/>
      <c r="V45" s="73"/>
      <c r="W45" s="169"/>
      <c r="X45" s="65"/>
      <c r="Y45" s="65"/>
      <c r="Z45" s="172"/>
      <c r="AA45" s="172"/>
      <c r="AB45" s="172"/>
      <c r="AC45" s="172"/>
      <c r="AD45" s="6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</row>
    <row r="46" spans="1:46" ht="16.5" customHeight="1">
      <c r="A46" s="422"/>
      <c r="B46" s="160"/>
      <c r="C46" s="61"/>
      <c r="D46" s="167"/>
      <c r="E46" s="167"/>
      <c r="F46" s="167"/>
      <c r="G46" s="64"/>
      <c r="H46" s="168"/>
      <c r="I46" s="169"/>
      <c r="J46" s="169"/>
      <c r="K46" s="169"/>
      <c r="L46" s="173"/>
      <c r="M46" s="173"/>
      <c r="N46" s="169"/>
      <c r="O46" s="169"/>
      <c r="P46" s="168"/>
      <c r="Q46" s="171"/>
      <c r="R46" s="171"/>
      <c r="S46" s="171"/>
      <c r="T46" s="174"/>
      <c r="U46" s="72"/>
      <c r="V46" s="73"/>
      <c r="W46" s="169"/>
      <c r="X46" s="65"/>
      <c r="Y46" s="65"/>
      <c r="Z46" s="172"/>
      <c r="AA46" s="172"/>
      <c r="AB46" s="172"/>
      <c r="AC46" s="172"/>
      <c r="AD46" s="6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</row>
    <row r="47" spans="1:46" ht="16.5" customHeight="1">
      <c r="A47" s="422"/>
      <c r="B47" s="160"/>
      <c r="C47" s="61"/>
      <c r="D47" s="167"/>
      <c r="E47" s="167"/>
      <c r="F47" s="167"/>
      <c r="G47" s="64"/>
      <c r="H47" s="168"/>
      <c r="I47" s="169"/>
      <c r="J47" s="169"/>
      <c r="K47" s="169"/>
      <c r="L47" s="173"/>
      <c r="M47" s="173"/>
      <c r="N47" s="169"/>
      <c r="O47" s="169"/>
      <c r="P47" s="168"/>
      <c r="Q47" s="171"/>
      <c r="R47" s="171"/>
      <c r="S47" s="171"/>
      <c r="T47" s="174"/>
      <c r="U47" s="72"/>
      <c r="V47" s="73"/>
      <c r="W47" s="169"/>
      <c r="X47" s="65"/>
      <c r="Y47" s="65"/>
      <c r="Z47" s="172"/>
      <c r="AA47" s="172"/>
      <c r="AB47" s="172"/>
      <c r="AC47" s="172"/>
      <c r="AD47" s="6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</row>
    <row r="48" spans="1:46" ht="16.5" customHeight="1">
      <c r="A48" s="422"/>
      <c r="B48" s="160"/>
      <c r="C48" s="31"/>
      <c r="D48" s="161"/>
      <c r="E48" s="161"/>
      <c r="F48" s="161"/>
      <c r="G48" s="34"/>
      <c r="H48" s="162"/>
      <c r="I48" s="155"/>
      <c r="J48" s="155"/>
      <c r="K48" s="155"/>
      <c r="L48" s="156"/>
      <c r="M48" s="156"/>
      <c r="N48" s="155"/>
      <c r="O48" s="155"/>
      <c r="P48" s="162"/>
      <c r="Q48" s="163"/>
      <c r="R48" s="163"/>
      <c r="S48" s="163"/>
      <c r="T48" s="117"/>
      <c r="U48" s="129"/>
      <c r="V48" s="43"/>
      <c r="W48" s="155"/>
      <c r="X48" s="35"/>
      <c r="Y48" s="35"/>
      <c r="Z48" s="158"/>
      <c r="AA48" s="158"/>
      <c r="AB48" s="158"/>
      <c r="AC48" s="158"/>
      <c r="AD48" s="3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</row>
    <row r="49" spans="1:46" ht="16.5" customHeight="1">
      <c r="A49" s="422"/>
      <c r="B49" s="160"/>
      <c r="C49" s="31"/>
      <c r="D49" s="161"/>
      <c r="E49" s="161"/>
      <c r="F49" s="161"/>
      <c r="G49" s="34"/>
      <c r="H49" s="162"/>
      <c r="I49" s="155"/>
      <c r="J49" s="155"/>
      <c r="K49" s="155"/>
      <c r="L49" s="156"/>
      <c r="M49" s="156"/>
      <c r="N49" s="155"/>
      <c r="O49" s="155"/>
      <c r="P49" s="162"/>
      <c r="Q49" s="163"/>
      <c r="R49" s="163"/>
      <c r="S49" s="163"/>
      <c r="T49" s="117"/>
      <c r="U49" s="129"/>
      <c r="V49" s="43"/>
      <c r="W49" s="155"/>
      <c r="X49" s="35"/>
      <c r="Y49" s="35"/>
      <c r="Z49" s="158"/>
      <c r="AA49" s="158"/>
      <c r="AB49" s="158"/>
      <c r="AC49" s="158"/>
      <c r="AD49" s="3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</row>
    <row r="50" spans="1:46" ht="16.5" customHeight="1">
      <c r="A50" s="422"/>
      <c r="B50" s="160"/>
      <c r="C50" s="164"/>
      <c r="D50" s="33"/>
      <c r="E50" s="175"/>
      <c r="F50" s="175"/>
      <c r="G50" s="34"/>
      <c r="H50" s="162"/>
      <c r="I50" s="155"/>
      <c r="J50" s="155"/>
      <c r="K50" s="155"/>
      <c r="L50" s="165"/>
      <c r="M50" s="165"/>
      <c r="N50" s="155"/>
      <c r="O50" s="155"/>
      <c r="P50" s="162"/>
      <c r="Q50" s="163"/>
      <c r="R50" s="163"/>
      <c r="S50" s="163"/>
      <c r="T50" s="118"/>
      <c r="U50" s="117"/>
      <c r="V50" s="43"/>
      <c r="W50" s="155"/>
      <c r="X50" s="35"/>
      <c r="Y50" s="35"/>
      <c r="Z50" s="158"/>
      <c r="AA50" s="158"/>
      <c r="AB50" s="158"/>
      <c r="AC50" s="158"/>
      <c r="AD50" s="3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</row>
    <row r="51" spans="1:46" ht="16.5" customHeight="1">
      <c r="A51" s="422"/>
      <c r="B51" s="160"/>
      <c r="C51" s="31"/>
      <c r="D51" s="161"/>
      <c r="E51" s="161"/>
      <c r="F51" s="161"/>
      <c r="G51" s="34"/>
      <c r="H51" s="162"/>
      <c r="I51" s="155"/>
      <c r="J51" s="155"/>
      <c r="K51" s="155"/>
      <c r="L51" s="156"/>
      <c r="M51" s="156"/>
      <c r="N51" s="155"/>
      <c r="O51" s="155"/>
      <c r="P51" s="162"/>
      <c r="Q51" s="163"/>
      <c r="R51" s="163"/>
      <c r="S51" s="163"/>
      <c r="T51" s="117"/>
      <c r="U51" s="129"/>
      <c r="V51" s="43"/>
      <c r="W51" s="155"/>
      <c r="X51" s="35"/>
      <c r="Y51" s="35"/>
      <c r="Z51" s="158"/>
      <c r="AA51" s="158"/>
      <c r="AB51" s="158"/>
      <c r="AC51" s="158"/>
      <c r="AD51" s="3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</row>
    <row r="52" spans="1:46" ht="16.5" customHeight="1">
      <c r="A52" s="422"/>
      <c r="B52" s="160"/>
      <c r="C52" s="31"/>
      <c r="D52" s="161"/>
      <c r="E52" s="176"/>
      <c r="F52" s="176"/>
      <c r="G52" s="34"/>
      <c r="H52" s="162"/>
      <c r="I52" s="155"/>
      <c r="J52" s="155"/>
      <c r="K52" s="155"/>
      <c r="L52" s="156"/>
      <c r="M52" s="156"/>
      <c r="N52" s="155"/>
      <c r="O52" s="155"/>
      <c r="P52" s="162"/>
      <c r="Q52" s="163"/>
      <c r="R52" s="163"/>
      <c r="S52" s="163"/>
      <c r="T52" s="117"/>
      <c r="U52" s="129"/>
      <c r="V52" s="43"/>
      <c r="W52" s="155"/>
      <c r="X52" s="35"/>
      <c r="Y52" s="35"/>
      <c r="Z52" s="158"/>
      <c r="AA52" s="158"/>
      <c r="AB52" s="158"/>
      <c r="AC52" s="158"/>
      <c r="AD52" s="3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</row>
    <row r="53" spans="1:46" ht="16.5" customHeight="1">
      <c r="A53" s="422"/>
      <c r="B53" s="160"/>
      <c r="C53" s="31"/>
      <c r="D53" s="161"/>
      <c r="E53" s="161"/>
      <c r="F53" s="161"/>
      <c r="G53" s="34"/>
      <c r="H53" s="162"/>
      <c r="I53" s="155"/>
      <c r="J53" s="155"/>
      <c r="K53" s="155"/>
      <c r="L53" s="156"/>
      <c r="M53" s="156"/>
      <c r="N53" s="155"/>
      <c r="O53" s="155"/>
      <c r="P53" s="162"/>
      <c r="Q53" s="163"/>
      <c r="R53" s="163"/>
      <c r="S53" s="163"/>
      <c r="T53" s="117"/>
      <c r="U53" s="129"/>
      <c r="V53" s="43"/>
      <c r="W53" s="155"/>
      <c r="X53" s="35"/>
      <c r="Y53" s="35"/>
      <c r="Z53" s="158"/>
      <c r="AA53" s="158"/>
      <c r="AB53" s="158"/>
      <c r="AC53" s="158"/>
      <c r="AD53" s="3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</row>
    <row r="54" spans="1:46" ht="16.5" customHeight="1">
      <c r="A54" s="422"/>
      <c r="B54" s="153"/>
      <c r="C54" s="124"/>
      <c r="D54" s="154"/>
      <c r="E54" s="114"/>
      <c r="F54" s="114"/>
      <c r="G54" s="125"/>
      <c r="H54" s="159"/>
      <c r="I54" s="155"/>
      <c r="J54" s="155"/>
      <c r="K54" s="155"/>
      <c r="L54" s="156"/>
      <c r="M54" s="156"/>
      <c r="N54" s="155"/>
      <c r="O54" s="155"/>
      <c r="P54" s="159"/>
      <c r="Q54" s="157"/>
      <c r="R54" s="157"/>
      <c r="S54" s="157"/>
      <c r="T54" s="118"/>
      <c r="U54" s="117"/>
      <c r="V54" s="122"/>
      <c r="W54" s="155"/>
      <c r="X54" s="44"/>
      <c r="Y54" s="44"/>
      <c r="Z54" s="158"/>
      <c r="AA54" s="177"/>
      <c r="AB54" s="158"/>
      <c r="AC54" s="158"/>
      <c r="AD54" s="177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</row>
    <row r="55" spans="1:46" ht="16.5" customHeight="1">
      <c r="A55" s="422"/>
      <c r="B55" s="153"/>
      <c r="C55" s="124"/>
      <c r="D55" s="154"/>
      <c r="E55" s="114"/>
      <c r="F55" s="114"/>
      <c r="G55" s="125"/>
      <c r="H55" s="159"/>
      <c r="I55" s="155"/>
      <c r="J55" s="155"/>
      <c r="K55" s="155"/>
      <c r="L55" s="156"/>
      <c r="M55" s="156"/>
      <c r="N55" s="155"/>
      <c r="O55" s="155"/>
      <c r="P55" s="159"/>
      <c r="Q55" s="157"/>
      <c r="R55" s="157"/>
      <c r="S55" s="157"/>
      <c r="T55" s="118"/>
      <c r="U55" s="117"/>
      <c r="V55" s="122"/>
      <c r="W55" s="155"/>
      <c r="X55" s="44"/>
      <c r="Y55" s="44"/>
      <c r="Z55" s="158"/>
      <c r="AA55" s="158"/>
      <c r="AB55" s="158"/>
      <c r="AC55" s="158"/>
      <c r="AD55" s="44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</row>
    <row r="56" spans="1:46" ht="16.5" customHeight="1">
      <c r="A56" s="422"/>
      <c r="B56" s="153"/>
      <c r="C56" s="124"/>
      <c r="D56" s="154"/>
      <c r="E56" s="114"/>
      <c r="F56" s="114"/>
      <c r="G56" s="125"/>
      <c r="H56" s="159"/>
      <c r="I56" s="155"/>
      <c r="J56" s="155"/>
      <c r="K56" s="155"/>
      <c r="L56" s="156"/>
      <c r="M56" s="156"/>
      <c r="N56" s="155"/>
      <c r="O56" s="155"/>
      <c r="P56" s="159"/>
      <c r="Q56" s="157"/>
      <c r="R56" s="157"/>
      <c r="S56" s="157"/>
      <c r="T56" s="118"/>
      <c r="U56" s="117"/>
      <c r="V56" s="122"/>
      <c r="W56" s="155"/>
      <c r="X56" s="44"/>
      <c r="Y56" s="44"/>
      <c r="Z56" s="158"/>
      <c r="AA56" s="158"/>
      <c r="AB56" s="158"/>
      <c r="AC56" s="158"/>
      <c r="AD56" s="44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</row>
    <row r="57" spans="1:46" ht="16.5" customHeight="1">
      <c r="A57" s="422"/>
      <c r="B57" s="153"/>
      <c r="C57" s="109"/>
      <c r="D57" s="114"/>
      <c r="E57" s="178"/>
      <c r="F57" s="178"/>
      <c r="G57" s="125"/>
      <c r="H57" s="159"/>
      <c r="I57" s="155"/>
      <c r="J57" s="155"/>
      <c r="K57" s="155"/>
      <c r="L57" s="155"/>
      <c r="M57" s="155"/>
      <c r="N57" s="155"/>
      <c r="O57" s="155"/>
      <c r="P57" s="159"/>
      <c r="Q57" s="157"/>
      <c r="R57" s="157"/>
      <c r="S57" s="157"/>
      <c r="T57" s="118"/>
      <c r="U57" s="117"/>
      <c r="V57" s="122"/>
      <c r="W57" s="155"/>
      <c r="X57" s="44"/>
      <c r="Y57" s="44"/>
      <c r="Z57" s="158"/>
      <c r="AA57" s="158"/>
      <c r="AB57" s="158"/>
      <c r="AC57" s="158"/>
      <c r="AD57" s="177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</row>
    <row r="58" spans="1:46" ht="16.5" customHeight="1">
      <c r="A58" s="422"/>
      <c r="B58" s="153"/>
      <c r="C58" s="109"/>
      <c r="D58" s="114"/>
      <c r="E58" s="178"/>
      <c r="F58" s="178"/>
      <c r="G58" s="125"/>
      <c r="H58" s="159"/>
      <c r="I58" s="155"/>
      <c r="J58" s="155"/>
      <c r="K58" s="155"/>
      <c r="L58" s="155"/>
      <c r="M58" s="155"/>
      <c r="N58" s="155"/>
      <c r="O58" s="155"/>
      <c r="P58" s="159"/>
      <c r="Q58" s="157"/>
      <c r="R58" s="157"/>
      <c r="S58" s="157"/>
      <c r="T58" s="118"/>
      <c r="U58" s="117"/>
      <c r="V58" s="122"/>
      <c r="W58" s="155"/>
      <c r="X58" s="44"/>
      <c r="Y58" s="44"/>
      <c r="Z58" s="158"/>
      <c r="AA58" s="158"/>
      <c r="AB58" s="158"/>
      <c r="AC58" s="158"/>
      <c r="AD58" s="177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</row>
    <row r="59" spans="1:46" ht="16.5" customHeight="1">
      <c r="A59" s="422"/>
      <c r="B59" s="153"/>
      <c r="C59" s="124"/>
      <c r="D59" s="154"/>
      <c r="E59" s="154"/>
      <c r="F59" s="154"/>
      <c r="G59" s="125"/>
      <c r="H59" s="159"/>
      <c r="I59" s="155"/>
      <c r="J59" s="155"/>
      <c r="K59" s="155"/>
      <c r="L59" s="156"/>
      <c r="M59" s="156"/>
      <c r="N59" s="155"/>
      <c r="O59" s="155"/>
      <c r="P59" s="159"/>
      <c r="Q59" s="157"/>
      <c r="R59" s="157"/>
      <c r="S59" s="157"/>
      <c r="T59" s="117"/>
      <c r="U59" s="129"/>
      <c r="V59" s="122"/>
      <c r="W59" s="155"/>
      <c r="X59" s="44"/>
      <c r="Y59" s="44"/>
      <c r="Z59" s="158"/>
      <c r="AA59" s="158"/>
      <c r="AB59" s="158"/>
      <c r="AC59" s="158"/>
      <c r="AD59" s="44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</row>
    <row r="60" spans="1:46" ht="16.5" customHeight="1">
      <c r="A60" s="422"/>
      <c r="B60" s="153"/>
      <c r="C60" s="109"/>
      <c r="D60" s="123"/>
      <c r="E60" s="114"/>
      <c r="F60" s="114"/>
      <c r="G60" s="159"/>
      <c r="H60" s="159"/>
      <c r="I60" s="155"/>
      <c r="J60" s="155"/>
      <c r="K60" s="155"/>
      <c r="L60" s="155"/>
      <c r="M60" s="155"/>
      <c r="N60" s="165"/>
      <c r="O60" s="155"/>
      <c r="P60" s="159"/>
      <c r="Q60" s="157"/>
      <c r="R60" s="157"/>
      <c r="S60" s="157"/>
      <c r="T60" s="118"/>
      <c r="U60" s="117"/>
      <c r="V60" s="122"/>
      <c r="W60" s="155"/>
      <c r="X60" s="44"/>
      <c r="Y60" s="44"/>
      <c r="Z60" s="158"/>
      <c r="AA60" s="158"/>
      <c r="AB60" s="158"/>
      <c r="AC60" s="158"/>
      <c r="AD60" s="177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</row>
    <row r="61" spans="1:46" ht="16.5" customHeight="1">
      <c r="A61" s="422"/>
      <c r="B61" s="153"/>
      <c r="C61" s="124"/>
      <c r="D61" s="154"/>
      <c r="E61" s="178"/>
      <c r="F61" s="178"/>
      <c r="G61" s="159"/>
      <c r="H61" s="159"/>
      <c r="I61" s="155"/>
      <c r="J61" s="155"/>
      <c r="K61" s="155"/>
      <c r="L61" s="155"/>
      <c r="M61" s="155"/>
      <c r="N61" s="165"/>
      <c r="O61" s="155"/>
      <c r="P61" s="159"/>
      <c r="Q61" s="157"/>
      <c r="R61" s="157"/>
      <c r="S61" s="157"/>
      <c r="T61" s="117"/>
      <c r="U61" s="129"/>
      <c r="V61" s="122"/>
      <c r="W61" s="155"/>
      <c r="X61" s="44"/>
      <c r="Y61" s="44"/>
      <c r="Z61" s="158"/>
      <c r="AA61" s="158"/>
      <c r="AB61" s="158"/>
      <c r="AC61" s="158"/>
      <c r="AD61" s="44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</row>
    <row r="62" spans="1:46" ht="16.5" customHeight="1">
      <c r="A62" s="422"/>
      <c r="B62" s="153"/>
      <c r="C62" s="124"/>
      <c r="D62" s="154"/>
      <c r="E62" s="179"/>
      <c r="F62" s="179"/>
      <c r="G62" s="125"/>
      <c r="H62" s="159"/>
      <c r="I62" s="155"/>
      <c r="J62" s="155"/>
      <c r="K62" s="155"/>
      <c r="L62" s="155"/>
      <c r="M62" s="155"/>
      <c r="N62" s="165"/>
      <c r="O62" s="155"/>
      <c r="P62" s="159"/>
      <c r="Q62" s="157"/>
      <c r="R62" s="157"/>
      <c r="S62" s="157"/>
      <c r="T62" s="117"/>
      <c r="U62" s="117"/>
      <c r="V62" s="122"/>
      <c r="W62" s="155"/>
      <c r="X62" s="44"/>
      <c r="Y62" s="44"/>
      <c r="Z62" s="158"/>
      <c r="AA62" s="158"/>
      <c r="AB62" s="158"/>
      <c r="AC62" s="158"/>
      <c r="AD62" s="44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</row>
    <row r="63" spans="1:46" ht="16.5" customHeight="1">
      <c r="A63" s="422"/>
      <c r="B63" s="153"/>
      <c r="C63" s="124"/>
      <c r="D63" s="154"/>
      <c r="E63" s="179"/>
      <c r="F63" s="179"/>
      <c r="G63" s="159"/>
      <c r="H63" s="159"/>
      <c r="I63" s="155"/>
      <c r="J63" s="155"/>
      <c r="K63" s="155"/>
      <c r="L63" s="155"/>
      <c r="M63" s="155"/>
      <c r="N63" s="165"/>
      <c r="O63" s="155"/>
      <c r="P63" s="159"/>
      <c r="Q63" s="157"/>
      <c r="R63" s="157"/>
      <c r="S63" s="157"/>
      <c r="T63" s="117"/>
      <c r="U63" s="117"/>
      <c r="V63" s="122"/>
      <c r="W63" s="155"/>
      <c r="X63" s="44"/>
      <c r="Y63" s="44"/>
      <c r="Z63" s="158"/>
      <c r="AA63" s="158"/>
      <c r="AB63" s="158"/>
      <c r="AC63" s="158"/>
      <c r="AD63" s="44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</row>
    <row r="64" spans="1:46" ht="16.5" customHeight="1">
      <c r="A64" s="422"/>
      <c r="B64" s="153"/>
      <c r="C64" s="124"/>
      <c r="D64" s="154"/>
      <c r="E64" s="154"/>
      <c r="F64" s="154"/>
      <c r="G64" s="125"/>
      <c r="H64" s="159"/>
      <c r="I64" s="155"/>
      <c r="J64" s="155"/>
      <c r="K64" s="155"/>
      <c r="L64" s="155"/>
      <c r="M64" s="155"/>
      <c r="N64" s="165"/>
      <c r="O64" s="155"/>
      <c r="P64" s="159"/>
      <c r="Q64" s="157"/>
      <c r="R64" s="157"/>
      <c r="S64" s="157"/>
      <c r="T64" s="117"/>
      <c r="U64" s="129"/>
      <c r="V64" s="122"/>
      <c r="W64" s="155"/>
      <c r="X64" s="44"/>
      <c r="Y64" s="44"/>
      <c r="Z64" s="158"/>
      <c r="AA64" s="158"/>
      <c r="AB64" s="158"/>
      <c r="AC64" s="158"/>
      <c r="AD64" s="44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</row>
    <row r="65" spans="1:46" ht="16.5" customHeight="1">
      <c r="A65" s="422"/>
      <c r="B65" s="160"/>
      <c r="C65" s="31"/>
      <c r="D65" s="161"/>
      <c r="E65" s="161"/>
      <c r="F65" s="161"/>
      <c r="G65" s="34"/>
      <c r="H65" s="162"/>
      <c r="I65" s="155"/>
      <c r="J65" s="155"/>
      <c r="K65" s="155"/>
      <c r="L65" s="156"/>
      <c r="M65" s="156"/>
      <c r="N65" s="155"/>
      <c r="O65" s="155"/>
      <c r="P65" s="162"/>
      <c r="Q65" s="163"/>
      <c r="R65" s="163"/>
      <c r="S65" s="163"/>
      <c r="T65" s="117"/>
      <c r="U65" s="129"/>
      <c r="V65" s="43"/>
      <c r="W65" s="155"/>
      <c r="X65" s="35"/>
      <c r="Y65" s="35"/>
      <c r="Z65" s="158"/>
      <c r="AA65" s="158"/>
      <c r="AB65" s="158"/>
      <c r="AC65" s="158"/>
      <c r="AD65" s="3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</row>
    <row r="66" spans="1:46" ht="16.5" customHeight="1">
      <c r="A66" s="422"/>
      <c r="B66" s="160"/>
      <c r="C66" s="31"/>
      <c r="D66" s="161"/>
      <c r="E66" s="161"/>
      <c r="F66" s="161"/>
      <c r="G66" s="34"/>
      <c r="H66" s="162"/>
      <c r="I66" s="155"/>
      <c r="J66" s="155"/>
      <c r="K66" s="155"/>
      <c r="L66" s="156"/>
      <c r="M66" s="156"/>
      <c r="N66" s="155"/>
      <c r="O66" s="155"/>
      <c r="P66" s="162"/>
      <c r="Q66" s="163"/>
      <c r="R66" s="163"/>
      <c r="S66" s="163"/>
      <c r="T66" s="117"/>
      <c r="U66" s="129"/>
      <c r="V66" s="43"/>
      <c r="W66" s="155"/>
      <c r="X66" s="35"/>
      <c r="Y66" s="35"/>
      <c r="Z66" s="158"/>
      <c r="AA66" s="158"/>
      <c r="AB66" s="158"/>
      <c r="AC66" s="158"/>
      <c r="AD66" s="3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</row>
    <row r="67" spans="1:46" ht="16.5" customHeight="1">
      <c r="A67" s="422"/>
      <c r="B67" s="180"/>
      <c r="C67" s="31"/>
      <c r="D67" s="161"/>
      <c r="E67" s="161"/>
      <c r="F67" s="161"/>
      <c r="G67" s="34"/>
      <c r="H67" s="162"/>
      <c r="I67" s="155"/>
      <c r="J67" s="155"/>
      <c r="K67" s="155"/>
      <c r="L67" s="156"/>
      <c r="M67" s="156"/>
      <c r="N67" s="155"/>
      <c r="O67" s="155"/>
      <c r="P67" s="162"/>
      <c r="Q67" s="163"/>
      <c r="R67" s="163"/>
      <c r="S67" s="163"/>
      <c r="T67" s="117"/>
      <c r="U67" s="129"/>
      <c r="V67" s="43"/>
      <c r="W67" s="155"/>
      <c r="X67" s="35"/>
      <c r="Y67" s="35"/>
      <c r="Z67" s="158"/>
      <c r="AA67" s="158"/>
      <c r="AB67" s="158"/>
      <c r="AC67" s="158"/>
      <c r="AD67" s="3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</row>
    <row r="68" spans="1:46" ht="16.5" customHeight="1">
      <c r="A68" s="422"/>
      <c r="B68" s="180"/>
      <c r="C68" s="31"/>
      <c r="D68" s="161"/>
      <c r="E68" s="161"/>
      <c r="F68" s="161"/>
      <c r="G68" s="34"/>
      <c r="H68" s="34"/>
      <c r="I68" s="35"/>
      <c r="J68" s="35"/>
      <c r="K68" s="181"/>
      <c r="L68" s="156"/>
      <c r="M68" s="156"/>
      <c r="N68" s="37"/>
      <c r="O68" s="37"/>
      <c r="P68" s="34"/>
      <c r="Q68" s="163"/>
      <c r="R68" s="163"/>
      <c r="S68" s="163"/>
      <c r="T68" s="117"/>
      <c r="U68" s="129"/>
      <c r="V68" s="43"/>
      <c r="W68" s="35"/>
      <c r="X68" s="35"/>
      <c r="Y68" s="35"/>
      <c r="Z68" s="158"/>
      <c r="AA68" s="158"/>
      <c r="AB68" s="158"/>
      <c r="AC68" s="158"/>
      <c r="AD68" s="3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</row>
    <row r="69" spans="1:46" ht="16.5" customHeight="1">
      <c r="A69" s="422"/>
      <c r="B69" s="180"/>
      <c r="C69" s="31"/>
      <c r="D69" s="161"/>
      <c r="E69" s="161"/>
      <c r="F69" s="161"/>
      <c r="G69" s="34"/>
      <c r="H69" s="162"/>
      <c r="I69" s="155"/>
      <c r="J69" s="155"/>
      <c r="K69" s="155"/>
      <c r="L69" s="165"/>
      <c r="M69" s="165"/>
      <c r="N69" s="155"/>
      <c r="O69" s="155"/>
      <c r="P69" s="162"/>
      <c r="Q69" s="163"/>
      <c r="R69" s="163"/>
      <c r="S69" s="163"/>
      <c r="T69" s="117"/>
      <c r="U69" s="129"/>
      <c r="V69" s="43"/>
      <c r="W69" s="155"/>
      <c r="X69" s="35"/>
      <c r="Y69" s="35"/>
      <c r="Z69" s="158"/>
      <c r="AA69" s="158"/>
      <c r="AB69" s="158"/>
      <c r="AC69" s="158"/>
      <c r="AD69" s="3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</row>
    <row r="70" spans="1:46" ht="16.5" customHeight="1">
      <c r="A70" s="422"/>
      <c r="B70" s="180"/>
      <c r="C70" s="31"/>
      <c r="D70" s="161"/>
      <c r="E70" s="161"/>
      <c r="F70" s="161"/>
      <c r="G70" s="34"/>
      <c r="H70" s="34"/>
      <c r="I70" s="155"/>
      <c r="J70" s="155"/>
      <c r="K70" s="155"/>
      <c r="L70" s="165"/>
      <c r="M70" s="165"/>
      <c r="N70" s="155"/>
      <c r="O70" s="155"/>
      <c r="P70" s="162"/>
      <c r="Q70" s="163"/>
      <c r="R70" s="163"/>
      <c r="S70" s="163"/>
      <c r="T70" s="117"/>
      <c r="U70" s="129"/>
      <c r="V70" s="43"/>
      <c r="W70" s="155"/>
      <c r="X70" s="35"/>
      <c r="Y70" s="35"/>
      <c r="Z70" s="158"/>
      <c r="AA70" s="158"/>
      <c r="AB70" s="158"/>
      <c r="AC70" s="158"/>
      <c r="AD70" s="3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</row>
    <row r="71" spans="1:46" ht="16.5" customHeight="1">
      <c r="A71" s="422"/>
      <c r="B71" s="180"/>
      <c r="C71" s="31"/>
      <c r="D71" s="161"/>
      <c r="E71" s="161"/>
      <c r="F71" s="161"/>
      <c r="G71" s="34"/>
      <c r="H71" s="34"/>
      <c r="I71" s="45"/>
      <c r="J71" s="45"/>
      <c r="K71" s="45"/>
      <c r="L71" s="45"/>
      <c r="M71" s="45"/>
      <c r="N71" s="45"/>
      <c r="O71" s="45"/>
      <c r="P71" s="45"/>
      <c r="Q71" s="163"/>
      <c r="R71" s="163"/>
      <c r="S71" s="163"/>
      <c r="T71" s="117"/>
      <c r="U71" s="129"/>
      <c r="V71" s="43"/>
      <c r="W71" s="45"/>
      <c r="X71" s="35"/>
      <c r="Y71" s="35"/>
      <c r="Z71" s="158"/>
      <c r="AA71" s="158"/>
      <c r="AB71" s="158"/>
      <c r="AC71" s="158"/>
      <c r="AD71" s="3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</row>
    <row r="72" spans="1:46" ht="16.5" customHeight="1">
      <c r="A72" s="422"/>
      <c r="B72" s="180"/>
      <c r="C72" s="31"/>
      <c r="D72" s="161"/>
      <c r="E72" s="161"/>
      <c r="F72" s="161"/>
      <c r="G72" s="34"/>
      <c r="H72" s="34"/>
      <c r="I72" s="35"/>
      <c r="J72" s="35"/>
      <c r="K72" s="155"/>
      <c r="L72" s="165"/>
      <c r="M72" s="165"/>
      <c r="N72" s="37"/>
      <c r="O72" s="37"/>
      <c r="P72" s="162"/>
      <c r="Q72" s="163"/>
      <c r="R72" s="163"/>
      <c r="S72" s="163"/>
      <c r="T72" s="117"/>
      <c r="U72" s="129"/>
      <c r="V72" s="43"/>
      <c r="W72" s="35"/>
      <c r="X72" s="35"/>
      <c r="Y72" s="35"/>
      <c r="Z72" s="158"/>
      <c r="AA72" s="158"/>
      <c r="AB72" s="158"/>
      <c r="AC72" s="158"/>
      <c r="AD72" s="3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</row>
    <row r="73" spans="1:46" ht="16.5" customHeight="1">
      <c r="A73" s="422"/>
      <c r="B73" s="180"/>
      <c r="C73" s="31"/>
      <c r="D73" s="161"/>
      <c r="E73" s="161"/>
      <c r="F73" s="161"/>
      <c r="G73" s="34"/>
      <c r="H73" s="34"/>
      <c r="I73" s="35"/>
      <c r="J73" s="35"/>
      <c r="K73" s="181"/>
      <c r="L73" s="165"/>
      <c r="M73" s="165"/>
      <c r="N73" s="181"/>
      <c r="O73" s="37"/>
      <c r="P73" s="162"/>
      <c r="Q73" s="163"/>
      <c r="R73" s="163"/>
      <c r="S73" s="163"/>
      <c r="T73" s="117"/>
      <c r="U73" s="129"/>
      <c r="V73" s="43"/>
      <c r="W73" s="35"/>
      <c r="X73" s="35"/>
      <c r="Y73" s="35"/>
      <c r="Z73" s="158"/>
      <c r="AA73" s="158"/>
      <c r="AB73" s="158"/>
      <c r="AC73" s="158"/>
      <c r="AD73" s="3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</row>
    <row r="74" spans="1:46" ht="16.5" customHeight="1">
      <c r="A74" s="422"/>
      <c r="B74" s="180"/>
      <c r="C74" s="31"/>
      <c r="D74" s="161"/>
      <c r="E74" s="161"/>
      <c r="F74" s="161"/>
      <c r="G74" s="34"/>
      <c r="H74" s="34"/>
      <c r="I74" s="161"/>
      <c r="J74" s="161"/>
      <c r="K74" s="181"/>
      <c r="L74" s="156"/>
      <c r="M74" s="156"/>
      <c r="N74" s="37"/>
      <c r="O74" s="37"/>
      <c r="P74" s="34"/>
      <c r="Q74" s="163"/>
      <c r="R74" s="163"/>
      <c r="S74" s="163"/>
      <c r="T74" s="117"/>
      <c r="U74" s="129"/>
      <c r="V74" s="43"/>
      <c r="W74" s="161"/>
      <c r="X74" s="35"/>
      <c r="Y74" s="35"/>
      <c r="Z74" s="158"/>
      <c r="AA74" s="158"/>
      <c r="AB74" s="158"/>
      <c r="AC74" s="158"/>
      <c r="AD74" s="3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</row>
    <row r="75" spans="1:46" ht="16.5" customHeight="1">
      <c r="A75" s="422"/>
      <c r="B75" s="183"/>
      <c r="C75" s="184"/>
      <c r="D75" s="37"/>
      <c r="E75" s="185"/>
      <c r="F75" s="185"/>
      <c r="G75" s="186"/>
      <c r="H75" s="186"/>
      <c r="I75" s="187"/>
      <c r="J75" s="187"/>
      <c r="K75" s="187"/>
      <c r="L75" s="185"/>
      <c r="M75" s="185"/>
      <c r="N75" s="37"/>
      <c r="O75" s="37"/>
      <c r="P75" s="425"/>
      <c r="Q75" s="189"/>
      <c r="R75" s="189"/>
      <c r="S75" s="426"/>
      <c r="T75" s="190"/>
      <c r="U75" s="191"/>
      <c r="V75" s="192"/>
      <c r="W75" s="187"/>
      <c r="X75" s="187"/>
      <c r="Y75" s="187"/>
      <c r="Z75" s="35"/>
      <c r="AA75" s="35"/>
      <c r="AB75" s="193"/>
      <c r="AC75" s="35"/>
      <c r="AD75" s="3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</row>
    <row r="76" spans="1:46" ht="16.5" customHeight="1">
      <c r="A76" s="422"/>
      <c r="B76" s="194"/>
      <c r="C76" s="184"/>
      <c r="D76" s="37"/>
      <c r="E76" s="185"/>
      <c r="F76" s="185"/>
      <c r="G76" s="186"/>
      <c r="H76" s="186"/>
      <c r="I76" s="187"/>
      <c r="J76" s="187"/>
      <c r="K76" s="187"/>
      <c r="L76" s="185"/>
      <c r="M76" s="185"/>
      <c r="N76" s="37"/>
      <c r="O76" s="37"/>
      <c r="P76" s="425"/>
      <c r="Q76" s="189"/>
      <c r="R76" s="189"/>
      <c r="S76" s="426"/>
      <c r="T76" s="190"/>
      <c r="U76" s="191"/>
      <c r="V76" s="192"/>
      <c r="W76" s="187"/>
      <c r="X76" s="187"/>
      <c r="Y76" s="187"/>
      <c r="Z76" s="35"/>
      <c r="AA76" s="35"/>
      <c r="AB76" s="193"/>
      <c r="AC76" s="35"/>
      <c r="AD76" s="3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</row>
    <row r="77" spans="1:46" ht="16.5" customHeight="1">
      <c r="A77" s="422"/>
      <c r="B77" s="194"/>
      <c r="C77" s="184"/>
      <c r="D77" s="37"/>
      <c r="E77" s="185"/>
      <c r="F77" s="185"/>
      <c r="G77" s="186"/>
      <c r="H77" s="186"/>
      <c r="I77" s="187"/>
      <c r="J77" s="187"/>
      <c r="K77" s="187"/>
      <c r="L77" s="185"/>
      <c r="M77" s="185"/>
      <c r="N77" s="37"/>
      <c r="O77" s="37"/>
      <c r="P77" s="425"/>
      <c r="Q77" s="189"/>
      <c r="R77" s="189"/>
      <c r="S77" s="426"/>
      <c r="T77" s="190"/>
      <c r="U77" s="191"/>
      <c r="V77" s="192"/>
      <c r="W77" s="187"/>
      <c r="X77" s="187"/>
      <c r="Y77" s="187"/>
      <c r="Z77" s="35"/>
      <c r="AA77" s="35"/>
      <c r="AB77" s="193"/>
      <c r="AC77" s="35"/>
      <c r="AD77" s="3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</row>
    <row r="78" spans="1:46" ht="16.5" customHeight="1">
      <c r="A78" s="422"/>
      <c r="B78" s="194"/>
      <c r="C78" s="184"/>
      <c r="D78" s="37"/>
      <c r="E78" s="185"/>
      <c r="F78" s="185"/>
      <c r="G78" s="186"/>
      <c r="H78" s="186"/>
      <c r="I78" s="187"/>
      <c r="J78" s="187"/>
      <c r="K78" s="187"/>
      <c r="L78" s="185"/>
      <c r="M78" s="185"/>
      <c r="N78" s="37"/>
      <c r="O78" s="37"/>
      <c r="P78" s="425"/>
      <c r="Q78" s="189"/>
      <c r="R78" s="189"/>
      <c r="S78" s="426"/>
      <c r="T78" s="190"/>
      <c r="U78" s="191"/>
      <c r="V78" s="192"/>
      <c r="W78" s="187"/>
      <c r="X78" s="187"/>
      <c r="Y78" s="187"/>
      <c r="Z78" s="35"/>
      <c r="AA78" s="35"/>
      <c r="AB78" s="193"/>
      <c r="AC78" s="35"/>
      <c r="AD78" s="3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</row>
    <row r="79" spans="1:46" ht="16.5" customHeight="1">
      <c r="A79" s="422"/>
      <c r="B79" s="180"/>
      <c r="C79" s="31"/>
      <c r="D79" s="161"/>
      <c r="E79" s="161"/>
      <c r="F79" s="161"/>
      <c r="G79" s="34"/>
      <c r="H79" s="34"/>
      <c r="I79" s="35"/>
      <c r="J79" s="35"/>
      <c r="K79" s="181"/>
      <c r="L79" s="156"/>
      <c r="M79" s="156"/>
      <c r="N79" s="37"/>
      <c r="O79" s="37"/>
      <c r="P79" s="34"/>
      <c r="Q79" s="163"/>
      <c r="R79" s="163"/>
      <c r="S79" s="163"/>
      <c r="T79" s="117"/>
      <c r="U79" s="129"/>
      <c r="V79" s="43"/>
      <c r="W79" s="35"/>
      <c r="X79" s="35"/>
      <c r="Y79" s="35"/>
      <c r="Z79" s="158"/>
      <c r="AA79" s="158"/>
      <c r="AB79" s="158"/>
      <c r="AC79" s="158"/>
      <c r="AD79" s="3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</row>
    <row r="80" spans="1:46" ht="16.5" customHeight="1">
      <c r="A80" s="422"/>
      <c r="B80" s="195"/>
      <c r="C80" s="196"/>
      <c r="D80" s="197"/>
      <c r="E80" s="197"/>
      <c r="F80" s="197"/>
      <c r="G80" s="198"/>
      <c r="H80" s="198"/>
      <c r="I80" s="158"/>
      <c r="J80" s="158"/>
      <c r="K80" s="155"/>
      <c r="L80" s="165"/>
      <c r="M80" s="165"/>
      <c r="N80" s="37"/>
      <c r="O80" s="37"/>
      <c r="P80" s="198"/>
      <c r="Q80" s="163"/>
      <c r="R80" s="163"/>
      <c r="S80" s="163"/>
      <c r="T80" s="118"/>
      <c r="U80" s="129"/>
      <c r="V80" s="43"/>
      <c r="W80" s="158"/>
      <c r="X80" s="158"/>
      <c r="Y80" s="158"/>
      <c r="Z80" s="177"/>
      <c r="AA80" s="177"/>
      <c r="AB80" s="177"/>
      <c r="AC80" s="177"/>
      <c r="AD80" s="177"/>
      <c r="AE80" s="74"/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</row>
    <row r="81" spans="1:46" ht="16.5" customHeight="1">
      <c r="A81" s="422"/>
      <c r="B81" s="195"/>
      <c r="C81" s="196"/>
      <c r="D81" s="201"/>
      <c r="E81" s="201"/>
      <c r="F81" s="201"/>
      <c r="G81" s="198"/>
      <c r="H81" s="198"/>
      <c r="I81" s="158"/>
      <c r="J81" s="158"/>
      <c r="K81" s="155"/>
      <c r="L81" s="165"/>
      <c r="M81" s="165"/>
      <c r="N81" s="37"/>
      <c r="O81" s="37"/>
      <c r="P81" s="198"/>
      <c r="Q81" s="163"/>
      <c r="R81" s="163"/>
      <c r="S81" s="163"/>
      <c r="T81" s="118"/>
      <c r="U81" s="129"/>
      <c r="V81" s="43"/>
      <c r="W81" s="158"/>
      <c r="X81" s="158"/>
      <c r="Y81" s="158"/>
      <c r="Z81" s="177"/>
      <c r="AA81" s="177"/>
      <c r="AB81" s="177"/>
      <c r="AC81" s="177"/>
      <c r="AD81" s="158"/>
      <c r="AE81" s="74"/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</row>
    <row r="82" spans="1:46" ht="16.5" customHeight="1">
      <c r="A82" s="422"/>
      <c r="B82" s="195"/>
      <c r="C82" s="196"/>
      <c r="D82" s="201"/>
      <c r="E82" s="201"/>
      <c r="F82" s="201"/>
      <c r="G82" s="198"/>
      <c r="H82" s="198"/>
      <c r="I82" s="158"/>
      <c r="J82" s="158"/>
      <c r="K82" s="155"/>
      <c r="L82" s="165"/>
      <c r="M82" s="165"/>
      <c r="N82" s="37"/>
      <c r="O82" s="37"/>
      <c r="P82" s="198"/>
      <c r="Q82" s="163"/>
      <c r="R82" s="163"/>
      <c r="S82" s="163"/>
      <c r="T82" s="118"/>
      <c r="U82" s="129"/>
      <c r="V82" s="43"/>
      <c r="W82" s="158"/>
      <c r="X82" s="158"/>
      <c r="Y82" s="158"/>
      <c r="Z82" s="177"/>
      <c r="AA82" s="177"/>
      <c r="AB82" s="177"/>
      <c r="AC82" s="177"/>
      <c r="AD82" s="158"/>
      <c r="AE82" s="74"/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</row>
    <row r="83" spans="1:46" ht="16.5" customHeight="1">
      <c r="A83" s="422"/>
      <c r="B83" s="195"/>
      <c r="C83" s="196"/>
      <c r="D83" s="201"/>
      <c r="E83" s="201"/>
      <c r="F83" s="201"/>
      <c r="G83" s="198"/>
      <c r="H83" s="198"/>
      <c r="I83" s="158"/>
      <c r="J83" s="158"/>
      <c r="K83" s="155"/>
      <c r="L83" s="165"/>
      <c r="M83" s="165"/>
      <c r="N83" s="37"/>
      <c r="O83" s="37"/>
      <c r="P83" s="198"/>
      <c r="Q83" s="163"/>
      <c r="R83" s="163"/>
      <c r="S83" s="163"/>
      <c r="T83" s="118"/>
      <c r="U83" s="129"/>
      <c r="V83" s="43"/>
      <c r="W83" s="158"/>
      <c r="X83" s="158"/>
      <c r="Y83" s="158"/>
      <c r="Z83" s="177"/>
      <c r="AA83" s="177"/>
      <c r="AB83" s="177"/>
      <c r="AC83" s="177"/>
      <c r="AD83" s="158"/>
      <c r="AE83" s="74"/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</row>
    <row r="84" spans="1:46" ht="16.5" customHeight="1">
      <c r="A84" s="422"/>
      <c r="B84" s="195"/>
      <c r="C84" s="196"/>
      <c r="D84" s="197"/>
      <c r="E84" s="165"/>
      <c r="F84" s="165"/>
      <c r="G84" s="198"/>
      <c r="H84" s="198"/>
      <c r="I84" s="158"/>
      <c r="J84" s="158"/>
      <c r="K84" s="155"/>
      <c r="L84" s="165"/>
      <c r="M84" s="165"/>
      <c r="N84" s="37"/>
      <c r="O84" s="37"/>
      <c r="P84" s="198"/>
      <c r="Q84" s="202"/>
      <c r="R84" s="202"/>
      <c r="S84" s="163"/>
      <c r="T84" s="118"/>
      <c r="U84" s="117"/>
      <c r="V84" s="43"/>
      <c r="W84" s="158"/>
      <c r="X84" s="158"/>
      <c r="Y84" s="158"/>
      <c r="Z84" s="177"/>
      <c r="AA84" s="177"/>
      <c r="AB84" s="177"/>
      <c r="AC84" s="177"/>
      <c r="AD84" s="177"/>
      <c r="AE84" s="74"/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</row>
    <row r="85" spans="1:46" ht="16.5" customHeight="1">
      <c r="A85" s="422"/>
      <c r="B85" s="195"/>
      <c r="C85" s="196"/>
      <c r="D85" s="197"/>
      <c r="E85" s="165"/>
      <c r="F85" s="165"/>
      <c r="G85" s="198"/>
      <c r="H85" s="198"/>
      <c r="I85" s="158"/>
      <c r="J85" s="158"/>
      <c r="K85" s="155"/>
      <c r="L85" s="165"/>
      <c r="M85" s="165"/>
      <c r="N85" s="37"/>
      <c r="O85" s="37"/>
      <c r="P85" s="198"/>
      <c r="Q85" s="202"/>
      <c r="R85" s="202"/>
      <c r="S85" s="163"/>
      <c r="T85" s="118"/>
      <c r="U85" s="117"/>
      <c r="V85" s="43"/>
      <c r="W85" s="158"/>
      <c r="X85" s="158"/>
      <c r="Y85" s="158"/>
      <c r="Z85" s="177"/>
      <c r="AA85" s="177"/>
      <c r="AB85" s="177"/>
      <c r="AC85" s="177"/>
      <c r="AD85" s="177"/>
      <c r="AE85" s="74"/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</row>
    <row r="86" spans="1:46" ht="16.5" customHeight="1">
      <c r="A86" s="422"/>
      <c r="B86" s="195"/>
      <c r="C86" s="196"/>
      <c r="D86" s="203"/>
      <c r="E86" s="203"/>
      <c r="F86" s="203"/>
      <c r="G86" s="204"/>
      <c r="H86" s="198"/>
      <c r="I86" s="158"/>
      <c r="J86" s="158"/>
      <c r="K86" s="155"/>
      <c r="L86" s="165"/>
      <c r="M86" s="165"/>
      <c r="N86" s="37"/>
      <c r="O86" s="37"/>
      <c r="P86" s="198"/>
      <c r="Q86" s="163"/>
      <c r="R86" s="163"/>
      <c r="S86" s="163"/>
      <c r="T86" s="118"/>
      <c r="U86" s="205"/>
      <c r="V86" s="129"/>
      <c r="W86" s="158"/>
      <c r="X86" s="206"/>
      <c r="Y86" s="206"/>
      <c r="Z86" s="158"/>
      <c r="AA86" s="177"/>
      <c r="AB86" s="177"/>
      <c r="AC86" s="177"/>
      <c r="AD86" s="158"/>
      <c r="AE86" s="74"/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</row>
    <row r="87" spans="1:46" ht="16.5" customHeight="1">
      <c r="A87" s="422"/>
      <c r="B87" s="195"/>
      <c r="C87" s="196"/>
      <c r="D87" s="197"/>
      <c r="E87" s="165"/>
      <c r="F87" s="165"/>
      <c r="G87" s="198"/>
      <c r="H87" s="198"/>
      <c r="I87" s="158"/>
      <c r="J87" s="158"/>
      <c r="K87" s="155"/>
      <c r="L87" s="165"/>
      <c r="M87" s="165"/>
      <c r="N87" s="37"/>
      <c r="O87" s="37"/>
      <c r="P87" s="198"/>
      <c r="Q87" s="202"/>
      <c r="R87" s="202"/>
      <c r="S87" s="163"/>
      <c r="T87" s="118"/>
      <c r="U87" s="117"/>
      <c r="V87" s="129"/>
      <c r="W87" s="158"/>
      <c r="X87" s="158"/>
      <c r="Y87" s="158"/>
      <c r="Z87" s="177"/>
      <c r="AA87" s="177"/>
      <c r="AB87" s="177"/>
      <c r="AC87" s="177"/>
      <c r="AD87" s="177"/>
      <c r="AE87" s="74"/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200"/>
      <c r="AQ87" s="200"/>
      <c r="AR87" s="200"/>
      <c r="AS87" s="200"/>
      <c r="AT87" s="200"/>
    </row>
    <row r="88" spans="1:46" ht="16.5" customHeight="1">
      <c r="A88" s="422"/>
      <c r="B88" s="195"/>
      <c r="C88" s="196"/>
      <c r="D88" s="197"/>
      <c r="E88" s="197"/>
      <c r="F88" s="197"/>
      <c r="G88" s="198"/>
      <c r="H88" s="198"/>
      <c r="I88" s="158"/>
      <c r="J88" s="158"/>
      <c r="K88" s="155"/>
      <c r="L88" s="165"/>
      <c r="M88" s="165"/>
      <c r="N88" s="37"/>
      <c r="O88" s="37"/>
      <c r="P88" s="198"/>
      <c r="Q88" s="202"/>
      <c r="R88" s="202"/>
      <c r="S88" s="163"/>
      <c r="T88" s="118"/>
      <c r="U88" s="129"/>
      <c r="V88" s="43"/>
      <c r="W88" s="158"/>
      <c r="X88" s="158"/>
      <c r="Y88" s="158"/>
      <c r="Z88" s="177"/>
      <c r="AA88" s="177"/>
      <c r="AB88" s="177"/>
      <c r="AC88" s="177"/>
      <c r="AD88" s="177"/>
      <c r="AE88" s="74"/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</row>
    <row r="89" spans="1:46" ht="16.5" customHeight="1">
      <c r="A89" s="422"/>
      <c r="B89" s="195"/>
      <c r="C89" s="196"/>
      <c r="D89" s="197"/>
      <c r="E89" s="197"/>
      <c r="F89" s="197"/>
      <c r="G89" s="198"/>
      <c r="H89" s="198"/>
      <c r="I89" s="158"/>
      <c r="J89" s="158"/>
      <c r="K89" s="155"/>
      <c r="L89" s="165"/>
      <c r="M89" s="165"/>
      <c r="N89" s="37"/>
      <c r="O89" s="37"/>
      <c r="P89" s="198"/>
      <c r="Q89" s="202"/>
      <c r="R89" s="202"/>
      <c r="S89" s="163"/>
      <c r="T89" s="150"/>
      <c r="U89" s="129"/>
      <c r="V89" s="43"/>
      <c r="W89" s="158"/>
      <c r="X89" s="158"/>
      <c r="Y89" s="158"/>
      <c r="Z89" s="177"/>
      <c r="AA89" s="177"/>
      <c r="AB89" s="177"/>
      <c r="AC89" s="177"/>
      <c r="AD89" s="177"/>
      <c r="AE89" s="74"/>
      <c r="AF89" s="200"/>
      <c r="AG89" s="207"/>
      <c r="AH89" s="207"/>
      <c r="AI89" s="207"/>
      <c r="AJ89" s="207"/>
      <c r="AK89" s="207"/>
      <c r="AL89" s="207"/>
      <c r="AM89" s="207"/>
      <c r="AN89" s="207"/>
      <c r="AO89" s="207"/>
      <c r="AP89" s="207"/>
      <c r="AQ89" s="207"/>
      <c r="AR89" s="207"/>
      <c r="AS89" s="207"/>
      <c r="AT89" s="207"/>
    </row>
    <row r="90" spans="1:46" ht="16.5" customHeight="1">
      <c r="A90" s="422"/>
      <c r="B90" s="208"/>
      <c r="C90" s="196"/>
      <c r="D90" s="197"/>
      <c r="E90" s="165"/>
      <c r="F90" s="165"/>
      <c r="G90" s="198"/>
      <c r="H90" s="198"/>
      <c r="I90" s="177"/>
      <c r="J90" s="177"/>
      <c r="K90" s="177"/>
      <c r="L90" s="165"/>
      <c r="M90" s="165"/>
      <c r="N90" s="177"/>
      <c r="O90" s="177"/>
      <c r="P90" s="427"/>
      <c r="Q90" s="163"/>
      <c r="R90" s="163"/>
      <c r="S90" s="163"/>
      <c r="T90" s="118"/>
      <c r="U90" s="117"/>
      <c r="V90" s="129"/>
      <c r="W90" s="177"/>
      <c r="X90" s="158"/>
      <c r="Y90" s="158"/>
      <c r="Z90" s="158"/>
      <c r="AA90" s="177"/>
      <c r="AB90" s="177"/>
      <c r="AC90" s="177"/>
      <c r="AD90" s="158"/>
      <c r="AE90" s="74"/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Q90" s="200"/>
      <c r="AR90" s="200"/>
      <c r="AS90" s="200"/>
      <c r="AT90" s="200"/>
    </row>
    <row r="91" spans="1:46" ht="16.5" customHeight="1">
      <c r="A91" s="422"/>
      <c r="B91" s="195"/>
      <c r="C91" s="196"/>
      <c r="D91" s="197"/>
      <c r="E91" s="165"/>
      <c r="F91" s="165"/>
      <c r="G91" s="198"/>
      <c r="H91" s="198"/>
      <c r="I91" s="177"/>
      <c r="J91" s="177"/>
      <c r="K91" s="177"/>
      <c r="L91" s="165"/>
      <c r="M91" s="165"/>
      <c r="N91" s="177"/>
      <c r="O91" s="177"/>
      <c r="P91" s="427"/>
      <c r="Q91" s="163"/>
      <c r="R91" s="163"/>
      <c r="S91" s="163"/>
      <c r="T91" s="118"/>
      <c r="U91" s="117"/>
      <c r="V91" s="129"/>
      <c r="W91" s="177"/>
      <c r="X91" s="158"/>
      <c r="Y91" s="158"/>
      <c r="Z91" s="158"/>
      <c r="AA91" s="177"/>
      <c r="AB91" s="177"/>
      <c r="AC91" s="177"/>
      <c r="AD91" s="177"/>
      <c r="AE91" s="74"/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  <c r="AT91" s="200"/>
    </row>
    <row r="92" spans="1:46" ht="16.5" customHeight="1">
      <c r="A92" s="422"/>
      <c r="B92" s="195"/>
      <c r="C92" s="196"/>
      <c r="D92" s="197"/>
      <c r="E92" s="197"/>
      <c r="F92" s="197"/>
      <c r="G92" s="198"/>
      <c r="H92" s="198"/>
      <c r="I92" s="158"/>
      <c r="J92" s="158"/>
      <c r="K92" s="155"/>
      <c r="L92" s="165"/>
      <c r="M92" s="165"/>
      <c r="N92" s="37"/>
      <c r="O92" s="37"/>
      <c r="P92" s="198"/>
      <c r="Q92" s="202"/>
      <c r="R92" s="202"/>
      <c r="S92" s="163"/>
      <c r="T92" s="118"/>
      <c r="U92" s="129"/>
      <c r="V92" s="129"/>
      <c r="W92" s="158"/>
      <c r="X92" s="158"/>
      <c r="Y92" s="158"/>
      <c r="Z92" s="158"/>
      <c r="AA92" s="177"/>
      <c r="AB92" s="177"/>
      <c r="AC92" s="177"/>
      <c r="AD92" s="158"/>
      <c r="AE92" s="74"/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200"/>
      <c r="AQ92" s="200"/>
      <c r="AR92" s="200"/>
      <c r="AS92" s="200"/>
      <c r="AT92" s="200"/>
    </row>
    <row r="93" spans="1:46" ht="16.5" customHeight="1">
      <c r="A93" s="422"/>
      <c r="B93" s="195"/>
      <c r="C93" s="196"/>
      <c r="D93" s="197"/>
      <c r="E93" s="197"/>
      <c r="F93" s="197"/>
      <c r="G93" s="198"/>
      <c r="H93" s="198"/>
      <c r="I93" s="158"/>
      <c r="J93" s="158"/>
      <c r="K93" s="155"/>
      <c r="L93" s="165"/>
      <c r="M93" s="165"/>
      <c r="N93" s="37"/>
      <c r="O93" s="37"/>
      <c r="P93" s="198"/>
      <c r="Q93" s="202"/>
      <c r="R93" s="202"/>
      <c r="S93" s="163"/>
      <c r="T93" s="118"/>
      <c r="U93" s="129"/>
      <c r="V93" s="129"/>
      <c r="W93" s="158"/>
      <c r="X93" s="158"/>
      <c r="Y93" s="158"/>
      <c r="Z93" s="158"/>
      <c r="AA93" s="177"/>
      <c r="AB93" s="177"/>
      <c r="AC93" s="177"/>
      <c r="AD93" s="158"/>
      <c r="AE93" s="74"/>
      <c r="AF93" s="200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</row>
    <row r="94" spans="1:46" ht="16.5" customHeight="1">
      <c r="A94" s="422"/>
      <c r="B94" s="208"/>
      <c r="C94" s="196"/>
      <c r="D94" s="197"/>
      <c r="E94" s="165"/>
      <c r="F94" s="165"/>
      <c r="G94" s="198"/>
      <c r="H94" s="198"/>
      <c r="I94" s="158"/>
      <c r="J94" s="158"/>
      <c r="K94" s="155"/>
      <c r="L94" s="165"/>
      <c r="M94" s="165"/>
      <c r="N94" s="37"/>
      <c r="O94" s="37"/>
      <c r="P94" s="199"/>
      <c r="Q94" s="202"/>
      <c r="R94" s="202"/>
      <c r="S94" s="163"/>
      <c r="T94" s="118"/>
      <c r="U94" s="129"/>
      <c r="V94" s="43"/>
      <c r="W94" s="158"/>
      <c r="X94" s="158"/>
      <c r="Y94" s="158"/>
      <c r="Z94" s="177"/>
      <c r="AA94" s="177"/>
      <c r="AB94" s="177"/>
      <c r="AC94" s="177"/>
      <c r="AD94" s="158"/>
      <c r="AE94" s="74"/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</row>
    <row r="95" spans="1:46" ht="16.5" customHeight="1">
      <c r="A95" s="422"/>
      <c r="B95" s="195"/>
      <c r="C95" s="196"/>
      <c r="D95" s="197"/>
      <c r="E95" s="165"/>
      <c r="F95" s="165"/>
      <c r="G95" s="209"/>
      <c r="H95" s="198"/>
      <c r="I95" s="158"/>
      <c r="J95" s="158"/>
      <c r="K95" s="155"/>
      <c r="L95" s="165"/>
      <c r="M95" s="165"/>
      <c r="N95" s="37"/>
      <c r="O95" s="37"/>
      <c r="P95" s="198"/>
      <c r="Q95" s="202"/>
      <c r="R95" s="202"/>
      <c r="S95" s="163"/>
      <c r="T95" s="118"/>
      <c r="U95" s="129"/>
      <c r="V95" s="43"/>
      <c r="W95" s="158"/>
      <c r="X95" s="158"/>
      <c r="Y95" s="158"/>
      <c r="Z95" s="177"/>
      <c r="AA95" s="177"/>
      <c r="AB95" s="177"/>
      <c r="AC95" s="177"/>
      <c r="AD95" s="158"/>
      <c r="AE95" s="74"/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200"/>
      <c r="AQ95" s="200"/>
      <c r="AR95" s="200"/>
      <c r="AS95" s="200"/>
      <c r="AT95" s="200"/>
    </row>
    <row r="96" spans="1:46" ht="16.5" customHeight="1">
      <c r="A96" s="422"/>
      <c r="B96" s="195"/>
      <c r="C96" s="196"/>
      <c r="D96" s="197"/>
      <c r="E96" s="165"/>
      <c r="F96" s="165"/>
      <c r="G96" s="198"/>
      <c r="H96" s="198"/>
      <c r="I96" s="158"/>
      <c r="J96" s="158"/>
      <c r="K96" s="155"/>
      <c r="L96" s="165"/>
      <c r="M96" s="165"/>
      <c r="N96" s="37"/>
      <c r="O96" s="37"/>
      <c r="P96" s="199"/>
      <c r="Q96" s="202"/>
      <c r="R96" s="202"/>
      <c r="S96" s="163"/>
      <c r="T96" s="118"/>
      <c r="U96" s="129"/>
      <c r="V96" s="43"/>
      <c r="W96" s="158"/>
      <c r="X96" s="158"/>
      <c r="Y96" s="158"/>
      <c r="Z96" s="177"/>
      <c r="AA96" s="177"/>
      <c r="AB96" s="177"/>
      <c r="AC96" s="177"/>
      <c r="AD96" s="158"/>
      <c r="AE96" s="74"/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  <c r="AT96" s="200"/>
    </row>
    <row r="97" spans="1:46" ht="16.5" customHeight="1">
      <c r="A97" s="422"/>
      <c r="B97" s="195"/>
      <c r="C97" s="196"/>
      <c r="D97" s="197"/>
      <c r="E97" s="197"/>
      <c r="F97" s="197"/>
      <c r="G97" s="198"/>
      <c r="H97" s="198"/>
      <c r="I97" s="158"/>
      <c r="J97" s="158"/>
      <c r="K97" s="155"/>
      <c r="L97" s="165"/>
      <c r="M97" s="165"/>
      <c r="N97" s="37"/>
      <c r="O97" s="37"/>
      <c r="P97" s="198"/>
      <c r="Q97" s="202"/>
      <c r="R97" s="202"/>
      <c r="S97" s="163"/>
      <c r="T97" s="118"/>
      <c r="U97" s="129"/>
      <c r="V97" s="43"/>
      <c r="W97" s="158"/>
      <c r="X97" s="158"/>
      <c r="Y97" s="158"/>
      <c r="Z97" s="177"/>
      <c r="AA97" s="177"/>
      <c r="AB97" s="177"/>
      <c r="AC97" s="177"/>
      <c r="AD97" s="158"/>
      <c r="AE97" s="74"/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200"/>
      <c r="AQ97" s="200"/>
      <c r="AR97" s="200"/>
      <c r="AS97" s="200"/>
      <c r="AT97" s="200"/>
    </row>
    <row r="98" spans="1:46" ht="16.5" customHeight="1">
      <c r="A98" s="422"/>
      <c r="B98" s="195"/>
      <c r="C98" s="196"/>
      <c r="D98" s="197"/>
      <c r="E98" s="197"/>
      <c r="F98" s="197"/>
      <c r="G98" s="198"/>
      <c r="H98" s="198"/>
      <c r="I98" s="158"/>
      <c r="J98" s="158"/>
      <c r="K98" s="155"/>
      <c r="L98" s="165"/>
      <c r="M98" s="165"/>
      <c r="N98" s="37"/>
      <c r="O98" s="37"/>
      <c r="P98" s="198"/>
      <c r="Q98" s="202"/>
      <c r="R98" s="202"/>
      <c r="S98" s="163"/>
      <c r="T98" s="118"/>
      <c r="U98" s="129"/>
      <c r="V98" s="43"/>
      <c r="W98" s="158"/>
      <c r="X98" s="158"/>
      <c r="Y98" s="158"/>
      <c r="Z98" s="177"/>
      <c r="AA98" s="177"/>
      <c r="AB98" s="177"/>
      <c r="AC98" s="177"/>
      <c r="AD98" s="158"/>
      <c r="AE98" s="74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</row>
    <row r="99" spans="1:46" ht="16.5" customHeight="1">
      <c r="A99" s="422"/>
      <c r="B99" s="195"/>
      <c r="C99" s="210"/>
      <c r="D99" s="197"/>
      <c r="E99" s="197"/>
      <c r="F99" s="197"/>
      <c r="G99" s="198"/>
      <c r="H99" s="198"/>
      <c r="I99" s="158"/>
      <c r="J99" s="158"/>
      <c r="K99" s="155"/>
      <c r="L99" s="165"/>
      <c r="M99" s="165"/>
      <c r="N99" s="37"/>
      <c r="O99" s="37"/>
      <c r="P99" s="198"/>
      <c r="Q99" s="202"/>
      <c r="R99" s="202"/>
      <c r="S99" s="163"/>
      <c r="T99" s="118"/>
      <c r="U99" s="129"/>
      <c r="V99" s="43"/>
      <c r="W99" s="158"/>
      <c r="X99" s="158"/>
      <c r="Y99" s="158"/>
      <c r="Z99" s="177"/>
      <c r="AA99" s="177"/>
      <c r="AB99" s="177"/>
      <c r="AC99" s="177"/>
      <c r="AD99" s="158"/>
      <c r="AE99" s="74"/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</row>
    <row r="100" spans="1:46" ht="16.5" customHeight="1">
      <c r="A100" s="422"/>
      <c r="B100" s="195"/>
      <c r="C100" s="211"/>
      <c r="D100" s="197"/>
      <c r="E100" s="197"/>
      <c r="F100" s="197"/>
      <c r="G100" s="198"/>
      <c r="H100" s="198"/>
      <c r="I100" s="158"/>
      <c r="J100" s="158"/>
      <c r="K100" s="155"/>
      <c r="L100" s="165"/>
      <c r="M100" s="165"/>
      <c r="N100" s="37"/>
      <c r="O100" s="37"/>
      <c r="P100" s="198"/>
      <c r="Q100" s="202"/>
      <c r="R100" s="202"/>
      <c r="S100" s="163"/>
      <c r="T100" s="118"/>
      <c r="U100" s="129"/>
      <c r="V100" s="43"/>
      <c r="W100" s="158"/>
      <c r="X100" s="158"/>
      <c r="Y100" s="158"/>
      <c r="Z100" s="177"/>
      <c r="AA100" s="177"/>
      <c r="AB100" s="177"/>
      <c r="AC100" s="177"/>
      <c r="AD100" s="158"/>
      <c r="AE100" s="74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</row>
    <row r="101" spans="1:46" ht="16.5" customHeight="1">
      <c r="A101" s="422"/>
      <c r="B101" s="195"/>
      <c r="C101" s="196"/>
      <c r="D101" s="197"/>
      <c r="E101" s="197"/>
      <c r="F101" s="197"/>
      <c r="G101" s="198"/>
      <c r="H101" s="198"/>
      <c r="I101" s="158"/>
      <c r="J101" s="158"/>
      <c r="K101" s="155"/>
      <c r="L101" s="165"/>
      <c r="M101" s="165"/>
      <c r="N101" s="37"/>
      <c r="O101" s="37"/>
      <c r="P101" s="198"/>
      <c r="Q101" s="202"/>
      <c r="R101" s="202"/>
      <c r="S101" s="163"/>
      <c r="T101" s="118"/>
      <c r="U101" s="129"/>
      <c r="V101" s="43"/>
      <c r="W101" s="158"/>
      <c r="X101" s="158"/>
      <c r="Y101" s="158"/>
      <c r="Z101" s="177"/>
      <c r="AA101" s="177"/>
      <c r="AB101" s="177"/>
      <c r="AC101" s="177"/>
      <c r="AD101" s="158"/>
      <c r="AE101" s="74"/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0"/>
      <c r="AQ101" s="200"/>
      <c r="AR101" s="200"/>
      <c r="AS101" s="200"/>
      <c r="AT101" s="200"/>
    </row>
    <row r="102" spans="1:46" ht="16.5" customHeight="1">
      <c r="A102" s="422"/>
      <c r="B102" s="195"/>
      <c r="C102" s="196"/>
      <c r="D102" s="197"/>
      <c r="E102" s="197"/>
      <c r="F102" s="197"/>
      <c r="G102" s="198"/>
      <c r="H102" s="198"/>
      <c r="I102" s="158"/>
      <c r="J102" s="158"/>
      <c r="K102" s="155"/>
      <c r="L102" s="165"/>
      <c r="M102" s="165"/>
      <c r="N102" s="37"/>
      <c r="O102" s="37"/>
      <c r="P102" s="198"/>
      <c r="Q102" s="202"/>
      <c r="R102" s="202"/>
      <c r="S102" s="163"/>
      <c r="T102" s="118"/>
      <c r="U102" s="129"/>
      <c r="V102" s="43"/>
      <c r="W102" s="158"/>
      <c r="X102" s="158"/>
      <c r="Y102" s="158"/>
      <c r="Z102" s="177"/>
      <c r="AA102" s="177"/>
      <c r="AB102" s="177"/>
      <c r="AC102" s="177"/>
      <c r="AD102" s="158"/>
      <c r="AE102" s="74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  <c r="AT102" s="200"/>
    </row>
    <row r="103" spans="1:46" ht="16.5" customHeight="1">
      <c r="A103" s="422"/>
      <c r="B103" s="195"/>
      <c r="C103" s="196"/>
      <c r="D103" s="197"/>
      <c r="E103" s="197"/>
      <c r="F103" s="197"/>
      <c r="G103" s="198"/>
      <c r="H103" s="198"/>
      <c r="I103" s="158"/>
      <c r="J103" s="158"/>
      <c r="K103" s="155"/>
      <c r="L103" s="165"/>
      <c r="M103" s="165"/>
      <c r="N103" s="37"/>
      <c r="O103" s="37"/>
      <c r="P103" s="198"/>
      <c r="Q103" s="202"/>
      <c r="R103" s="202"/>
      <c r="S103" s="163"/>
      <c r="T103" s="118"/>
      <c r="U103" s="129"/>
      <c r="V103" s="43"/>
      <c r="W103" s="158"/>
      <c r="X103" s="158"/>
      <c r="Y103" s="158"/>
      <c r="Z103" s="177"/>
      <c r="AA103" s="177"/>
      <c r="AB103" s="177"/>
      <c r="AC103" s="177"/>
      <c r="AD103" s="158"/>
      <c r="AE103" s="74"/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</row>
    <row r="104" spans="1:46" ht="16.5" customHeight="1">
      <c r="A104" s="422"/>
      <c r="B104" s="195"/>
      <c r="C104" s="196"/>
      <c r="D104" s="197"/>
      <c r="E104" s="197"/>
      <c r="F104" s="197"/>
      <c r="G104" s="198"/>
      <c r="H104" s="198"/>
      <c r="I104" s="158"/>
      <c r="J104" s="158"/>
      <c r="K104" s="155"/>
      <c r="L104" s="165"/>
      <c r="M104" s="165"/>
      <c r="N104" s="37"/>
      <c r="O104" s="37"/>
      <c r="P104" s="198"/>
      <c r="Q104" s="202"/>
      <c r="R104" s="202"/>
      <c r="S104" s="163"/>
      <c r="T104" s="118"/>
      <c r="U104" s="129"/>
      <c r="V104" s="129"/>
      <c r="W104" s="158"/>
      <c r="X104" s="158"/>
      <c r="Y104" s="158"/>
      <c r="Z104" s="158"/>
      <c r="AA104" s="177"/>
      <c r="AB104" s="177"/>
      <c r="AC104" s="177"/>
      <c r="AD104" s="158"/>
      <c r="AE104" s="74"/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0"/>
      <c r="AT104" s="200"/>
    </row>
    <row r="105" spans="1:46" ht="16.5" customHeight="1">
      <c r="A105" s="422"/>
      <c r="B105" s="195"/>
      <c r="C105" s="196"/>
      <c r="D105" s="197"/>
      <c r="E105" s="197"/>
      <c r="F105" s="197"/>
      <c r="G105" s="198"/>
      <c r="H105" s="198"/>
      <c r="I105" s="158"/>
      <c r="J105" s="158"/>
      <c r="K105" s="155"/>
      <c r="L105" s="165"/>
      <c r="M105" s="165"/>
      <c r="N105" s="37"/>
      <c r="O105" s="37"/>
      <c r="P105" s="198"/>
      <c r="Q105" s="202"/>
      <c r="R105" s="202"/>
      <c r="S105" s="163"/>
      <c r="T105" s="118"/>
      <c r="U105" s="129"/>
      <c r="V105" s="129"/>
      <c r="W105" s="158"/>
      <c r="X105" s="158"/>
      <c r="Y105" s="158"/>
      <c r="Z105" s="158"/>
      <c r="AA105" s="177"/>
      <c r="AB105" s="177"/>
      <c r="AC105" s="177"/>
      <c r="AD105" s="158"/>
      <c r="AE105" s="74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</row>
    <row r="106" spans="1:46" ht="16.5" customHeight="1">
      <c r="A106" s="422"/>
      <c r="B106" s="195"/>
      <c r="C106" s="196"/>
      <c r="D106" s="197"/>
      <c r="E106" s="197"/>
      <c r="F106" s="197"/>
      <c r="G106" s="198"/>
      <c r="H106" s="198"/>
      <c r="I106" s="158"/>
      <c r="J106" s="158"/>
      <c r="K106" s="155"/>
      <c r="L106" s="165"/>
      <c r="M106" s="165"/>
      <c r="N106" s="37"/>
      <c r="O106" s="37"/>
      <c r="P106" s="198"/>
      <c r="Q106" s="202"/>
      <c r="R106" s="202"/>
      <c r="S106" s="163"/>
      <c r="T106" s="118"/>
      <c r="U106" s="129"/>
      <c r="V106" s="129"/>
      <c r="W106" s="158"/>
      <c r="X106" s="158"/>
      <c r="Y106" s="158"/>
      <c r="Z106" s="158"/>
      <c r="AA106" s="177"/>
      <c r="AB106" s="177"/>
      <c r="AC106" s="177"/>
      <c r="AD106" s="158"/>
      <c r="AE106" s="74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</row>
    <row r="107" spans="1:46" ht="16.5" customHeight="1">
      <c r="A107" s="422"/>
      <c r="B107" s="195"/>
      <c r="C107" s="196"/>
      <c r="D107" s="197"/>
      <c r="E107" s="197"/>
      <c r="F107" s="197"/>
      <c r="G107" s="198"/>
      <c r="H107" s="198"/>
      <c r="I107" s="158"/>
      <c r="J107" s="158"/>
      <c r="K107" s="155"/>
      <c r="L107" s="165"/>
      <c r="M107" s="165"/>
      <c r="N107" s="37"/>
      <c r="O107" s="37"/>
      <c r="P107" s="198"/>
      <c r="Q107" s="202"/>
      <c r="R107" s="202"/>
      <c r="S107" s="163"/>
      <c r="T107" s="118"/>
      <c r="U107" s="129"/>
      <c r="V107" s="129"/>
      <c r="W107" s="158"/>
      <c r="X107" s="158"/>
      <c r="Y107" s="158"/>
      <c r="Z107" s="158"/>
      <c r="AA107" s="177"/>
      <c r="AB107" s="177"/>
      <c r="AC107" s="177"/>
      <c r="AD107" s="158"/>
      <c r="AE107" s="74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</row>
    <row r="108" spans="1:46" ht="16.5" customHeight="1">
      <c r="A108" s="422"/>
      <c r="B108" s="195"/>
      <c r="C108" s="196"/>
      <c r="D108" s="197"/>
      <c r="E108" s="197"/>
      <c r="F108" s="197"/>
      <c r="G108" s="198"/>
      <c r="H108" s="198"/>
      <c r="I108" s="158"/>
      <c r="J108" s="158"/>
      <c r="K108" s="155"/>
      <c r="L108" s="165"/>
      <c r="M108" s="165"/>
      <c r="N108" s="37"/>
      <c r="O108" s="37"/>
      <c r="P108" s="198"/>
      <c r="Q108" s="202"/>
      <c r="R108" s="202"/>
      <c r="S108" s="163"/>
      <c r="T108" s="118"/>
      <c r="U108" s="129"/>
      <c r="V108" s="43"/>
      <c r="W108" s="158"/>
      <c r="X108" s="158"/>
      <c r="Y108" s="158"/>
      <c r="Z108" s="158"/>
      <c r="AA108" s="177"/>
      <c r="AB108" s="177"/>
      <c r="AC108" s="177"/>
      <c r="AD108" s="158"/>
      <c r="AE108" s="74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</row>
    <row r="109" spans="1:46" ht="16.5" customHeight="1">
      <c r="A109" s="422"/>
      <c r="B109" s="195"/>
      <c r="C109" s="196"/>
      <c r="D109" s="197"/>
      <c r="E109" s="197"/>
      <c r="F109" s="197"/>
      <c r="G109" s="198"/>
      <c r="H109" s="198"/>
      <c r="I109" s="158"/>
      <c r="J109" s="158"/>
      <c r="K109" s="155"/>
      <c r="L109" s="165"/>
      <c r="M109" s="165"/>
      <c r="N109" s="37"/>
      <c r="O109" s="37"/>
      <c r="P109" s="198"/>
      <c r="Q109" s="202"/>
      <c r="R109" s="202"/>
      <c r="S109" s="163"/>
      <c r="T109" s="118"/>
      <c r="U109" s="129"/>
      <c r="V109" s="129"/>
      <c r="W109" s="158"/>
      <c r="X109" s="158"/>
      <c r="Y109" s="158"/>
      <c r="Z109" s="158"/>
      <c r="AA109" s="177"/>
      <c r="AB109" s="177"/>
      <c r="AC109" s="177"/>
      <c r="AD109" s="158"/>
      <c r="AE109" s="74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200"/>
      <c r="AQ109" s="200"/>
      <c r="AR109" s="200"/>
      <c r="AS109" s="200"/>
      <c r="AT109" s="200"/>
    </row>
    <row r="110" spans="1:46" ht="16.5" customHeight="1">
      <c r="A110" s="422"/>
      <c r="B110" s="195"/>
      <c r="C110" s="196"/>
      <c r="D110" s="197"/>
      <c r="E110" s="197"/>
      <c r="F110" s="197"/>
      <c r="G110" s="198"/>
      <c r="H110" s="198"/>
      <c r="I110" s="158"/>
      <c r="J110" s="158"/>
      <c r="K110" s="155"/>
      <c r="L110" s="165"/>
      <c r="M110" s="165"/>
      <c r="N110" s="37"/>
      <c r="O110" s="37"/>
      <c r="P110" s="198"/>
      <c r="Q110" s="202"/>
      <c r="R110" s="202"/>
      <c r="S110" s="163"/>
      <c r="T110" s="118"/>
      <c r="U110" s="117"/>
      <c r="V110" s="43"/>
      <c r="W110" s="158"/>
      <c r="X110" s="158"/>
      <c r="Y110" s="158"/>
      <c r="Z110" s="158"/>
      <c r="AA110" s="177"/>
      <c r="AB110" s="177"/>
      <c r="AC110" s="177"/>
      <c r="AD110" s="158"/>
      <c r="AE110" s="74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  <c r="AT110" s="200"/>
    </row>
    <row r="111" spans="1:46" ht="16.5" customHeight="1">
      <c r="A111" s="422"/>
      <c r="B111" s="195"/>
      <c r="C111" s="196"/>
      <c r="D111" s="197"/>
      <c r="E111" s="197"/>
      <c r="F111" s="197"/>
      <c r="G111" s="199"/>
      <c r="H111" s="198"/>
      <c r="I111" s="158"/>
      <c r="J111" s="158"/>
      <c r="K111" s="155"/>
      <c r="L111" s="165"/>
      <c r="M111" s="165"/>
      <c r="N111" s="37"/>
      <c r="O111" s="37"/>
      <c r="P111" s="198"/>
      <c r="Q111" s="202"/>
      <c r="R111" s="202"/>
      <c r="S111" s="163"/>
      <c r="T111" s="118"/>
      <c r="U111" s="129"/>
      <c r="V111" s="129"/>
      <c r="W111" s="158"/>
      <c r="X111" s="199"/>
      <c r="Y111" s="199"/>
      <c r="Z111" s="158"/>
      <c r="AA111" s="177"/>
      <c r="AB111" s="177"/>
      <c r="AC111" s="177"/>
      <c r="AD111" s="158"/>
      <c r="AE111" s="74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  <c r="AT111" s="200"/>
    </row>
    <row r="112" spans="1:46" ht="16.5" customHeight="1">
      <c r="A112" s="422"/>
      <c r="B112" s="195"/>
      <c r="C112" s="196"/>
      <c r="D112" s="197"/>
      <c r="E112" s="197"/>
      <c r="F112" s="197"/>
      <c r="G112" s="198"/>
      <c r="H112" s="198"/>
      <c r="I112" s="158"/>
      <c r="J112" s="158"/>
      <c r="K112" s="155"/>
      <c r="L112" s="165"/>
      <c r="M112" s="165"/>
      <c r="N112" s="37"/>
      <c r="O112" s="37"/>
      <c r="P112" s="198"/>
      <c r="Q112" s="202"/>
      <c r="R112" s="202"/>
      <c r="S112" s="163"/>
      <c r="T112" s="118"/>
      <c r="U112" s="129"/>
      <c r="V112" s="129"/>
      <c r="W112" s="158"/>
      <c r="X112" s="158"/>
      <c r="Y112" s="158"/>
      <c r="Z112" s="158"/>
      <c r="AA112" s="177"/>
      <c r="AB112" s="177"/>
      <c r="AC112" s="177"/>
      <c r="AD112" s="158"/>
      <c r="AE112" s="74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</row>
    <row r="113" spans="1:46" ht="16.5" customHeight="1">
      <c r="A113" s="422"/>
      <c r="B113" s="195"/>
      <c r="C113" s="196"/>
      <c r="D113" s="165"/>
      <c r="E113" s="165"/>
      <c r="F113" s="165"/>
      <c r="G113" s="198"/>
      <c r="H113" s="198"/>
      <c r="I113" s="158"/>
      <c r="J113" s="158"/>
      <c r="K113" s="155"/>
      <c r="L113" s="165"/>
      <c r="M113" s="165"/>
      <c r="N113" s="37"/>
      <c r="O113" s="37"/>
      <c r="P113" s="198"/>
      <c r="Q113" s="202"/>
      <c r="R113" s="202"/>
      <c r="S113" s="163"/>
      <c r="T113" s="118"/>
      <c r="U113" s="117"/>
      <c r="V113" s="43"/>
      <c r="W113" s="158"/>
      <c r="X113" s="158"/>
      <c r="Y113" s="158"/>
      <c r="Z113" s="158"/>
      <c r="AA113" s="177"/>
      <c r="AB113" s="177"/>
      <c r="AC113" s="177"/>
      <c r="AD113" s="158"/>
      <c r="AE113" s="74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</row>
    <row r="114" spans="1:46" ht="16.5" customHeight="1">
      <c r="A114" s="422"/>
      <c r="B114" s="195"/>
      <c r="C114" s="196"/>
      <c r="D114" s="197"/>
      <c r="E114" s="197"/>
      <c r="F114" s="197"/>
      <c r="G114" s="198"/>
      <c r="H114" s="198"/>
      <c r="I114" s="158"/>
      <c r="J114" s="158"/>
      <c r="K114" s="155"/>
      <c r="L114" s="165"/>
      <c r="M114" s="165"/>
      <c r="N114" s="37"/>
      <c r="O114" s="37"/>
      <c r="P114" s="198"/>
      <c r="Q114" s="202"/>
      <c r="R114" s="202"/>
      <c r="S114" s="163"/>
      <c r="T114" s="118"/>
      <c r="U114" s="117"/>
      <c r="V114" s="129"/>
      <c r="W114" s="158"/>
      <c r="X114" s="158"/>
      <c r="Y114" s="158"/>
      <c r="Z114" s="158"/>
      <c r="AA114" s="177"/>
      <c r="AB114" s="177"/>
      <c r="AC114" s="177"/>
      <c r="AD114" s="158"/>
      <c r="AE114" s="74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</row>
    <row r="115" spans="1:46" ht="16.5" customHeight="1">
      <c r="A115" s="422"/>
      <c r="B115" s="195"/>
      <c r="C115" s="196"/>
      <c r="D115" s="197"/>
      <c r="E115" s="197"/>
      <c r="F115" s="197"/>
      <c r="G115" s="198"/>
      <c r="H115" s="198"/>
      <c r="I115" s="158"/>
      <c r="J115" s="158"/>
      <c r="K115" s="155"/>
      <c r="L115" s="165"/>
      <c r="M115" s="165"/>
      <c r="N115" s="37"/>
      <c r="O115" s="37"/>
      <c r="P115" s="198"/>
      <c r="Q115" s="202"/>
      <c r="R115" s="202"/>
      <c r="S115" s="163"/>
      <c r="T115" s="118"/>
      <c r="U115" s="129"/>
      <c r="V115" s="129"/>
      <c r="W115" s="158"/>
      <c r="X115" s="158"/>
      <c r="Y115" s="158"/>
      <c r="Z115" s="158"/>
      <c r="AA115" s="177"/>
      <c r="AB115" s="177"/>
      <c r="AC115" s="177"/>
      <c r="AD115" s="158"/>
      <c r="AE115" s="74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</row>
    <row r="116" spans="1:46" ht="16.5" customHeight="1">
      <c r="A116" s="422"/>
      <c r="B116" s="195"/>
      <c r="C116" s="196"/>
      <c r="D116" s="197"/>
      <c r="E116" s="197"/>
      <c r="F116" s="197"/>
      <c r="G116" s="198"/>
      <c r="H116" s="198"/>
      <c r="I116" s="158"/>
      <c r="J116" s="158"/>
      <c r="K116" s="155"/>
      <c r="L116" s="165"/>
      <c r="M116" s="165"/>
      <c r="N116" s="37"/>
      <c r="O116" s="37"/>
      <c r="P116" s="198"/>
      <c r="Q116" s="202"/>
      <c r="R116" s="202"/>
      <c r="S116" s="163"/>
      <c r="T116" s="118"/>
      <c r="U116" s="129"/>
      <c r="V116" s="129"/>
      <c r="W116" s="158"/>
      <c r="X116" s="158"/>
      <c r="Y116" s="158"/>
      <c r="Z116" s="158"/>
      <c r="AA116" s="177"/>
      <c r="AB116" s="177"/>
      <c r="AC116" s="177"/>
      <c r="AD116" s="158"/>
      <c r="AE116" s="74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</row>
    <row r="117" spans="1:46" ht="16.5" customHeight="1">
      <c r="A117" s="422"/>
      <c r="B117" s="195"/>
      <c r="C117" s="196"/>
      <c r="D117" s="197"/>
      <c r="E117" s="197"/>
      <c r="F117" s="197"/>
      <c r="G117" s="198"/>
      <c r="H117" s="198"/>
      <c r="I117" s="177"/>
      <c r="J117" s="177"/>
      <c r="K117" s="177"/>
      <c r="L117" s="155"/>
      <c r="M117" s="155"/>
      <c r="N117" s="177"/>
      <c r="O117" s="177"/>
      <c r="P117" s="198"/>
      <c r="Q117" s="202"/>
      <c r="R117" s="202"/>
      <c r="S117" s="163"/>
      <c r="T117" s="118"/>
      <c r="U117" s="117"/>
      <c r="V117" s="129"/>
      <c r="W117" s="177"/>
      <c r="X117" s="158"/>
      <c r="Y117" s="158"/>
      <c r="Z117" s="158"/>
      <c r="AA117" s="177"/>
      <c r="AB117" s="177"/>
      <c r="AC117" s="177"/>
      <c r="AD117" s="158"/>
      <c r="AE117" s="74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</row>
    <row r="118" spans="1:46" ht="16.5" customHeight="1">
      <c r="A118" s="422"/>
      <c r="B118" s="195"/>
      <c r="C118" s="196"/>
      <c r="D118" s="197"/>
      <c r="E118" s="197"/>
      <c r="F118" s="197"/>
      <c r="G118" s="198"/>
      <c r="H118" s="198"/>
      <c r="I118" s="177"/>
      <c r="J118" s="177"/>
      <c r="K118" s="177"/>
      <c r="L118" s="165"/>
      <c r="M118" s="165"/>
      <c r="N118" s="177"/>
      <c r="O118" s="177"/>
      <c r="P118" s="198"/>
      <c r="Q118" s="202"/>
      <c r="R118" s="202"/>
      <c r="S118" s="163"/>
      <c r="T118" s="150"/>
      <c r="U118" s="129"/>
      <c r="V118" s="129"/>
      <c r="W118" s="177"/>
      <c r="X118" s="158"/>
      <c r="Y118" s="158"/>
      <c r="Z118" s="158"/>
      <c r="AA118" s="177"/>
      <c r="AB118" s="177"/>
      <c r="AC118" s="177"/>
      <c r="AD118" s="158"/>
      <c r="AE118" s="74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</row>
    <row r="119" spans="1:46" ht="16.5" customHeight="1">
      <c r="A119" s="422"/>
      <c r="B119" s="195"/>
      <c r="C119" s="196"/>
      <c r="D119" s="197"/>
      <c r="E119" s="197"/>
      <c r="F119" s="197"/>
      <c r="G119" s="198"/>
      <c r="H119" s="198"/>
      <c r="I119" s="158"/>
      <c r="J119" s="158"/>
      <c r="K119" s="155"/>
      <c r="L119" s="165"/>
      <c r="M119" s="165"/>
      <c r="N119" s="155"/>
      <c r="O119" s="155"/>
      <c r="P119" s="198"/>
      <c r="Q119" s="163"/>
      <c r="R119" s="163"/>
      <c r="S119" s="163"/>
      <c r="T119" s="118"/>
      <c r="U119" s="129"/>
      <c r="V119" s="129"/>
      <c r="W119" s="158"/>
      <c r="X119" s="158"/>
      <c r="Y119" s="158"/>
      <c r="Z119" s="158"/>
      <c r="AA119" s="177"/>
      <c r="AB119" s="177"/>
      <c r="AC119" s="177"/>
      <c r="AD119" s="158"/>
      <c r="AE119" s="74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</row>
    <row r="120" spans="1:46" ht="16.5" customHeight="1">
      <c r="A120" s="422"/>
      <c r="B120" s="195"/>
      <c r="C120" s="196"/>
      <c r="D120" s="197"/>
      <c r="E120" s="197"/>
      <c r="F120" s="197"/>
      <c r="G120" s="198"/>
      <c r="H120" s="198"/>
      <c r="I120" s="158"/>
      <c r="J120" s="158"/>
      <c r="K120" s="155"/>
      <c r="L120" s="165"/>
      <c r="M120" s="165"/>
      <c r="N120" s="155"/>
      <c r="O120" s="155"/>
      <c r="P120" s="198"/>
      <c r="Q120" s="163"/>
      <c r="R120" s="163"/>
      <c r="S120" s="163"/>
      <c r="T120" s="118"/>
      <c r="U120" s="129"/>
      <c r="V120" s="129"/>
      <c r="W120" s="158"/>
      <c r="X120" s="158"/>
      <c r="Y120" s="158"/>
      <c r="Z120" s="158"/>
      <c r="AA120" s="177"/>
      <c r="AB120" s="177"/>
      <c r="AC120" s="177"/>
      <c r="AD120" s="158"/>
      <c r="AE120" s="74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</row>
    <row r="121" spans="1:46" ht="16.5" customHeight="1">
      <c r="A121" s="422"/>
      <c r="B121" s="195"/>
      <c r="C121" s="196"/>
      <c r="D121" s="197"/>
      <c r="E121" s="197"/>
      <c r="F121" s="197"/>
      <c r="G121" s="198"/>
      <c r="H121" s="198"/>
      <c r="I121" s="158"/>
      <c r="J121" s="158"/>
      <c r="K121" s="155"/>
      <c r="L121" s="165"/>
      <c r="M121" s="165"/>
      <c r="N121" s="155"/>
      <c r="O121" s="155"/>
      <c r="P121" s="198"/>
      <c r="Q121" s="163"/>
      <c r="R121" s="163"/>
      <c r="S121" s="163"/>
      <c r="T121" s="118"/>
      <c r="U121" s="129"/>
      <c r="V121" s="129"/>
      <c r="W121" s="158"/>
      <c r="X121" s="158"/>
      <c r="Y121" s="158"/>
      <c r="Z121" s="158"/>
      <c r="AA121" s="177"/>
      <c r="AB121" s="177"/>
      <c r="AC121" s="177"/>
      <c r="AD121" s="158"/>
      <c r="AE121" s="74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</row>
    <row r="122" spans="1:46" ht="16.5" customHeight="1">
      <c r="A122" s="422"/>
      <c r="B122" s="195"/>
      <c r="C122" s="196"/>
      <c r="D122" s="197"/>
      <c r="E122" s="197"/>
      <c r="F122" s="197"/>
      <c r="G122" s="198"/>
      <c r="H122" s="198"/>
      <c r="I122" s="158"/>
      <c r="J122" s="158"/>
      <c r="K122" s="155"/>
      <c r="L122" s="165"/>
      <c r="M122" s="165"/>
      <c r="N122" s="155"/>
      <c r="O122" s="155"/>
      <c r="P122" s="198"/>
      <c r="Q122" s="163"/>
      <c r="R122" s="163"/>
      <c r="S122" s="163"/>
      <c r="T122" s="118"/>
      <c r="U122" s="129"/>
      <c r="V122" s="129"/>
      <c r="W122" s="158"/>
      <c r="X122" s="158"/>
      <c r="Y122" s="158"/>
      <c r="Z122" s="158"/>
      <c r="AA122" s="177"/>
      <c r="AB122" s="177"/>
      <c r="AC122" s="177"/>
      <c r="AD122" s="158"/>
      <c r="AE122" s="74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</row>
    <row r="123" spans="1:46" ht="16.5" customHeight="1">
      <c r="A123" s="422"/>
      <c r="B123" s="195"/>
      <c r="C123" s="196"/>
      <c r="D123" s="197"/>
      <c r="E123" s="197"/>
      <c r="F123" s="197"/>
      <c r="G123" s="198"/>
      <c r="H123" s="198"/>
      <c r="I123" s="158"/>
      <c r="J123" s="158"/>
      <c r="K123" s="155"/>
      <c r="L123" s="165"/>
      <c r="M123" s="165"/>
      <c r="N123" s="155"/>
      <c r="O123" s="155"/>
      <c r="P123" s="198"/>
      <c r="Q123" s="163"/>
      <c r="R123" s="163"/>
      <c r="S123" s="163"/>
      <c r="T123" s="118"/>
      <c r="U123" s="129"/>
      <c r="V123" s="129"/>
      <c r="W123" s="158"/>
      <c r="X123" s="158"/>
      <c r="Y123" s="158"/>
      <c r="Z123" s="158"/>
      <c r="AA123" s="45"/>
      <c r="AB123" s="45"/>
      <c r="AC123" s="45"/>
      <c r="AD123" s="158"/>
      <c r="AE123" s="74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</row>
    <row r="124" spans="1:46" ht="16.5" customHeight="1">
      <c r="A124" s="422"/>
      <c r="B124" s="212"/>
      <c r="C124" s="196"/>
      <c r="D124" s="197"/>
      <c r="E124" s="197"/>
      <c r="F124" s="197"/>
      <c r="G124" s="198"/>
      <c r="H124" s="198"/>
      <c r="I124" s="158"/>
      <c r="J124" s="158"/>
      <c r="K124" s="155"/>
      <c r="L124" s="165"/>
      <c r="M124" s="165"/>
      <c r="N124" s="37"/>
      <c r="O124" s="37"/>
      <c r="P124" s="198"/>
      <c r="Q124" s="163"/>
      <c r="R124" s="163"/>
      <c r="S124" s="163"/>
      <c r="T124" s="118"/>
      <c r="U124" s="129"/>
      <c r="V124" s="129"/>
      <c r="W124" s="158"/>
      <c r="X124" s="158"/>
      <c r="Y124" s="158"/>
      <c r="Z124" s="158"/>
      <c r="AA124" s="177"/>
      <c r="AB124" s="177"/>
      <c r="AC124" s="177"/>
      <c r="AD124" s="158"/>
      <c r="AE124" s="74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</row>
    <row r="125" spans="1:46" ht="16.5" customHeight="1">
      <c r="A125" s="422"/>
      <c r="B125" s="212"/>
      <c r="C125" s="196"/>
      <c r="D125" s="197"/>
      <c r="E125" s="197"/>
      <c r="F125" s="197"/>
      <c r="G125" s="198"/>
      <c r="H125" s="198"/>
      <c r="I125" s="158"/>
      <c r="J125" s="158"/>
      <c r="K125" s="155"/>
      <c r="L125" s="165"/>
      <c r="M125" s="165"/>
      <c r="N125" s="155"/>
      <c r="O125" s="155"/>
      <c r="P125" s="198"/>
      <c r="Q125" s="163"/>
      <c r="R125" s="163"/>
      <c r="S125" s="163"/>
      <c r="T125" s="118"/>
      <c r="U125" s="129"/>
      <c r="V125" s="129"/>
      <c r="W125" s="158"/>
      <c r="X125" s="158"/>
      <c r="Y125" s="158"/>
      <c r="Z125" s="158"/>
      <c r="AA125" s="177"/>
      <c r="AB125" s="177"/>
      <c r="AC125" s="177"/>
      <c r="AD125" s="158"/>
      <c r="AE125" s="74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</row>
    <row r="126" spans="1:46" ht="16.5" customHeight="1">
      <c r="A126" s="422"/>
      <c r="B126" s="212"/>
      <c r="C126" s="196"/>
      <c r="D126" s="197"/>
      <c r="E126" s="197"/>
      <c r="F126" s="197"/>
      <c r="G126" s="198"/>
      <c r="H126" s="198"/>
      <c r="I126" s="158"/>
      <c r="J126" s="158"/>
      <c r="K126" s="155"/>
      <c r="L126" s="165"/>
      <c r="M126" s="165"/>
      <c r="N126" s="155"/>
      <c r="O126" s="155"/>
      <c r="P126" s="198"/>
      <c r="Q126" s="163"/>
      <c r="R126" s="163"/>
      <c r="S126" s="163"/>
      <c r="T126" s="118"/>
      <c r="U126" s="129"/>
      <c r="V126" s="129"/>
      <c r="W126" s="158"/>
      <c r="X126" s="158"/>
      <c r="Y126" s="158"/>
      <c r="Z126" s="158"/>
      <c r="AA126" s="177"/>
      <c r="AB126" s="177"/>
      <c r="AC126" s="177"/>
      <c r="AD126" s="158"/>
      <c r="AE126" s="74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</row>
    <row r="127" spans="1:46" ht="16.5" customHeight="1">
      <c r="A127" s="422"/>
      <c r="B127" s="212"/>
      <c r="C127" s="196"/>
      <c r="D127" s="197"/>
      <c r="E127" s="197"/>
      <c r="F127" s="197"/>
      <c r="G127" s="198"/>
      <c r="H127" s="198"/>
      <c r="I127" s="158"/>
      <c r="J127" s="158"/>
      <c r="K127" s="155"/>
      <c r="L127" s="165"/>
      <c r="M127" s="165"/>
      <c r="N127" s="37"/>
      <c r="O127" s="37"/>
      <c r="P127" s="198"/>
      <c r="Q127" s="163"/>
      <c r="R127" s="163"/>
      <c r="S127" s="163"/>
      <c r="T127" s="118"/>
      <c r="U127" s="117"/>
      <c r="V127" s="129"/>
      <c r="W127" s="158"/>
      <c r="X127" s="158"/>
      <c r="Y127" s="158"/>
      <c r="Z127" s="158"/>
      <c r="AA127" s="177"/>
      <c r="AB127" s="177"/>
      <c r="AC127" s="177"/>
      <c r="AD127" s="158"/>
      <c r="AE127" s="74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</row>
    <row r="128" spans="1:46" ht="16.5" customHeight="1">
      <c r="A128" s="422"/>
      <c r="B128" s="212"/>
      <c r="C128" s="196"/>
      <c r="D128" s="197"/>
      <c r="E128" s="197"/>
      <c r="F128" s="197"/>
      <c r="G128" s="198"/>
      <c r="H128" s="198"/>
      <c r="I128" s="158"/>
      <c r="J128" s="158"/>
      <c r="K128" s="155"/>
      <c r="L128" s="165"/>
      <c r="M128" s="165"/>
      <c r="N128" s="37"/>
      <c r="O128" s="37"/>
      <c r="P128" s="198"/>
      <c r="Q128" s="163"/>
      <c r="R128" s="163"/>
      <c r="S128" s="163"/>
      <c r="T128" s="118"/>
      <c r="U128" s="117"/>
      <c r="V128" s="43"/>
      <c r="W128" s="158"/>
      <c r="X128" s="158"/>
      <c r="Y128" s="158"/>
      <c r="Z128" s="158"/>
      <c r="AA128" s="177"/>
      <c r="AB128" s="177"/>
      <c r="AC128" s="177"/>
      <c r="AD128" s="158"/>
      <c r="AE128" s="74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</row>
    <row r="129" spans="1:46" ht="16.5" customHeight="1">
      <c r="A129" s="422"/>
      <c r="B129" s="212"/>
      <c r="C129" s="196"/>
      <c r="D129" s="197"/>
      <c r="E129" s="197"/>
      <c r="F129" s="197"/>
      <c r="G129" s="199"/>
      <c r="H129" s="199"/>
      <c r="I129" s="158"/>
      <c r="J129" s="158"/>
      <c r="K129" s="155"/>
      <c r="L129" s="165"/>
      <c r="M129" s="165"/>
      <c r="N129" s="155"/>
      <c r="O129" s="155"/>
      <c r="P129" s="198"/>
      <c r="Q129" s="163"/>
      <c r="R129" s="163"/>
      <c r="S129" s="163"/>
      <c r="T129" s="118"/>
      <c r="U129" s="117"/>
      <c r="V129" s="43"/>
      <c r="W129" s="158"/>
      <c r="X129" s="158"/>
      <c r="Y129" s="158"/>
      <c r="Z129" s="158"/>
      <c r="AA129" s="177"/>
      <c r="AB129" s="177"/>
      <c r="AC129" s="177"/>
      <c r="AD129" s="158"/>
      <c r="AE129" s="74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</row>
    <row r="130" spans="1:46" ht="16.5" customHeight="1">
      <c r="A130" s="422"/>
      <c r="B130" s="195"/>
      <c r="C130" s="196"/>
      <c r="D130" s="197"/>
      <c r="E130" s="197"/>
      <c r="F130" s="197"/>
      <c r="G130" s="198"/>
      <c r="H130" s="198"/>
      <c r="I130" s="158"/>
      <c r="J130" s="158"/>
      <c r="K130" s="155"/>
      <c r="L130" s="165"/>
      <c r="M130" s="165"/>
      <c r="N130" s="37"/>
      <c r="O130" s="37"/>
      <c r="P130" s="199"/>
      <c r="Q130" s="163"/>
      <c r="R130" s="163"/>
      <c r="S130" s="163"/>
      <c r="T130" s="118"/>
      <c r="U130" s="117"/>
      <c r="V130" s="43"/>
      <c r="W130" s="158"/>
      <c r="X130" s="158"/>
      <c r="Y130" s="158"/>
      <c r="Z130" s="158"/>
      <c r="AA130" s="177"/>
      <c r="AB130" s="177"/>
      <c r="AC130" s="177"/>
      <c r="AD130" s="158"/>
      <c r="AE130" s="74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</row>
    <row r="131" spans="1:46" ht="16.5" customHeight="1">
      <c r="A131" s="422"/>
      <c r="B131" s="195"/>
      <c r="C131" s="196"/>
      <c r="D131" s="197"/>
      <c r="E131" s="197"/>
      <c r="F131" s="197"/>
      <c r="G131" s="196"/>
      <c r="H131" s="196"/>
      <c r="I131" s="158"/>
      <c r="J131" s="158"/>
      <c r="K131" s="155"/>
      <c r="L131" s="165"/>
      <c r="M131" s="165"/>
      <c r="N131" s="37"/>
      <c r="O131" s="37"/>
      <c r="P131" s="199"/>
      <c r="Q131" s="118"/>
      <c r="R131" s="118"/>
      <c r="S131" s="163"/>
      <c r="T131" s="213"/>
      <c r="U131" s="117"/>
      <c r="V131" s="43"/>
      <c r="W131" s="158"/>
      <c r="X131" s="158"/>
      <c r="Y131" s="158"/>
      <c r="Z131" s="177"/>
      <c r="AA131" s="177"/>
      <c r="AB131" s="177"/>
      <c r="AC131" s="177"/>
      <c r="AD131" s="158"/>
      <c r="AE131" s="74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</row>
    <row r="132" spans="1:46" ht="16.5" customHeight="1">
      <c r="A132" s="422"/>
      <c r="B132" s="195"/>
      <c r="C132" s="196"/>
      <c r="D132" s="165"/>
      <c r="E132" s="165"/>
      <c r="F132" s="165"/>
      <c r="G132" s="198"/>
      <c r="H132" s="198"/>
      <c r="I132" s="177"/>
      <c r="J132" s="177"/>
      <c r="K132" s="155"/>
      <c r="L132" s="165"/>
      <c r="M132" s="165"/>
      <c r="N132" s="37"/>
      <c r="O132" s="37"/>
      <c r="P132" s="199"/>
      <c r="Q132" s="163"/>
      <c r="R132" s="163"/>
      <c r="S132" s="163"/>
      <c r="T132" s="118"/>
      <c r="U132" s="214"/>
      <c r="V132" s="43"/>
      <c r="W132" s="177"/>
      <c r="X132" s="215"/>
      <c r="Y132" s="215"/>
      <c r="Z132" s="158"/>
      <c r="AA132" s="177"/>
      <c r="AB132" s="158"/>
      <c r="AC132" s="177"/>
      <c r="AD132" s="158"/>
      <c r="AE132" s="74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</row>
    <row r="133" spans="1:46" ht="16.5" customHeight="1">
      <c r="A133" s="422"/>
      <c r="B133" s="195"/>
      <c r="C133" s="196"/>
      <c r="D133" s="165"/>
      <c r="E133" s="165"/>
      <c r="F133" s="165"/>
      <c r="G133" s="198"/>
      <c r="H133" s="198"/>
      <c r="I133" s="158"/>
      <c r="J133" s="158"/>
      <c r="K133" s="155"/>
      <c r="L133" s="165"/>
      <c r="M133" s="165"/>
      <c r="N133" s="37"/>
      <c r="O133" s="37"/>
      <c r="P133" s="198"/>
      <c r="Q133" s="163"/>
      <c r="R133" s="163"/>
      <c r="S133" s="163"/>
      <c r="T133" s="118"/>
      <c r="U133" s="214"/>
      <c r="V133" s="43"/>
      <c r="W133" s="158"/>
      <c r="X133" s="177"/>
      <c r="Y133" s="177"/>
      <c r="Z133" s="158"/>
      <c r="AA133" s="177"/>
      <c r="AB133" s="158"/>
      <c r="AC133" s="177"/>
      <c r="AD133" s="158"/>
      <c r="AE133" s="74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</row>
    <row r="134" spans="1:46" ht="16.5" customHeight="1">
      <c r="A134" s="422"/>
      <c r="B134" s="195"/>
      <c r="C134" s="196"/>
      <c r="D134" s="165"/>
      <c r="E134" s="165"/>
      <c r="F134" s="165"/>
      <c r="G134" s="198"/>
      <c r="H134" s="198"/>
      <c r="I134" s="158"/>
      <c r="J134" s="158"/>
      <c r="K134" s="155"/>
      <c r="L134" s="165"/>
      <c r="M134" s="165"/>
      <c r="N134" s="37"/>
      <c r="O134" s="37"/>
      <c r="P134" s="198"/>
      <c r="Q134" s="163"/>
      <c r="R134" s="163"/>
      <c r="S134" s="163"/>
      <c r="T134" s="118"/>
      <c r="U134" s="214"/>
      <c r="V134" s="43"/>
      <c r="W134" s="158"/>
      <c r="X134" s="177"/>
      <c r="Y134" s="177"/>
      <c r="Z134" s="158"/>
      <c r="AA134" s="177"/>
      <c r="AB134" s="158"/>
      <c r="AC134" s="177"/>
      <c r="AD134" s="158"/>
      <c r="AE134" s="74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</row>
    <row r="135" spans="1:46" ht="16.5" customHeight="1">
      <c r="A135" s="422"/>
      <c r="B135" s="195"/>
      <c r="C135" s="196"/>
      <c r="D135" s="165"/>
      <c r="E135" s="165"/>
      <c r="F135" s="165"/>
      <c r="G135" s="198"/>
      <c r="H135" s="198"/>
      <c r="I135" s="158"/>
      <c r="J135" s="158"/>
      <c r="K135" s="155"/>
      <c r="L135" s="165"/>
      <c r="M135" s="165"/>
      <c r="N135" s="37"/>
      <c r="O135" s="37"/>
      <c r="P135" s="198"/>
      <c r="Q135" s="163"/>
      <c r="R135" s="163"/>
      <c r="S135" s="163"/>
      <c r="T135" s="118"/>
      <c r="U135" s="214"/>
      <c r="V135" s="43"/>
      <c r="W135" s="158"/>
      <c r="X135" s="158"/>
      <c r="Y135" s="158"/>
      <c r="Z135" s="158"/>
      <c r="AA135" s="177"/>
      <c r="AB135" s="158"/>
      <c r="AC135" s="177"/>
      <c r="AD135" s="158"/>
      <c r="AE135" s="74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</row>
    <row r="136" spans="1:46" ht="16.5" customHeight="1">
      <c r="A136" s="422"/>
      <c r="B136" s="216"/>
      <c r="C136" s="217"/>
      <c r="D136" s="176"/>
      <c r="E136" s="176"/>
      <c r="F136" s="176"/>
      <c r="G136" s="162"/>
      <c r="H136" s="162"/>
      <c r="I136" s="218"/>
      <c r="J136" s="218"/>
      <c r="K136" s="219"/>
      <c r="L136" s="219"/>
      <c r="M136" s="219"/>
      <c r="N136" s="45"/>
      <c r="O136" s="45"/>
      <c r="P136" s="217"/>
      <c r="Q136" s="220"/>
      <c r="R136" s="220"/>
      <c r="S136" s="213"/>
      <c r="T136" s="220"/>
      <c r="U136" s="221"/>
      <c r="V136" s="213"/>
      <c r="W136" s="218"/>
      <c r="X136" s="218"/>
      <c r="Y136" s="218"/>
      <c r="Z136" s="218"/>
      <c r="AA136" s="219"/>
      <c r="AB136" s="219"/>
      <c r="AC136" s="219"/>
      <c r="AD136" s="45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</row>
    <row r="137" spans="1:46" ht="16.5" customHeight="1">
      <c r="A137" s="422"/>
      <c r="B137" s="216"/>
      <c r="C137" s="217"/>
      <c r="D137" s="176"/>
      <c r="E137" s="176"/>
      <c r="F137" s="176"/>
      <c r="G137" s="162"/>
      <c r="H137" s="162"/>
      <c r="I137" s="218"/>
      <c r="J137" s="218"/>
      <c r="K137" s="219"/>
      <c r="L137" s="219"/>
      <c r="M137" s="219"/>
      <c r="N137" s="45"/>
      <c r="O137" s="45"/>
      <c r="P137" s="217"/>
      <c r="Q137" s="220"/>
      <c r="R137" s="220"/>
      <c r="S137" s="213"/>
      <c r="T137" s="220"/>
      <c r="U137" s="221"/>
      <c r="V137" s="213"/>
      <c r="W137" s="218"/>
      <c r="X137" s="218"/>
      <c r="Y137" s="218"/>
      <c r="Z137" s="218"/>
      <c r="AA137" s="219"/>
      <c r="AB137" s="219"/>
      <c r="AC137" s="219"/>
      <c r="AD137" s="45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</row>
    <row r="138" spans="1:46" ht="16.5" customHeight="1">
      <c r="A138" s="422"/>
      <c r="B138" s="216"/>
      <c r="C138" s="217"/>
      <c r="D138" s="176"/>
      <c r="E138" s="176"/>
      <c r="F138" s="176"/>
      <c r="G138" s="162"/>
      <c r="H138" s="162"/>
      <c r="I138" s="218"/>
      <c r="J138" s="218"/>
      <c r="K138" s="219"/>
      <c r="L138" s="219"/>
      <c r="M138" s="219"/>
      <c r="N138" s="45"/>
      <c r="O138" s="45"/>
      <c r="P138" s="217"/>
      <c r="Q138" s="220"/>
      <c r="R138" s="220"/>
      <c r="S138" s="213"/>
      <c r="T138" s="220"/>
      <c r="U138" s="221"/>
      <c r="V138" s="213"/>
      <c r="W138" s="218"/>
      <c r="X138" s="218"/>
      <c r="Y138" s="218"/>
      <c r="Z138" s="218"/>
      <c r="AA138" s="219"/>
      <c r="AB138" s="219"/>
      <c r="AC138" s="219"/>
      <c r="AD138" s="45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</row>
    <row r="139" spans="1:46" ht="16.5" customHeight="1">
      <c r="A139" s="422"/>
      <c r="B139" s="216"/>
      <c r="C139" s="217"/>
      <c r="D139" s="176"/>
      <c r="E139" s="176"/>
      <c r="F139" s="176"/>
      <c r="G139" s="162"/>
      <c r="H139" s="162"/>
      <c r="I139" s="218"/>
      <c r="J139" s="218"/>
      <c r="K139" s="219"/>
      <c r="L139" s="219"/>
      <c r="M139" s="219"/>
      <c r="N139" s="45"/>
      <c r="O139" s="45"/>
      <c r="P139" s="217"/>
      <c r="Q139" s="220"/>
      <c r="R139" s="220"/>
      <c r="S139" s="213"/>
      <c r="T139" s="220"/>
      <c r="U139" s="221"/>
      <c r="V139" s="213"/>
      <c r="W139" s="218"/>
      <c r="X139" s="218"/>
      <c r="Y139" s="218"/>
      <c r="Z139" s="218"/>
      <c r="AA139" s="219"/>
      <c r="AB139" s="219"/>
      <c r="AC139" s="219"/>
      <c r="AD139" s="45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</row>
    <row r="140" spans="1:46" ht="16.5" customHeight="1">
      <c r="A140" s="422"/>
      <c r="B140" s="216"/>
      <c r="C140" s="217"/>
      <c r="D140" s="176"/>
      <c r="E140" s="176"/>
      <c r="F140" s="176"/>
      <c r="G140" s="162"/>
      <c r="H140" s="162"/>
      <c r="I140" s="218"/>
      <c r="J140" s="218"/>
      <c r="K140" s="219"/>
      <c r="L140" s="219"/>
      <c r="M140" s="219"/>
      <c r="N140" s="45"/>
      <c r="O140" s="45"/>
      <c r="P140" s="217"/>
      <c r="Q140" s="220"/>
      <c r="R140" s="220"/>
      <c r="S140" s="213"/>
      <c r="T140" s="220"/>
      <c r="U140" s="221"/>
      <c r="V140" s="213"/>
      <c r="W140" s="218"/>
      <c r="X140" s="218"/>
      <c r="Y140" s="218"/>
      <c r="Z140" s="218"/>
      <c r="AA140" s="219"/>
      <c r="AB140" s="219"/>
      <c r="AC140" s="219"/>
      <c r="AD140" s="45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</row>
    <row r="141" spans="1:46" ht="16.5" customHeight="1">
      <c r="A141" s="422"/>
      <c r="B141" s="216"/>
      <c r="C141" s="217"/>
      <c r="D141" s="176"/>
      <c r="E141" s="176"/>
      <c r="F141" s="176"/>
      <c r="G141" s="162"/>
      <c r="H141" s="162"/>
      <c r="I141" s="218"/>
      <c r="J141" s="218"/>
      <c r="K141" s="219"/>
      <c r="L141" s="219"/>
      <c r="M141" s="219"/>
      <c r="N141" s="45"/>
      <c r="O141" s="45"/>
      <c r="P141" s="217"/>
      <c r="Q141" s="220"/>
      <c r="R141" s="220"/>
      <c r="S141" s="213"/>
      <c r="T141" s="220"/>
      <c r="U141" s="221"/>
      <c r="V141" s="213"/>
      <c r="W141" s="218"/>
      <c r="X141" s="218"/>
      <c r="Y141" s="218"/>
      <c r="Z141" s="218"/>
      <c r="AA141" s="45"/>
      <c r="AB141" s="45"/>
      <c r="AC141" s="45"/>
      <c r="AD141" s="45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</row>
    <row r="142" spans="1:46" ht="16.5" customHeight="1">
      <c r="A142" s="422"/>
      <c r="B142" s="195"/>
      <c r="C142" s="217"/>
      <c r="D142" s="33"/>
      <c r="E142" s="33"/>
      <c r="F142" s="33"/>
      <c r="G142" s="162"/>
      <c r="H142" s="162"/>
      <c r="I142" s="218"/>
      <c r="J142" s="218"/>
      <c r="K142" s="219"/>
      <c r="L142" s="219"/>
      <c r="M142" s="219"/>
      <c r="N142" s="45"/>
      <c r="O142" s="45"/>
      <c r="P142" s="217"/>
      <c r="Q142" s="220"/>
      <c r="R142" s="220"/>
      <c r="S142" s="213"/>
      <c r="T142" s="220"/>
      <c r="U142" s="221"/>
      <c r="V142" s="213"/>
      <c r="W142" s="218"/>
      <c r="X142" s="218"/>
      <c r="Y142" s="218"/>
      <c r="Z142" s="218"/>
      <c r="AA142" s="219"/>
      <c r="AB142" s="219"/>
      <c r="AC142" s="219"/>
      <c r="AD142" s="158"/>
      <c r="AE142" s="74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</row>
    <row r="143" spans="1:46" ht="16.5" customHeight="1">
      <c r="A143" s="422"/>
      <c r="B143" s="195"/>
      <c r="C143" s="196"/>
      <c r="D143" s="165"/>
      <c r="E143" s="165"/>
      <c r="F143" s="165"/>
      <c r="G143" s="198"/>
      <c r="H143" s="198"/>
      <c r="I143" s="158"/>
      <c r="J143" s="158"/>
      <c r="K143" s="155"/>
      <c r="L143" s="165"/>
      <c r="M143" s="165"/>
      <c r="N143" s="37"/>
      <c r="O143" s="37"/>
      <c r="P143" s="198"/>
      <c r="Q143" s="163"/>
      <c r="R143" s="163"/>
      <c r="S143" s="163"/>
      <c r="T143" s="118"/>
      <c r="U143" s="214"/>
      <c r="V143" s="43"/>
      <c r="W143" s="158"/>
      <c r="X143" s="158"/>
      <c r="Y143" s="158"/>
      <c r="Z143" s="158"/>
      <c r="AA143" s="177"/>
      <c r="AB143" s="158"/>
      <c r="AC143" s="177"/>
      <c r="AD143" s="158"/>
      <c r="AE143" s="74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</row>
    <row r="144" spans="1:46" ht="16.5" customHeight="1">
      <c r="A144" s="422"/>
      <c r="B144" s="195"/>
      <c r="C144" s="196"/>
      <c r="D144" s="196"/>
      <c r="E144" s="196"/>
      <c r="F144" s="196"/>
      <c r="G144" s="198"/>
      <c r="H144" s="198"/>
      <c r="I144" s="158"/>
      <c r="J144" s="158"/>
      <c r="K144" s="155"/>
      <c r="L144" s="165"/>
      <c r="M144" s="165"/>
      <c r="N144" s="37"/>
      <c r="O144" s="37"/>
      <c r="P144" s="198"/>
      <c r="Q144" s="163"/>
      <c r="R144" s="163"/>
      <c r="S144" s="163"/>
      <c r="T144" s="118"/>
      <c r="U144" s="214"/>
      <c r="V144" s="43"/>
      <c r="W144" s="158"/>
      <c r="X144" s="158"/>
      <c r="Y144" s="158"/>
      <c r="Z144" s="158"/>
      <c r="AA144" s="177"/>
      <c r="AB144" s="158"/>
      <c r="AC144" s="177"/>
      <c r="AD144" s="158"/>
      <c r="AE144" s="74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</row>
    <row r="145" spans="1:46" ht="16.5" customHeight="1">
      <c r="A145" s="422"/>
      <c r="B145" s="195"/>
      <c r="C145" s="196"/>
      <c r="D145" s="196"/>
      <c r="E145" s="196"/>
      <c r="F145" s="196"/>
      <c r="G145" s="198"/>
      <c r="H145" s="198"/>
      <c r="I145" s="158"/>
      <c r="J145" s="158"/>
      <c r="K145" s="155"/>
      <c r="L145" s="165"/>
      <c r="M145" s="165"/>
      <c r="N145" s="37"/>
      <c r="O145" s="37"/>
      <c r="P145" s="198"/>
      <c r="Q145" s="163"/>
      <c r="R145" s="163"/>
      <c r="S145" s="163"/>
      <c r="T145" s="118"/>
      <c r="U145" s="214"/>
      <c r="V145" s="43"/>
      <c r="W145" s="158"/>
      <c r="X145" s="158"/>
      <c r="Y145" s="158"/>
      <c r="Z145" s="158"/>
      <c r="AA145" s="177"/>
      <c r="AB145" s="158"/>
      <c r="AC145" s="177"/>
      <c r="AD145" s="158"/>
      <c r="AE145" s="74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</row>
    <row r="146" spans="1:46" ht="16.5" customHeight="1">
      <c r="A146" s="422"/>
      <c r="B146" s="195"/>
      <c r="C146" s="196"/>
      <c r="D146" s="196"/>
      <c r="E146" s="196"/>
      <c r="F146" s="196"/>
      <c r="G146" s="198"/>
      <c r="H146" s="198"/>
      <c r="I146" s="158"/>
      <c r="J146" s="158"/>
      <c r="K146" s="155"/>
      <c r="L146" s="165"/>
      <c r="M146" s="165"/>
      <c r="N146" s="37"/>
      <c r="O146" s="37"/>
      <c r="P146" s="198"/>
      <c r="Q146" s="163"/>
      <c r="R146" s="163"/>
      <c r="S146" s="163"/>
      <c r="T146" s="118"/>
      <c r="U146" s="214"/>
      <c r="V146" s="43"/>
      <c r="W146" s="158"/>
      <c r="X146" s="158"/>
      <c r="Y146" s="158"/>
      <c r="Z146" s="158"/>
      <c r="AA146" s="177"/>
      <c r="AB146" s="158"/>
      <c r="AC146" s="177"/>
      <c r="AD146" s="158"/>
      <c r="AE146" s="74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</row>
    <row r="147" spans="1:46" ht="16.5" customHeight="1">
      <c r="A147" s="428"/>
      <c r="B147" s="195"/>
      <c r="C147" s="196"/>
      <c r="D147" s="165"/>
      <c r="E147" s="165"/>
      <c r="F147" s="165"/>
      <c r="G147" s="198"/>
      <c r="H147" s="198"/>
      <c r="I147" s="158"/>
      <c r="J147" s="158"/>
      <c r="K147" s="155"/>
      <c r="L147" s="165"/>
      <c r="M147" s="165"/>
      <c r="N147" s="37"/>
      <c r="O147" s="37"/>
      <c r="P147" s="198"/>
      <c r="Q147" s="163"/>
      <c r="R147" s="163"/>
      <c r="S147" s="163"/>
      <c r="T147" s="118"/>
      <c r="U147" s="214"/>
      <c r="V147" s="43"/>
      <c r="W147" s="158"/>
      <c r="X147" s="158"/>
      <c r="Y147" s="158"/>
      <c r="Z147" s="158"/>
      <c r="AA147" s="177"/>
      <c r="AB147" s="158"/>
      <c r="AC147" s="177"/>
      <c r="AD147" s="158"/>
      <c r="AE147" s="74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</row>
    <row r="148" spans="1:46" ht="16.5" customHeight="1">
      <c r="A148" s="428"/>
      <c r="B148" s="195"/>
      <c r="C148" s="196"/>
      <c r="D148" s="165"/>
      <c r="E148" s="165"/>
      <c r="F148" s="165"/>
      <c r="G148" s="198"/>
      <c r="H148" s="198"/>
      <c r="I148" s="158"/>
      <c r="J148" s="158"/>
      <c r="K148" s="155"/>
      <c r="L148" s="165"/>
      <c r="M148" s="165"/>
      <c r="N148" s="37"/>
      <c r="O148" s="37"/>
      <c r="P148" s="198"/>
      <c r="Q148" s="163"/>
      <c r="R148" s="163"/>
      <c r="S148" s="163"/>
      <c r="T148" s="118"/>
      <c r="U148" s="214"/>
      <c r="V148" s="43"/>
      <c r="W148" s="158"/>
      <c r="X148" s="158"/>
      <c r="Y148" s="158"/>
      <c r="Z148" s="158"/>
      <c r="AA148" s="177"/>
      <c r="AB148" s="158"/>
      <c r="AC148" s="177"/>
      <c r="AD148" s="158"/>
      <c r="AE148" s="74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</row>
    <row r="149" spans="1:46" ht="16.5" customHeight="1">
      <c r="A149" s="422"/>
      <c r="B149" s="195"/>
      <c r="C149" s="196"/>
      <c r="D149" s="165"/>
      <c r="E149" s="165"/>
      <c r="F149" s="165"/>
      <c r="G149" s="198"/>
      <c r="H149" s="198"/>
      <c r="I149" s="158"/>
      <c r="J149" s="158"/>
      <c r="K149" s="155"/>
      <c r="L149" s="165"/>
      <c r="M149" s="165"/>
      <c r="N149" s="37"/>
      <c r="O149" s="37"/>
      <c r="P149" s="198"/>
      <c r="Q149" s="163"/>
      <c r="R149" s="163"/>
      <c r="S149" s="163"/>
      <c r="T149" s="118"/>
      <c r="U149" s="214"/>
      <c r="V149" s="43"/>
      <c r="W149" s="158"/>
      <c r="X149" s="158"/>
      <c r="Y149" s="158"/>
      <c r="Z149" s="158"/>
      <c r="AA149" s="177"/>
      <c r="AB149" s="158"/>
      <c r="AC149" s="177"/>
      <c r="AD149" s="158"/>
      <c r="AE149" s="74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</row>
    <row r="150" spans="1:46" ht="16.5" customHeight="1">
      <c r="A150" s="428"/>
      <c r="B150" s="222"/>
      <c r="C150" s="196"/>
      <c r="D150" s="165"/>
      <c r="E150" s="165"/>
      <c r="F150" s="165"/>
      <c r="G150" s="198"/>
      <c r="H150" s="198"/>
      <c r="I150" s="158"/>
      <c r="J150" s="158"/>
      <c r="K150" s="155"/>
      <c r="L150" s="165"/>
      <c r="M150" s="165"/>
      <c r="N150" s="37"/>
      <c r="O150" s="37"/>
      <c r="P150" s="198"/>
      <c r="Q150" s="163"/>
      <c r="R150" s="163"/>
      <c r="S150" s="163"/>
      <c r="T150" s="118"/>
      <c r="U150" s="214"/>
      <c r="V150" s="43"/>
      <c r="W150" s="158"/>
      <c r="X150" s="158"/>
      <c r="Y150" s="158"/>
      <c r="Z150" s="158"/>
      <c r="AA150" s="177"/>
      <c r="AB150" s="158"/>
      <c r="AC150" s="177"/>
      <c r="AD150" s="177"/>
      <c r="AE150" s="74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</row>
    <row r="151" spans="1:46" ht="16.5" customHeight="1">
      <c r="A151" s="428"/>
      <c r="B151" s="222"/>
      <c r="C151" s="223"/>
      <c r="D151" s="165"/>
      <c r="E151" s="165"/>
      <c r="F151" s="165"/>
      <c r="G151" s="198"/>
      <c r="H151" s="198"/>
      <c r="I151" s="181"/>
      <c r="J151" s="181"/>
      <c r="K151" s="155"/>
      <c r="L151" s="165"/>
      <c r="M151" s="165"/>
      <c r="N151" s="37"/>
      <c r="O151" s="37"/>
      <c r="P151" s="198"/>
      <c r="Q151" s="163"/>
      <c r="R151" s="163"/>
      <c r="S151" s="163"/>
      <c r="T151" s="118"/>
      <c r="U151" s="214"/>
      <c r="V151" s="43"/>
      <c r="W151" s="181"/>
      <c r="X151" s="158"/>
      <c r="Y151" s="158"/>
      <c r="Z151" s="158"/>
      <c r="AA151" s="177"/>
      <c r="AB151" s="158"/>
      <c r="AC151" s="177"/>
      <c r="AD151" s="177"/>
      <c r="AE151" s="74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</row>
    <row r="152" spans="1:46" ht="16.5" customHeight="1">
      <c r="A152" s="422"/>
      <c r="B152" s="224"/>
      <c r="C152" s="223"/>
      <c r="D152" s="165"/>
      <c r="E152" s="165"/>
      <c r="F152" s="165"/>
      <c r="G152" s="198"/>
      <c r="H152" s="198"/>
      <c r="I152" s="181"/>
      <c r="J152" s="181"/>
      <c r="K152" s="155"/>
      <c r="L152" s="165"/>
      <c r="M152" s="165"/>
      <c r="N152" s="37"/>
      <c r="O152" s="37"/>
      <c r="P152" s="198"/>
      <c r="Q152" s="163"/>
      <c r="R152" s="163"/>
      <c r="S152" s="163"/>
      <c r="T152" s="118"/>
      <c r="U152" s="214"/>
      <c r="V152" s="43"/>
      <c r="W152" s="181"/>
      <c r="X152" s="158"/>
      <c r="Y152" s="158"/>
      <c r="Z152" s="158"/>
      <c r="AA152" s="177"/>
      <c r="AB152" s="158"/>
      <c r="AC152" s="177"/>
      <c r="AD152" s="158"/>
      <c r="AE152" s="74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</row>
    <row r="153" spans="1:46" ht="16.5" customHeight="1">
      <c r="A153" s="422"/>
      <c r="B153" s="195"/>
      <c r="C153" s="223"/>
      <c r="D153" s="225"/>
      <c r="E153" s="225"/>
      <c r="F153" s="225"/>
      <c r="G153" s="198"/>
      <c r="H153" s="198"/>
      <c r="I153" s="181"/>
      <c r="J153" s="181"/>
      <c r="K153" s="155"/>
      <c r="L153" s="156"/>
      <c r="M153" s="156"/>
      <c r="N153" s="155"/>
      <c r="O153" s="155"/>
      <c r="P153" s="198"/>
      <c r="Q153" s="163"/>
      <c r="R153" s="163"/>
      <c r="S153" s="163"/>
      <c r="T153" s="117"/>
      <c r="U153" s="214"/>
      <c r="V153" s="43"/>
      <c r="W153" s="181"/>
      <c r="X153" s="158"/>
      <c r="Y153" s="158"/>
      <c r="Z153" s="158"/>
      <c r="AA153" s="158"/>
      <c r="AB153" s="158"/>
      <c r="AC153" s="158"/>
      <c r="AD153" s="158"/>
      <c r="AE153" s="74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</row>
    <row r="154" spans="1:46" ht="16.5" customHeight="1">
      <c r="A154" s="422"/>
      <c r="B154" s="224"/>
      <c r="C154" s="223"/>
      <c r="D154" s="225"/>
      <c r="E154" s="225"/>
      <c r="F154" s="225"/>
      <c r="G154" s="198"/>
      <c r="H154" s="198"/>
      <c r="I154" s="226"/>
      <c r="J154" s="226"/>
      <c r="K154" s="155"/>
      <c r="L154" s="156"/>
      <c r="M154" s="156"/>
      <c r="N154" s="155"/>
      <c r="O154" s="155"/>
      <c r="P154" s="45"/>
      <c r="Q154" s="163"/>
      <c r="R154" s="163"/>
      <c r="S154" s="163"/>
      <c r="T154" s="117"/>
      <c r="U154" s="214"/>
      <c r="V154" s="43"/>
      <c r="W154" s="226"/>
      <c r="X154" s="158"/>
      <c r="Y154" s="158"/>
      <c r="Z154" s="227"/>
      <c r="AA154" s="158"/>
      <c r="AB154" s="158"/>
      <c r="AC154" s="158"/>
      <c r="AD154" s="158"/>
      <c r="AE154" s="74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</row>
    <row r="155" spans="1:46" ht="16.5" customHeight="1">
      <c r="A155" s="422"/>
      <c r="B155" s="224"/>
      <c r="C155" s="45"/>
      <c r="D155" s="225"/>
      <c r="E155" s="225"/>
      <c r="F155" s="225"/>
      <c r="G155" s="198"/>
      <c r="H155" s="198"/>
      <c r="I155" s="181"/>
      <c r="J155" s="181"/>
      <c r="K155" s="155"/>
      <c r="L155" s="156"/>
      <c r="M155" s="156"/>
      <c r="N155" s="155"/>
      <c r="O155" s="155"/>
      <c r="P155" s="198"/>
      <c r="Q155" s="163"/>
      <c r="R155" s="163"/>
      <c r="S155" s="163"/>
      <c r="T155" s="117"/>
      <c r="U155" s="214"/>
      <c r="V155" s="43"/>
      <c r="W155" s="181"/>
      <c r="X155" s="158"/>
      <c r="Y155" s="158"/>
      <c r="Z155" s="158"/>
      <c r="AA155" s="158"/>
      <c r="AB155" s="158"/>
      <c r="AC155" s="158"/>
      <c r="AD155" s="158"/>
      <c r="AE155" s="74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</row>
    <row r="156" spans="1:46" ht="16.5" customHeight="1">
      <c r="A156" s="422"/>
      <c r="B156" s="224"/>
      <c r="C156" s="223"/>
      <c r="D156" s="225"/>
      <c r="E156" s="225"/>
      <c r="F156" s="225"/>
      <c r="G156" s="198"/>
      <c r="H156" s="198"/>
      <c r="I156" s="181"/>
      <c r="J156" s="181"/>
      <c r="K156" s="155"/>
      <c r="L156" s="156"/>
      <c r="M156" s="156"/>
      <c r="N156" s="155"/>
      <c r="O156" s="155"/>
      <c r="P156" s="198"/>
      <c r="Q156" s="163"/>
      <c r="R156" s="163"/>
      <c r="S156" s="163"/>
      <c r="T156" s="117"/>
      <c r="U156" s="214"/>
      <c r="V156" s="43"/>
      <c r="W156" s="181"/>
      <c r="X156" s="158"/>
      <c r="Y156" s="158"/>
      <c r="Z156" s="158"/>
      <c r="AA156" s="158"/>
      <c r="AB156" s="158"/>
      <c r="AC156" s="158"/>
      <c r="AD156" s="158"/>
      <c r="AE156" s="74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</row>
    <row r="157" spans="1:46" ht="16.5" customHeight="1">
      <c r="A157" s="422"/>
      <c r="B157" s="224"/>
      <c r="C157" s="223"/>
      <c r="D157" s="225"/>
      <c r="E157" s="225"/>
      <c r="F157" s="225"/>
      <c r="G157" s="198"/>
      <c r="H157" s="198"/>
      <c r="I157" s="181"/>
      <c r="J157" s="181"/>
      <c r="K157" s="155"/>
      <c r="L157" s="156"/>
      <c r="M157" s="156"/>
      <c r="N157" s="155"/>
      <c r="O157" s="155"/>
      <c r="P157" s="198"/>
      <c r="Q157" s="163"/>
      <c r="R157" s="163"/>
      <c r="S157" s="163"/>
      <c r="T157" s="117"/>
      <c r="U157" s="214"/>
      <c r="V157" s="43"/>
      <c r="W157" s="181"/>
      <c r="X157" s="158"/>
      <c r="Y157" s="158"/>
      <c r="Z157" s="158"/>
      <c r="AA157" s="158"/>
      <c r="AB157" s="158"/>
      <c r="AC157" s="158"/>
      <c r="AD157" s="158"/>
      <c r="AE157" s="74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</row>
    <row r="158" spans="1:46" ht="16.5" customHeight="1">
      <c r="A158" s="422"/>
      <c r="B158" s="224"/>
      <c r="C158" s="223"/>
      <c r="D158" s="225"/>
      <c r="E158" s="225"/>
      <c r="F158" s="225"/>
      <c r="G158" s="198"/>
      <c r="H158" s="198"/>
      <c r="I158" s="181"/>
      <c r="J158" s="181"/>
      <c r="K158" s="155"/>
      <c r="L158" s="165"/>
      <c r="M158" s="165"/>
      <c r="N158" s="155"/>
      <c r="O158" s="155"/>
      <c r="P158" s="198"/>
      <c r="Q158" s="163"/>
      <c r="R158" s="163"/>
      <c r="S158" s="163"/>
      <c r="T158" s="117"/>
      <c r="U158" s="214"/>
      <c r="V158" s="43"/>
      <c r="W158" s="181"/>
      <c r="X158" s="158"/>
      <c r="Y158" s="158"/>
      <c r="Z158" s="158"/>
      <c r="AA158" s="158"/>
      <c r="AB158" s="158"/>
      <c r="AC158" s="158"/>
      <c r="AD158" s="158"/>
      <c r="AE158" s="74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</row>
    <row r="159" spans="1:46" ht="16.5" customHeight="1">
      <c r="A159" s="422"/>
      <c r="B159" s="224"/>
      <c r="C159" s="223"/>
      <c r="D159" s="225"/>
      <c r="E159" s="225"/>
      <c r="F159" s="225"/>
      <c r="G159" s="198"/>
      <c r="H159" s="198"/>
      <c r="I159" s="181"/>
      <c r="J159" s="181"/>
      <c r="K159" s="155"/>
      <c r="L159" s="165"/>
      <c r="M159" s="165"/>
      <c r="N159" s="155"/>
      <c r="O159" s="155"/>
      <c r="P159" s="198"/>
      <c r="Q159" s="163"/>
      <c r="R159" s="163"/>
      <c r="S159" s="163"/>
      <c r="T159" s="117"/>
      <c r="U159" s="214"/>
      <c r="V159" s="43"/>
      <c r="W159" s="181"/>
      <c r="X159" s="177"/>
      <c r="Y159" s="177"/>
      <c r="Z159" s="158"/>
      <c r="AA159" s="165"/>
      <c r="AB159" s="158"/>
      <c r="AC159" s="165"/>
      <c r="AD159" s="158"/>
      <c r="AE159" s="74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</row>
    <row r="160" spans="1:46" ht="16.5" customHeight="1">
      <c r="A160" s="422"/>
      <c r="B160" s="224"/>
      <c r="C160" s="223"/>
      <c r="D160" s="225"/>
      <c r="E160" s="225"/>
      <c r="F160" s="225"/>
      <c r="G160" s="198"/>
      <c r="H160" s="198"/>
      <c r="I160" s="181"/>
      <c r="J160" s="181"/>
      <c r="K160" s="155"/>
      <c r="L160" s="156"/>
      <c r="M160" s="156"/>
      <c r="N160" s="155"/>
      <c r="O160" s="155"/>
      <c r="P160" s="198"/>
      <c r="Q160" s="163"/>
      <c r="R160" s="163"/>
      <c r="S160" s="163"/>
      <c r="T160" s="117"/>
      <c r="U160" s="214"/>
      <c r="V160" s="43"/>
      <c r="W160" s="181"/>
      <c r="X160" s="177"/>
      <c r="Y160" s="177"/>
      <c r="Z160" s="158"/>
      <c r="AA160" s="158"/>
      <c r="AB160" s="177"/>
      <c r="AC160" s="158"/>
      <c r="AD160" s="158"/>
      <c r="AE160" s="74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</row>
    <row r="161" spans="1:46" ht="16.5" customHeight="1">
      <c r="A161" s="422"/>
      <c r="B161" s="224"/>
      <c r="C161" s="223"/>
      <c r="D161" s="225"/>
      <c r="E161" s="225"/>
      <c r="F161" s="225"/>
      <c r="G161" s="198"/>
      <c r="H161" s="198"/>
      <c r="I161" s="226"/>
      <c r="J161" s="226"/>
      <c r="K161" s="155"/>
      <c r="L161" s="165"/>
      <c r="M161" s="165"/>
      <c r="N161" s="155"/>
      <c r="O161" s="155"/>
      <c r="P161" s="198"/>
      <c r="Q161" s="163"/>
      <c r="R161" s="163"/>
      <c r="S161" s="163"/>
      <c r="T161" s="117"/>
      <c r="U161" s="214"/>
      <c r="V161" s="43"/>
      <c r="W161" s="226"/>
      <c r="X161" s="177"/>
      <c r="Y161" s="177"/>
      <c r="Z161" s="158"/>
      <c r="AA161" s="156"/>
      <c r="AB161" s="158"/>
      <c r="AC161" s="156"/>
      <c r="AD161" s="158"/>
      <c r="AE161" s="74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</row>
    <row r="162" spans="1:46" ht="16.5" customHeight="1">
      <c r="A162" s="422"/>
      <c r="B162" s="224"/>
      <c r="C162" s="223"/>
      <c r="D162" s="225"/>
      <c r="E162" s="225"/>
      <c r="F162" s="225"/>
      <c r="G162" s="198"/>
      <c r="H162" s="198"/>
      <c r="I162" s="181"/>
      <c r="J162" s="181"/>
      <c r="K162" s="155"/>
      <c r="L162" s="165"/>
      <c r="M162" s="165"/>
      <c r="N162" s="155"/>
      <c r="O162" s="155"/>
      <c r="P162" s="198"/>
      <c r="Q162" s="163"/>
      <c r="R162" s="163"/>
      <c r="S162" s="163"/>
      <c r="T162" s="117"/>
      <c r="U162" s="214"/>
      <c r="V162" s="43"/>
      <c r="W162" s="181"/>
      <c r="X162" s="158"/>
      <c r="Y162" s="158"/>
      <c r="Z162" s="158"/>
      <c r="AA162" s="158"/>
      <c r="AB162" s="158"/>
      <c r="AC162" s="158"/>
      <c r="AD162" s="158"/>
      <c r="AE162" s="74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</row>
    <row r="163" spans="1:46" ht="16.5" customHeight="1">
      <c r="A163" s="422"/>
      <c r="B163" s="195"/>
      <c r="C163" s="223"/>
      <c r="D163" s="225"/>
      <c r="E163" s="225"/>
      <c r="F163" s="225"/>
      <c r="G163" s="198"/>
      <c r="H163" s="198"/>
      <c r="I163" s="181"/>
      <c r="J163" s="181"/>
      <c r="K163" s="181"/>
      <c r="L163" s="156"/>
      <c r="M163" s="156"/>
      <c r="N163" s="37"/>
      <c r="O163" s="37"/>
      <c r="P163" s="429"/>
      <c r="Q163" s="163"/>
      <c r="R163" s="163"/>
      <c r="S163" s="163"/>
      <c r="T163" s="117"/>
      <c r="U163" s="214"/>
      <c r="V163" s="43"/>
      <c r="W163" s="181"/>
      <c r="X163" s="158"/>
      <c r="Y163" s="158"/>
      <c r="Z163" s="158"/>
      <c r="AA163" s="158"/>
      <c r="AB163" s="158"/>
      <c r="AC163" s="158"/>
      <c r="AD163" s="158"/>
      <c r="AE163" s="74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</row>
    <row r="164" spans="1:46" ht="16.5" customHeight="1">
      <c r="A164" s="422"/>
      <c r="B164" s="212"/>
      <c r="C164" s="196"/>
      <c r="D164" s="201"/>
      <c r="E164" s="201"/>
      <c r="F164" s="201"/>
      <c r="G164" s="198"/>
      <c r="H164" s="198"/>
      <c r="I164" s="181"/>
      <c r="J164" s="181"/>
      <c r="K164" s="155"/>
      <c r="L164" s="165"/>
      <c r="M164" s="165"/>
      <c r="N164" s="37"/>
      <c r="O164" s="37"/>
      <c r="P164" s="199"/>
      <c r="Q164" s="163"/>
      <c r="R164" s="163"/>
      <c r="S164" s="163"/>
      <c r="T164" s="118"/>
      <c r="U164" s="117"/>
      <c r="V164" s="43"/>
      <c r="W164" s="181"/>
      <c r="X164" s="158"/>
      <c r="Y164" s="158"/>
      <c r="Z164" s="158"/>
      <c r="AA164" s="158"/>
      <c r="AB164" s="158"/>
      <c r="AC164" s="158"/>
      <c r="AD164" s="158"/>
      <c r="AE164" s="74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</row>
    <row r="165" spans="1:46" ht="16.5" customHeight="1">
      <c r="A165" s="422"/>
      <c r="B165" s="212"/>
      <c r="C165" s="196"/>
      <c r="D165" s="201"/>
      <c r="E165" s="201"/>
      <c r="F165" s="201"/>
      <c r="G165" s="198"/>
      <c r="H165" s="198"/>
      <c r="I165" s="181"/>
      <c r="J165" s="181"/>
      <c r="K165" s="155"/>
      <c r="L165" s="165"/>
      <c r="M165" s="165"/>
      <c r="N165" s="37"/>
      <c r="O165" s="37"/>
      <c r="P165" s="199"/>
      <c r="Q165" s="163"/>
      <c r="R165" s="163"/>
      <c r="S165" s="163"/>
      <c r="T165" s="118"/>
      <c r="U165" s="117"/>
      <c r="V165" s="43"/>
      <c r="W165" s="181"/>
      <c r="X165" s="158"/>
      <c r="Y165" s="158"/>
      <c r="Z165" s="158"/>
      <c r="AA165" s="158"/>
      <c r="AB165" s="158"/>
      <c r="AC165" s="158"/>
      <c r="AD165" s="158"/>
      <c r="AE165" s="74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</row>
    <row r="166" spans="1:46" ht="16.5" customHeight="1">
      <c r="A166" s="422"/>
      <c r="B166" s="212"/>
      <c r="C166" s="196"/>
      <c r="D166" s="201"/>
      <c r="E166" s="201"/>
      <c r="F166" s="201"/>
      <c r="G166" s="198"/>
      <c r="H166" s="198"/>
      <c r="I166" s="181"/>
      <c r="J166" s="181"/>
      <c r="K166" s="155"/>
      <c r="L166" s="165"/>
      <c r="M166" s="165"/>
      <c r="N166" s="37"/>
      <c r="O166" s="37"/>
      <c r="P166" s="199"/>
      <c r="Q166" s="163"/>
      <c r="R166" s="163"/>
      <c r="S166" s="163"/>
      <c r="T166" s="118"/>
      <c r="U166" s="117"/>
      <c r="V166" s="43"/>
      <c r="W166" s="181"/>
      <c r="X166" s="158"/>
      <c r="Y166" s="158"/>
      <c r="Z166" s="158"/>
      <c r="AA166" s="158"/>
      <c r="AB166" s="158"/>
      <c r="AC166" s="158"/>
      <c r="AD166" s="158"/>
      <c r="AE166" s="74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</row>
    <row r="167" spans="1:46" ht="16.5" customHeight="1">
      <c r="A167" s="422"/>
      <c r="B167" s="224"/>
      <c r="C167" s="223"/>
      <c r="D167" s="225"/>
      <c r="E167" s="225"/>
      <c r="F167" s="225"/>
      <c r="G167" s="198"/>
      <c r="H167" s="198"/>
      <c r="I167" s="181"/>
      <c r="J167" s="181"/>
      <c r="K167" s="181"/>
      <c r="L167" s="156"/>
      <c r="M167" s="156"/>
      <c r="N167" s="37"/>
      <c r="O167" s="37"/>
      <c r="P167" s="429"/>
      <c r="Q167" s="163"/>
      <c r="R167" s="163"/>
      <c r="S167" s="163"/>
      <c r="T167" s="117"/>
      <c r="U167" s="214"/>
      <c r="V167" s="43"/>
      <c r="W167" s="181"/>
      <c r="X167" s="158"/>
      <c r="Y167" s="158"/>
      <c r="Z167" s="158"/>
      <c r="AA167" s="158"/>
      <c r="AB167" s="158"/>
      <c r="AC167" s="158"/>
      <c r="AD167" s="158"/>
      <c r="AE167" s="74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</row>
    <row r="168" spans="1:46" ht="16.5" customHeight="1">
      <c r="A168" s="422"/>
      <c r="B168" s="224"/>
      <c r="C168" s="196"/>
      <c r="D168" s="201"/>
      <c r="E168" s="201"/>
      <c r="F168" s="201"/>
      <c r="G168" s="198"/>
      <c r="H168" s="198"/>
      <c r="I168" s="181"/>
      <c r="J168" s="181"/>
      <c r="K168" s="155"/>
      <c r="L168" s="165"/>
      <c r="M168" s="165"/>
      <c r="N168" s="37"/>
      <c r="O168" s="37"/>
      <c r="P168" s="198"/>
      <c r="Q168" s="163"/>
      <c r="R168" s="163"/>
      <c r="S168" s="163"/>
      <c r="T168" s="118"/>
      <c r="U168" s="214"/>
      <c r="V168" s="43"/>
      <c r="W168" s="181"/>
      <c r="X168" s="158"/>
      <c r="Y168" s="158"/>
      <c r="Z168" s="158"/>
      <c r="AA168" s="158"/>
      <c r="AB168" s="158"/>
      <c r="AC168" s="158"/>
      <c r="AD168" s="158"/>
      <c r="AE168" s="74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</row>
    <row r="169" spans="1:46" ht="16.5" customHeight="1">
      <c r="A169" s="422"/>
      <c r="B169" s="224"/>
      <c r="C169" s="223"/>
      <c r="D169" s="225"/>
      <c r="E169" s="225"/>
      <c r="F169" s="225"/>
      <c r="G169" s="198"/>
      <c r="H169" s="198"/>
      <c r="I169" s="181"/>
      <c r="J169" s="181"/>
      <c r="K169" s="181"/>
      <c r="L169" s="156"/>
      <c r="M169" s="156"/>
      <c r="N169" s="37"/>
      <c r="O169" s="37"/>
      <c r="P169" s="429"/>
      <c r="Q169" s="163"/>
      <c r="R169" s="163"/>
      <c r="S169" s="163"/>
      <c r="T169" s="117"/>
      <c r="U169" s="214"/>
      <c r="V169" s="43"/>
      <c r="W169" s="181"/>
      <c r="X169" s="158"/>
      <c r="Y169" s="158"/>
      <c r="Z169" s="158"/>
      <c r="AA169" s="158"/>
      <c r="AB169" s="158"/>
      <c r="AC169" s="158"/>
      <c r="AD169" s="158"/>
      <c r="AE169" s="74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</row>
    <row r="170" spans="1:46" ht="16.5" customHeight="1">
      <c r="A170" s="422"/>
      <c r="B170" s="195"/>
      <c r="C170" s="223"/>
      <c r="D170" s="225"/>
      <c r="E170" s="225"/>
      <c r="F170" s="225"/>
      <c r="G170" s="198"/>
      <c r="H170" s="198"/>
      <c r="I170" s="181"/>
      <c r="J170" s="181"/>
      <c r="K170" s="181"/>
      <c r="L170" s="156"/>
      <c r="M170" s="156"/>
      <c r="N170" s="37"/>
      <c r="O170" s="37"/>
      <c r="P170" s="429"/>
      <c r="Q170" s="163"/>
      <c r="R170" s="163"/>
      <c r="S170" s="163"/>
      <c r="T170" s="117"/>
      <c r="U170" s="214"/>
      <c r="V170" s="43"/>
      <c r="W170" s="181"/>
      <c r="X170" s="158"/>
      <c r="Y170" s="158"/>
      <c r="Z170" s="158"/>
      <c r="AA170" s="158"/>
      <c r="AB170" s="158"/>
      <c r="AC170" s="158"/>
      <c r="AD170" s="158"/>
      <c r="AE170" s="74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</row>
    <row r="171" spans="1:46" ht="16.5" customHeight="1">
      <c r="A171" s="422"/>
      <c r="B171" s="195"/>
      <c r="C171" s="223"/>
      <c r="D171" s="225"/>
      <c r="E171" s="225"/>
      <c r="F171" s="225"/>
      <c r="G171" s="198"/>
      <c r="H171" s="198"/>
      <c r="I171" s="181"/>
      <c r="J171" s="181"/>
      <c r="K171" s="155"/>
      <c r="L171" s="155"/>
      <c r="M171" s="155"/>
      <c r="N171" s="37"/>
      <c r="O171" s="37"/>
      <c r="P171" s="198"/>
      <c r="Q171" s="163"/>
      <c r="R171" s="163"/>
      <c r="S171" s="163"/>
      <c r="T171" s="117"/>
      <c r="U171" s="214"/>
      <c r="V171" s="43"/>
      <c r="W171" s="181"/>
      <c r="X171" s="158"/>
      <c r="Y171" s="158"/>
      <c r="Z171" s="158"/>
      <c r="AA171" s="158"/>
      <c r="AB171" s="158"/>
      <c r="AC171" s="158"/>
      <c r="AD171" s="158"/>
      <c r="AE171" s="74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</row>
    <row r="172" spans="1:46" ht="16.5" customHeight="1">
      <c r="A172" s="422"/>
      <c r="B172" s="212"/>
      <c r="C172" s="223"/>
      <c r="D172" s="225"/>
      <c r="E172" s="225"/>
      <c r="F172" s="225"/>
      <c r="G172" s="198"/>
      <c r="H172" s="198"/>
      <c r="I172" s="181"/>
      <c r="J172" s="181"/>
      <c r="K172" s="155"/>
      <c r="L172" s="155"/>
      <c r="M172" s="155"/>
      <c r="N172" s="37"/>
      <c r="O172" s="37"/>
      <c r="P172" s="198"/>
      <c r="Q172" s="163"/>
      <c r="R172" s="163"/>
      <c r="S172" s="163"/>
      <c r="T172" s="117"/>
      <c r="U172" s="214"/>
      <c r="V172" s="43"/>
      <c r="W172" s="181"/>
      <c r="X172" s="158"/>
      <c r="Y172" s="158"/>
      <c r="Z172" s="158"/>
      <c r="AA172" s="158"/>
      <c r="AB172" s="158"/>
      <c r="AC172" s="158"/>
      <c r="AD172" s="158"/>
      <c r="AE172" s="74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</row>
    <row r="173" spans="1:46" ht="16.5" customHeight="1">
      <c r="A173" s="422"/>
      <c r="B173" s="212"/>
      <c r="C173" s="223"/>
      <c r="D173" s="225"/>
      <c r="E173" s="225"/>
      <c r="F173" s="225"/>
      <c r="G173" s="198"/>
      <c r="H173" s="198"/>
      <c r="I173" s="181"/>
      <c r="J173" s="181"/>
      <c r="K173" s="181"/>
      <c r="L173" s="156"/>
      <c r="M173" s="156"/>
      <c r="N173" s="37"/>
      <c r="O173" s="37"/>
      <c r="P173" s="429"/>
      <c r="Q173" s="163"/>
      <c r="R173" s="163"/>
      <c r="S173" s="163"/>
      <c r="T173" s="117"/>
      <c r="U173" s="214"/>
      <c r="V173" s="43"/>
      <c r="W173" s="181"/>
      <c r="X173" s="158"/>
      <c r="Y173" s="158"/>
      <c r="Z173" s="158"/>
      <c r="AA173" s="158"/>
      <c r="AB173" s="158"/>
      <c r="AC173" s="158"/>
      <c r="AD173" s="158"/>
      <c r="AE173" s="74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</row>
    <row r="174" spans="1:46" ht="16.5" customHeight="1">
      <c r="A174" s="422"/>
      <c r="B174" s="212"/>
      <c r="C174" s="223"/>
      <c r="D174" s="201"/>
      <c r="E174" s="201"/>
      <c r="F174" s="201"/>
      <c r="G174" s="198"/>
      <c r="H174" s="198"/>
      <c r="I174" s="181"/>
      <c r="J174" s="181"/>
      <c r="K174" s="181"/>
      <c r="L174" s="156"/>
      <c r="M174" s="156"/>
      <c r="N174" s="37"/>
      <c r="O174" s="37"/>
      <c r="P174" s="198"/>
      <c r="Q174" s="163"/>
      <c r="R174" s="163"/>
      <c r="S174" s="163"/>
      <c r="T174" s="118"/>
      <c r="U174" s="214"/>
      <c r="V174" s="43"/>
      <c r="W174" s="181"/>
      <c r="X174" s="158"/>
      <c r="Y174" s="158"/>
      <c r="Z174" s="158"/>
      <c r="AA174" s="158"/>
      <c r="AB174" s="158"/>
      <c r="AC174" s="158"/>
      <c r="AD174" s="158"/>
      <c r="AE174" s="74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</row>
    <row r="175" spans="1:46" ht="16.5" customHeight="1">
      <c r="A175" s="422"/>
      <c r="B175" s="224"/>
      <c r="C175" s="223"/>
      <c r="D175" s="225"/>
      <c r="E175" s="225"/>
      <c r="F175" s="225"/>
      <c r="G175" s="198"/>
      <c r="H175" s="198"/>
      <c r="I175" s="181"/>
      <c r="J175" s="181"/>
      <c r="K175" s="181"/>
      <c r="L175" s="156"/>
      <c r="M175" s="156"/>
      <c r="N175" s="37"/>
      <c r="O175" s="37"/>
      <c r="P175" s="429"/>
      <c r="Q175" s="163"/>
      <c r="R175" s="163"/>
      <c r="S175" s="163"/>
      <c r="T175" s="117"/>
      <c r="U175" s="214"/>
      <c r="V175" s="43"/>
      <c r="W175" s="181"/>
      <c r="X175" s="158"/>
      <c r="Y175" s="158"/>
      <c r="Z175" s="158"/>
      <c r="AA175" s="158"/>
      <c r="AB175" s="158"/>
      <c r="AC175" s="158"/>
      <c r="AD175" s="158"/>
      <c r="AE175" s="74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</row>
    <row r="176" spans="1:46" ht="16.5" customHeight="1">
      <c r="A176" s="422"/>
      <c r="B176" s="195"/>
      <c r="C176" s="198"/>
      <c r="D176" s="201"/>
      <c r="E176" s="201"/>
      <c r="F176" s="201"/>
      <c r="G176" s="198"/>
      <c r="H176" s="198"/>
      <c r="I176" s="181"/>
      <c r="J176" s="181"/>
      <c r="K176" s="155"/>
      <c r="L176" s="165"/>
      <c r="M176" s="165"/>
      <c r="N176" s="37"/>
      <c r="O176" s="37"/>
      <c r="P176" s="198"/>
      <c r="Q176" s="163"/>
      <c r="R176" s="163"/>
      <c r="S176" s="163"/>
      <c r="T176" s="117"/>
      <c r="U176" s="117"/>
      <c r="V176" s="43"/>
      <c r="W176" s="181"/>
      <c r="X176" s="158"/>
      <c r="Y176" s="158"/>
      <c r="Z176" s="158"/>
      <c r="AA176" s="158"/>
      <c r="AB176" s="177"/>
      <c r="AC176" s="158"/>
      <c r="AD176" s="158"/>
      <c r="AE176" s="74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</row>
    <row r="177" spans="1:46" ht="16.5" customHeight="1">
      <c r="A177" s="422"/>
      <c r="B177" s="224"/>
      <c r="C177" s="196"/>
      <c r="D177" s="201"/>
      <c r="E177" s="201"/>
      <c r="F177" s="201"/>
      <c r="G177" s="198"/>
      <c r="H177" s="198"/>
      <c r="I177" s="181"/>
      <c r="J177" s="181"/>
      <c r="K177" s="155"/>
      <c r="L177" s="165"/>
      <c r="M177" s="165"/>
      <c r="N177" s="37"/>
      <c r="O177" s="37"/>
      <c r="P177" s="198"/>
      <c r="Q177" s="163"/>
      <c r="R177" s="163"/>
      <c r="S177" s="163"/>
      <c r="T177" s="117"/>
      <c r="U177" s="117"/>
      <c r="V177" s="43"/>
      <c r="W177" s="181"/>
      <c r="X177" s="158"/>
      <c r="Y177" s="158"/>
      <c r="Z177" s="158"/>
      <c r="AA177" s="158"/>
      <c r="AB177" s="177"/>
      <c r="AC177" s="158"/>
      <c r="AD177" s="158"/>
      <c r="AE177" s="74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</row>
    <row r="178" spans="1:46" ht="16.5" customHeight="1">
      <c r="A178" s="422"/>
      <c r="B178" s="224"/>
      <c r="C178" s="223"/>
      <c r="D178" s="225"/>
      <c r="E178" s="225"/>
      <c r="F178" s="225"/>
      <c r="G178" s="198"/>
      <c r="H178" s="198"/>
      <c r="I178" s="181"/>
      <c r="J178" s="181"/>
      <c r="K178" s="181"/>
      <c r="L178" s="165"/>
      <c r="M178" s="165"/>
      <c r="N178" s="37"/>
      <c r="O178" s="37"/>
      <c r="P178" s="429"/>
      <c r="Q178" s="163"/>
      <c r="R178" s="163"/>
      <c r="S178" s="163"/>
      <c r="T178" s="117"/>
      <c r="U178" s="214"/>
      <c r="V178" s="43"/>
      <c r="W178" s="181"/>
      <c r="X178" s="158"/>
      <c r="Y178" s="158"/>
      <c r="Z178" s="158"/>
      <c r="AA178" s="158"/>
      <c r="AB178" s="158"/>
      <c r="AC178" s="158"/>
      <c r="AD178" s="158"/>
      <c r="AE178" s="74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</row>
    <row r="179" spans="1:46" ht="16.5" customHeight="1">
      <c r="A179" s="422"/>
      <c r="B179" s="224"/>
      <c r="C179" s="223"/>
      <c r="D179" s="225"/>
      <c r="E179" s="225"/>
      <c r="F179" s="225"/>
      <c r="G179" s="198"/>
      <c r="H179" s="198"/>
      <c r="I179" s="181"/>
      <c r="J179" s="181"/>
      <c r="K179" s="181"/>
      <c r="L179" s="165"/>
      <c r="M179" s="165"/>
      <c r="N179" s="37"/>
      <c r="O179" s="37"/>
      <c r="P179" s="429"/>
      <c r="Q179" s="163"/>
      <c r="R179" s="163"/>
      <c r="S179" s="163"/>
      <c r="T179" s="117"/>
      <c r="U179" s="214"/>
      <c r="V179" s="43"/>
      <c r="W179" s="181"/>
      <c r="X179" s="158"/>
      <c r="Y179" s="158"/>
      <c r="Z179" s="158"/>
      <c r="AA179" s="158"/>
      <c r="AB179" s="158"/>
      <c r="AC179" s="158"/>
      <c r="AD179" s="158"/>
      <c r="AE179" s="74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</row>
    <row r="180" spans="1:46" ht="16.5" customHeight="1">
      <c r="A180" s="422"/>
      <c r="B180" s="224"/>
      <c r="C180" s="223"/>
      <c r="D180" s="225"/>
      <c r="E180" s="225"/>
      <c r="F180" s="225"/>
      <c r="G180" s="198"/>
      <c r="H180" s="198"/>
      <c r="I180" s="181"/>
      <c r="J180" s="181"/>
      <c r="K180" s="181"/>
      <c r="L180" s="165"/>
      <c r="M180" s="165"/>
      <c r="N180" s="37"/>
      <c r="O180" s="37"/>
      <c r="P180" s="429"/>
      <c r="Q180" s="163"/>
      <c r="R180" s="163"/>
      <c r="S180" s="163"/>
      <c r="T180" s="117"/>
      <c r="U180" s="214"/>
      <c r="V180" s="43"/>
      <c r="W180" s="181"/>
      <c r="X180" s="158"/>
      <c r="Y180" s="158"/>
      <c r="Z180" s="158"/>
      <c r="AA180" s="158"/>
      <c r="AB180" s="158"/>
      <c r="AC180" s="158"/>
      <c r="AD180" s="158"/>
      <c r="AE180" s="74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</row>
    <row r="181" spans="1:46" ht="16.5" customHeight="1">
      <c r="A181" s="422"/>
      <c r="B181" s="229"/>
      <c r="C181" s="223"/>
      <c r="D181" s="165"/>
      <c r="E181" s="165"/>
      <c r="F181" s="165"/>
      <c r="G181" s="198"/>
      <c r="H181" s="198"/>
      <c r="I181" s="181"/>
      <c r="J181" s="181"/>
      <c r="K181" s="155"/>
      <c r="L181" s="165"/>
      <c r="M181" s="165"/>
      <c r="N181" s="37"/>
      <c r="O181" s="37"/>
      <c r="P181" s="199"/>
      <c r="Q181" s="163"/>
      <c r="R181" s="163"/>
      <c r="S181" s="163"/>
      <c r="T181" s="117"/>
      <c r="U181" s="214"/>
      <c r="V181" s="43"/>
      <c r="W181" s="181"/>
      <c r="X181" s="158"/>
      <c r="Y181" s="158"/>
      <c r="Z181" s="158"/>
      <c r="AA181" s="158"/>
      <c r="AB181" s="158"/>
      <c r="AC181" s="158"/>
      <c r="AD181" s="158"/>
      <c r="AE181" s="74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</row>
    <row r="182" spans="1:46" ht="16.5" customHeight="1">
      <c r="A182" s="422"/>
      <c r="B182" s="224"/>
      <c r="C182" s="196"/>
      <c r="D182" s="201"/>
      <c r="E182" s="201"/>
      <c r="F182" s="201"/>
      <c r="G182" s="198"/>
      <c r="H182" s="198"/>
      <c r="I182" s="181"/>
      <c r="J182" s="181"/>
      <c r="K182" s="181"/>
      <c r="L182" s="165"/>
      <c r="M182" s="165"/>
      <c r="N182" s="37"/>
      <c r="O182" s="37"/>
      <c r="P182" s="429"/>
      <c r="Q182" s="163"/>
      <c r="R182" s="163"/>
      <c r="S182" s="163"/>
      <c r="T182" s="117"/>
      <c r="U182" s="214"/>
      <c r="V182" s="43"/>
      <c r="W182" s="181"/>
      <c r="X182" s="158"/>
      <c r="Y182" s="158"/>
      <c r="Z182" s="158"/>
      <c r="AA182" s="158"/>
      <c r="AB182" s="158"/>
      <c r="AC182" s="158"/>
      <c r="AD182" s="158"/>
      <c r="AE182" s="74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</row>
    <row r="183" spans="1:46" ht="16.5" customHeight="1">
      <c r="A183" s="422"/>
      <c r="B183" s="224"/>
      <c r="C183" s="223"/>
      <c r="D183" s="225"/>
      <c r="E183" s="225"/>
      <c r="F183" s="225"/>
      <c r="G183" s="198"/>
      <c r="H183" s="198"/>
      <c r="I183" s="181"/>
      <c r="J183" s="181"/>
      <c r="K183" s="155"/>
      <c r="L183" s="165"/>
      <c r="M183" s="165"/>
      <c r="N183" s="37"/>
      <c r="O183" s="37"/>
      <c r="P183" s="429"/>
      <c r="Q183" s="163"/>
      <c r="R183" s="163"/>
      <c r="S183" s="163"/>
      <c r="T183" s="117"/>
      <c r="U183" s="214"/>
      <c r="V183" s="43"/>
      <c r="W183" s="181"/>
      <c r="X183" s="158"/>
      <c r="Y183" s="158"/>
      <c r="Z183" s="158"/>
      <c r="AA183" s="158"/>
      <c r="AB183" s="158"/>
      <c r="AC183" s="158"/>
      <c r="AD183" s="177"/>
      <c r="AE183" s="74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</row>
    <row r="184" spans="1:46" ht="16.5" customHeight="1">
      <c r="A184" s="422"/>
      <c r="B184" s="224"/>
      <c r="C184" s="223"/>
      <c r="D184" s="225"/>
      <c r="E184" s="225"/>
      <c r="F184" s="225"/>
      <c r="G184" s="198"/>
      <c r="H184" s="198"/>
      <c r="I184" s="181"/>
      <c r="J184" s="181"/>
      <c r="K184" s="155"/>
      <c r="L184" s="165"/>
      <c r="M184" s="165"/>
      <c r="N184" s="37"/>
      <c r="O184" s="37"/>
      <c r="P184" s="429"/>
      <c r="Q184" s="163"/>
      <c r="R184" s="163"/>
      <c r="S184" s="163"/>
      <c r="T184" s="117"/>
      <c r="U184" s="214"/>
      <c r="V184" s="43"/>
      <c r="W184" s="181"/>
      <c r="X184" s="158"/>
      <c r="Y184" s="158"/>
      <c r="Z184" s="158"/>
      <c r="AA184" s="158"/>
      <c r="AB184" s="158"/>
      <c r="AC184" s="158"/>
      <c r="AD184" s="177"/>
      <c r="AE184" s="74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</row>
    <row r="185" spans="1:46" ht="16.5" customHeight="1">
      <c r="A185" s="422"/>
      <c r="B185" s="224"/>
      <c r="C185" s="223"/>
      <c r="D185" s="165"/>
      <c r="E185" s="165"/>
      <c r="F185" s="165"/>
      <c r="G185" s="198"/>
      <c r="H185" s="198"/>
      <c r="I185" s="155"/>
      <c r="J185" s="155"/>
      <c r="K185" s="155"/>
      <c r="L185" s="165"/>
      <c r="M185" s="165"/>
      <c r="N185" s="37"/>
      <c r="O185" s="37"/>
      <c r="P185" s="429"/>
      <c r="Q185" s="163"/>
      <c r="R185" s="163"/>
      <c r="S185" s="163"/>
      <c r="T185" s="117"/>
      <c r="U185" s="117"/>
      <c r="V185" s="43"/>
      <c r="W185" s="155"/>
      <c r="X185" s="158"/>
      <c r="Y185" s="158"/>
      <c r="Z185" s="158"/>
      <c r="AA185" s="158"/>
      <c r="AB185" s="158"/>
      <c r="AC185" s="158"/>
      <c r="AD185" s="230"/>
      <c r="AE185" s="74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</row>
    <row r="186" spans="1:46" ht="16.5" customHeight="1">
      <c r="A186" s="422"/>
      <c r="B186" s="224"/>
      <c r="C186" s="223"/>
      <c r="D186" s="165"/>
      <c r="E186" s="165"/>
      <c r="F186" s="165"/>
      <c r="G186" s="198"/>
      <c r="H186" s="198"/>
      <c r="I186" s="155"/>
      <c r="J186" s="155"/>
      <c r="K186" s="155"/>
      <c r="L186" s="155"/>
      <c r="M186" s="155"/>
      <c r="N186" s="37"/>
      <c r="O186" s="37"/>
      <c r="P186" s="198"/>
      <c r="Q186" s="163"/>
      <c r="R186" s="163"/>
      <c r="S186" s="163"/>
      <c r="T186" s="117"/>
      <c r="U186" s="117"/>
      <c r="V186" s="43"/>
      <c r="W186" s="155"/>
      <c r="X186" s="158"/>
      <c r="Y186" s="158"/>
      <c r="Z186" s="158"/>
      <c r="AA186" s="230"/>
      <c r="AB186" s="230"/>
      <c r="AC186" s="230"/>
      <c r="AD186" s="230"/>
      <c r="AE186" s="74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</row>
    <row r="187" spans="1:46" ht="16.5" customHeight="1">
      <c r="A187" s="422"/>
      <c r="B187" s="224"/>
      <c r="C187" s="223"/>
      <c r="D187" s="201"/>
      <c r="E187" s="201"/>
      <c r="F187" s="201"/>
      <c r="G187" s="198"/>
      <c r="H187" s="198"/>
      <c r="I187" s="181"/>
      <c r="J187" s="181"/>
      <c r="K187" s="181"/>
      <c r="L187" s="156"/>
      <c r="M187" s="156"/>
      <c r="N187" s="37"/>
      <c r="O187" s="37"/>
      <c r="P187" s="429"/>
      <c r="Q187" s="163"/>
      <c r="R187" s="163"/>
      <c r="S187" s="163"/>
      <c r="T187" s="117"/>
      <c r="U187" s="214"/>
      <c r="V187" s="43"/>
      <c r="W187" s="181"/>
      <c r="X187" s="158"/>
      <c r="Y187" s="158"/>
      <c r="Z187" s="158"/>
      <c r="AA187" s="230"/>
      <c r="AB187" s="230"/>
      <c r="AC187" s="230"/>
      <c r="AD187" s="230"/>
      <c r="AE187" s="74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</row>
    <row r="188" spans="1:46" ht="16.5" customHeight="1">
      <c r="A188" s="422"/>
      <c r="B188" s="224"/>
      <c r="C188" s="223"/>
      <c r="D188" s="201"/>
      <c r="E188" s="201"/>
      <c r="F188" s="201"/>
      <c r="G188" s="198"/>
      <c r="H188" s="198"/>
      <c r="I188" s="155"/>
      <c r="J188" s="155"/>
      <c r="K188" s="181"/>
      <c r="L188" s="156"/>
      <c r="M188" s="156"/>
      <c r="N188" s="37"/>
      <c r="O188" s="37"/>
      <c r="P188" s="429"/>
      <c r="Q188" s="163"/>
      <c r="R188" s="163"/>
      <c r="S188" s="163"/>
      <c r="T188" s="117"/>
      <c r="U188" s="214"/>
      <c r="V188" s="43"/>
      <c r="W188" s="155"/>
      <c r="X188" s="158"/>
      <c r="Y188" s="158"/>
      <c r="Z188" s="158"/>
      <c r="AA188" s="230"/>
      <c r="AB188" s="230"/>
      <c r="AC188" s="230"/>
      <c r="AD188" s="230"/>
      <c r="AE188" s="74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</row>
    <row r="189" spans="1:46" ht="16.5" customHeight="1">
      <c r="A189" s="422"/>
      <c r="B189" s="224"/>
      <c r="C189" s="61"/>
      <c r="D189" s="167"/>
      <c r="E189" s="167"/>
      <c r="F189" s="167"/>
      <c r="G189" s="64"/>
      <c r="H189" s="64"/>
      <c r="I189" s="167"/>
      <c r="J189" s="167"/>
      <c r="K189" s="231"/>
      <c r="L189" s="231"/>
      <c r="M189" s="231"/>
      <c r="N189" s="67"/>
      <c r="O189" s="67"/>
      <c r="P189" s="67"/>
      <c r="Q189" s="233"/>
      <c r="R189" s="233"/>
      <c r="S189" s="171"/>
      <c r="T189" s="234"/>
      <c r="U189" s="72"/>
      <c r="V189" s="72"/>
      <c r="W189" s="167"/>
      <c r="X189" s="230"/>
      <c r="Y189" s="230"/>
      <c r="Z189" s="70"/>
      <c r="AA189" s="230"/>
      <c r="AB189" s="230"/>
      <c r="AC189" s="230"/>
      <c r="AD189" s="230"/>
      <c r="AE189" s="74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</row>
    <row r="190" spans="1:46" ht="16.5" customHeight="1">
      <c r="A190" s="422"/>
      <c r="B190" s="224"/>
      <c r="C190" s="61"/>
      <c r="D190" s="167"/>
      <c r="E190" s="167"/>
      <c r="F190" s="167"/>
      <c r="G190" s="64"/>
      <c r="H190" s="64"/>
      <c r="I190" s="167"/>
      <c r="J190" s="167"/>
      <c r="K190" s="231"/>
      <c r="L190" s="231"/>
      <c r="M190" s="231"/>
      <c r="N190" s="67"/>
      <c r="O190" s="67"/>
      <c r="P190" s="67"/>
      <c r="Q190" s="233"/>
      <c r="R190" s="233"/>
      <c r="S190" s="171"/>
      <c r="T190" s="234"/>
      <c r="U190" s="72"/>
      <c r="V190" s="72"/>
      <c r="W190" s="167"/>
      <c r="X190" s="230"/>
      <c r="Y190" s="230"/>
      <c r="Z190" s="70"/>
      <c r="AA190" s="230"/>
      <c r="AB190" s="230"/>
      <c r="AC190" s="230"/>
      <c r="AD190" s="230"/>
      <c r="AE190" s="74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</row>
    <row r="191" spans="1:46" ht="16.5" customHeight="1">
      <c r="A191" s="422"/>
      <c r="B191" s="224"/>
      <c r="C191" s="61"/>
      <c r="D191" s="167"/>
      <c r="E191" s="167"/>
      <c r="F191" s="167"/>
      <c r="G191" s="64"/>
      <c r="H191" s="64"/>
      <c r="I191" s="167"/>
      <c r="J191" s="167"/>
      <c r="K191" s="231"/>
      <c r="L191" s="231"/>
      <c r="M191" s="231"/>
      <c r="N191" s="67"/>
      <c r="O191" s="67"/>
      <c r="P191" s="67"/>
      <c r="Q191" s="233"/>
      <c r="R191" s="233"/>
      <c r="S191" s="171"/>
      <c r="T191" s="234"/>
      <c r="U191" s="72"/>
      <c r="V191" s="72"/>
      <c r="W191" s="167"/>
      <c r="X191" s="230"/>
      <c r="Y191" s="230"/>
      <c r="Z191" s="70"/>
      <c r="AA191" s="230"/>
      <c r="AB191" s="230"/>
      <c r="AC191" s="230"/>
      <c r="AD191" s="230"/>
      <c r="AE191" s="74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</row>
    <row r="192" spans="1:46" ht="16.5" customHeight="1">
      <c r="A192" s="422"/>
      <c r="B192" s="224"/>
      <c r="C192" s="61"/>
      <c r="D192" s="167"/>
      <c r="E192" s="167"/>
      <c r="F192" s="167"/>
      <c r="G192" s="64"/>
      <c r="H192" s="64"/>
      <c r="I192" s="167"/>
      <c r="J192" s="167"/>
      <c r="K192" s="231"/>
      <c r="L192" s="231"/>
      <c r="M192" s="231"/>
      <c r="N192" s="67"/>
      <c r="O192" s="67"/>
      <c r="P192" s="67"/>
      <c r="Q192" s="233"/>
      <c r="R192" s="233"/>
      <c r="S192" s="171"/>
      <c r="T192" s="234"/>
      <c r="U192" s="72"/>
      <c r="V192" s="72"/>
      <c r="W192" s="167"/>
      <c r="X192" s="230"/>
      <c r="Y192" s="230"/>
      <c r="Z192" s="70"/>
      <c r="AA192" s="230"/>
      <c r="AB192" s="230"/>
      <c r="AC192" s="230"/>
      <c r="AD192" s="230"/>
      <c r="AE192" s="74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</row>
    <row r="193" spans="1:46" ht="16.5" customHeight="1">
      <c r="A193" s="422"/>
      <c r="B193" s="224"/>
      <c r="C193" s="61"/>
      <c r="D193" s="167"/>
      <c r="E193" s="167"/>
      <c r="F193" s="167"/>
      <c r="G193" s="64"/>
      <c r="H193" s="64"/>
      <c r="I193" s="167"/>
      <c r="J193" s="167"/>
      <c r="K193" s="231"/>
      <c r="L193" s="231"/>
      <c r="M193" s="231"/>
      <c r="N193" s="67"/>
      <c r="O193" s="67"/>
      <c r="P193" s="67"/>
      <c r="Q193" s="233"/>
      <c r="R193" s="233"/>
      <c r="S193" s="171"/>
      <c r="T193" s="234"/>
      <c r="U193" s="72"/>
      <c r="V193" s="72"/>
      <c r="W193" s="167"/>
      <c r="X193" s="230"/>
      <c r="Y193" s="230"/>
      <c r="Z193" s="70"/>
      <c r="AA193" s="230"/>
      <c r="AB193" s="230"/>
      <c r="AC193" s="230"/>
      <c r="AD193" s="230"/>
      <c r="AE193" s="74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</row>
    <row r="194" spans="1:46" ht="16.5" customHeight="1">
      <c r="A194" s="422"/>
      <c r="B194" s="224"/>
      <c r="C194" s="61"/>
      <c r="D194" s="167"/>
      <c r="E194" s="167"/>
      <c r="F194" s="167"/>
      <c r="G194" s="64"/>
      <c r="H194" s="64"/>
      <c r="I194" s="167"/>
      <c r="J194" s="167"/>
      <c r="K194" s="231"/>
      <c r="L194" s="231"/>
      <c r="M194" s="231"/>
      <c r="N194" s="67"/>
      <c r="O194" s="67"/>
      <c r="P194" s="67"/>
      <c r="Q194" s="233"/>
      <c r="R194" s="233"/>
      <c r="S194" s="171"/>
      <c r="T194" s="234"/>
      <c r="U194" s="72"/>
      <c r="V194" s="72"/>
      <c r="W194" s="167"/>
      <c r="X194" s="230"/>
      <c r="Y194" s="230"/>
      <c r="Z194" s="70"/>
      <c r="AA194" s="230"/>
      <c r="AB194" s="230"/>
      <c r="AC194" s="230"/>
      <c r="AD194" s="230"/>
      <c r="AE194" s="74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</row>
    <row r="195" spans="1:46" ht="16.5" customHeight="1">
      <c r="A195" s="422"/>
      <c r="B195" s="224"/>
      <c r="C195" s="61"/>
      <c r="D195" s="167"/>
      <c r="E195" s="167"/>
      <c r="F195" s="167"/>
      <c r="G195" s="64"/>
      <c r="H195" s="64"/>
      <c r="I195" s="167"/>
      <c r="J195" s="167"/>
      <c r="K195" s="231"/>
      <c r="L195" s="231"/>
      <c r="M195" s="231"/>
      <c r="N195" s="67"/>
      <c r="O195" s="67"/>
      <c r="P195" s="67"/>
      <c r="Q195" s="233"/>
      <c r="R195" s="233"/>
      <c r="S195" s="171"/>
      <c r="T195" s="234"/>
      <c r="U195" s="72"/>
      <c r="V195" s="72"/>
      <c r="W195" s="167"/>
      <c r="X195" s="230"/>
      <c r="Y195" s="230"/>
      <c r="Z195" s="70"/>
      <c r="AA195" s="230"/>
      <c r="AB195" s="230"/>
      <c r="AC195" s="230"/>
      <c r="AD195" s="230"/>
      <c r="AE195" s="74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</row>
    <row r="196" spans="1:46" ht="16.5" customHeight="1">
      <c r="A196" s="422"/>
      <c r="B196" s="235"/>
      <c r="C196" s="236"/>
      <c r="D196" s="237"/>
      <c r="E196" s="237"/>
      <c r="F196" s="237"/>
      <c r="G196" s="238"/>
      <c r="H196" s="238"/>
      <c r="I196" s="169"/>
      <c r="J196" s="169"/>
      <c r="K196" s="239"/>
      <c r="L196" s="173"/>
      <c r="M196" s="173"/>
      <c r="N196" s="231"/>
      <c r="O196" s="231"/>
      <c r="P196" s="245"/>
      <c r="Q196" s="213"/>
      <c r="R196" s="213"/>
      <c r="S196" s="171"/>
      <c r="T196" s="234"/>
      <c r="U196" s="241"/>
      <c r="V196" s="242"/>
      <c r="W196" s="169"/>
      <c r="X196" s="243"/>
      <c r="Y196" s="243"/>
      <c r="Z196" s="243"/>
      <c r="AA196" s="243"/>
      <c r="AB196" s="244"/>
      <c r="AC196" s="243"/>
      <c r="AD196" s="243"/>
      <c r="AE196" s="45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</row>
    <row r="197" spans="1:46" ht="16.5" customHeight="1">
      <c r="A197" s="422"/>
      <c r="B197" s="235"/>
      <c r="C197" s="61"/>
      <c r="D197" s="167"/>
      <c r="E197" s="167"/>
      <c r="F197" s="167"/>
      <c r="G197" s="245"/>
      <c r="H197" s="245"/>
      <c r="I197" s="239"/>
      <c r="J197" s="239"/>
      <c r="K197" s="239"/>
      <c r="L197" s="173"/>
      <c r="M197" s="173"/>
      <c r="N197" s="67"/>
      <c r="O197" s="67"/>
      <c r="P197" s="245"/>
      <c r="Q197" s="213"/>
      <c r="R197" s="213"/>
      <c r="S197" s="234"/>
      <c r="T197" s="234"/>
      <c r="U197" s="72"/>
      <c r="V197" s="72"/>
      <c r="W197" s="239"/>
      <c r="X197" s="230"/>
      <c r="Y197" s="230"/>
      <c r="Z197" s="230"/>
      <c r="AA197" s="243"/>
      <c r="AB197" s="230"/>
      <c r="AC197" s="243"/>
      <c r="AD197" s="65"/>
      <c r="AE197" s="45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</row>
    <row r="198" spans="1:46" ht="16.5" customHeight="1">
      <c r="A198" s="422"/>
      <c r="B198" s="235"/>
      <c r="C198" s="61"/>
      <c r="D198" s="167"/>
      <c r="E198" s="167"/>
      <c r="F198" s="167"/>
      <c r="G198" s="238"/>
      <c r="H198" s="238"/>
      <c r="I198" s="239"/>
      <c r="J198" s="239"/>
      <c r="K198" s="239"/>
      <c r="L198" s="173"/>
      <c r="M198" s="173"/>
      <c r="N198" s="67"/>
      <c r="O198" s="67"/>
      <c r="P198" s="245"/>
      <c r="Q198" s="213"/>
      <c r="R198" s="213"/>
      <c r="S198" s="171"/>
      <c r="T198" s="246"/>
      <c r="U198" s="174"/>
      <c r="V198" s="242"/>
      <c r="W198" s="239"/>
      <c r="X198" s="65"/>
      <c r="Y198" s="65"/>
      <c r="Z198" s="230"/>
      <c r="AA198" s="243"/>
      <c r="AB198" s="65"/>
      <c r="AC198" s="243"/>
      <c r="AD198" s="74"/>
      <c r="AE198" s="45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</row>
    <row r="199" spans="1:46" ht="16.5" customHeight="1">
      <c r="A199" s="422"/>
      <c r="B199" s="247"/>
      <c r="C199" s="61"/>
      <c r="D199" s="167"/>
      <c r="E199" s="167"/>
      <c r="F199" s="167"/>
      <c r="G199" s="64"/>
      <c r="H199" s="64"/>
      <c r="I199" s="230"/>
      <c r="J199" s="230"/>
      <c r="K199" s="230"/>
      <c r="L199" s="230"/>
      <c r="M199" s="230"/>
      <c r="N199" s="74"/>
      <c r="O199" s="74"/>
      <c r="P199" s="61"/>
      <c r="Q199" s="246"/>
      <c r="R199" s="246"/>
      <c r="S199" s="246"/>
      <c r="T199" s="246"/>
      <c r="U199" s="246"/>
      <c r="V199" s="246"/>
      <c r="W199" s="230"/>
      <c r="X199" s="61"/>
      <c r="Y199" s="61"/>
      <c r="Z199" s="61"/>
      <c r="AA199" s="61"/>
      <c r="AB199" s="61"/>
      <c r="AC199" s="61"/>
      <c r="AD199" s="230"/>
      <c r="AE199" s="65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</row>
    <row r="200" spans="1:46" ht="16.5" customHeight="1">
      <c r="A200" s="422"/>
      <c r="B200" s="248"/>
      <c r="C200" s="61"/>
      <c r="D200" s="167"/>
      <c r="E200" s="167"/>
      <c r="F200" s="167"/>
      <c r="G200" s="245"/>
      <c r="H200" s="245"/>
      <c r="I200" s="169"/>
      <c r="J200" s="169"/>
      <c r="K200" s="249"/>
      <c r="L200" s="239"/>
      <c r="M200" s="239"/>
      <c r="N200" s="173"/>
      <c r="O200" s="173"/>
      <c r="P200" s="67"/>
      <c r="Q200" s="234"/>
      <c r="R200" s="234"/>
      <c r="S200" s="171"/>
      <c r="T200" s="234"/>
      <c r="U200" s="174"/>
      <c r="V200" s="72"/>
      <c r="W200" s="169"/>
      <c r="X200" s="230"/>
      <c r="Y200" s="230"/>
      <c r="Z200" s="243"/>
      <c r="AA200" s="230"/>
      <c r="AB200" s="45"/>
      <c r="AC200" s="230"/>
      <c r="AD200" s="230"/>
      <c r="AE200" s="74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</row>
    <row r="201" spans="1:46" ht="16.5" customHeight="1">
      <c r="A201" s="422"/>
      <c r="B201" s="248"/>
      <c r="C201" s="61"/>
      <c r="D201" s="167"/>
      <c r="E201" s="167"/>
      <c r="F201" s="167"/>
      <c r="G201" s="245"/>
      <c r="H201" s="245"/>
      <c r="I201" s="167"/>
      <c r="J201" s="167"/>
      <c r="K201" s="231"/>
      <c r="L201" s="67"/>
      <c r="M201" s="67"/>
      <c r="N201" s="67"/>
      <c r="O201" s="67"/>
      <c r="P201" s="67"/>
      <c r="Q201" s="233"/>
      <c r="R201" s="233"/>
      <c r="S201" s="171"/>
      <c r="T201" s="234"/>
      <c r="U201" s="72"/>
      <c r="V201" s="72"/>
      <c r="W201" s="167"/>
      <c r="X201" s="230"/>
      <c r="Y201" s="230"/>
      <c r="Z201" s="70"/>
      <c r="AA201" s="230"/>
      <c r="AB201" s="230"/>
      <c r="AC201" s="230"/>
      <c r="AD201" s="230"/>
      <c r="AE201" s="74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</row>
    <row r="202" spans="1:46" ht="16.5" customHeight="1">
      <c r="A202" s="422"/>
      <c r="B202" s="248"/>
      <c r="C202" s="61"/>
      <c r="D202" s="167"/>
      <c r="E202" s="167"/>
      <c r="F202" s="167"/>
      <c r="G202" s="245"/>
      <c r="H202" s="245"/>
      <c r="I202" s="167"/>
      <c r="J202" s="167"/>
      <c r="K202" s="231"/>
      <c r="L202" s="67"/>
      <c r="M202" s="67"/>
      <c r="N202" s="67"/>
      <c r="O202" s="67"/>
      <c r="P202" s="167"/>
      <c r="Q202" s="250"/>
      <c r="R202" s="250"/>
      <c r="S202" s="171"/>
      <c r="T202" s="234"/>
      <c r="U202" s="174"/>
      <c r="V202" s="242"/>
      <c r="W202" s="167"/>
      <c r="X202" s="65"/>
      <c r="Y202" s="65"/>
      <c r="Z202" s="70"/>
      <c r="AA202" s="65"/>
      <c r="AB202" s="65"/>
      <c r="AC202" s="65"/>
      <c r="AD202" s="65"/>
      <c r="AE202" s="65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</row>
    <row r="203" spans="1:46" ht="16.5" customHeight="1">
      <c r="A203" s="422"/>
      <c r="B203" s="247"/>
      <c r="C203" s="251"/>
      <c r="D203" s="167"/>
      <c r="E203" s="167"/>
      <c r="F203" s="167"/>
      <c r="G203" s="64"/>
      <c r="H203" s="64"/>
      <c r="I203" s="230"/>
      <c r="J203" s="230"/>
      <c r="K203" s="230"/>
      <c r="L203" s="230"/>
      <c r="M203" s="230"/>
      <c r="N203" s="74"/>
      <c r="O203" s="74"/>
      <c r="P203" s="251"/>
      <c r="Q203" s="234"/>
      <c r="R203" s="234"/>
      <c r="S203" s="317"/>
      <c r="T203" s="234"/>
      <c r="U203" s="234"/>
      <c r="V203" s="246"/>
      <c r="W203" s="230"/>
      <c r="X203" s="61"/>
      <c r="Y203" s="61"/>
      <c r="Z203" s="61"/>
      <c r="AA203" s="61"/>
      <c r="AB203" s="61"/>
      <c r="AC203" s="61"/>
      <c r="AD203" s="230"/>
      <c r="AE203" s="74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</row>
    <row r="204" spans="1:46" ht="16.5" customHeight="1">
      <c r="A204" s="422"/>
      <c r="B204" s="212"/>
      <c r="C204" s="92"/>
      <c r="D204" s="252"/>
      <c r="E204" s="252"/>
      <c r="F204" s="252"/>
      <c r="G204" s="64"/>
      <c r="H204" s="64"/>
      <c r="I204" s="230"/>
      <c r="J204" s="230"/>
      <c r="K204" s="253"/>
      <c r="L204" s="230"/>
      <c r="M204" s="230"/>
      <c r="N204" s="74"/>
      <c r="O204" s="74"/>
      <c r="P204" s="92"/>
      <c r="Q204" s="234"/>
      <c r="R204" s="234"/>
      <c r="S204" s="317"/>
      <c r="T204" s="234"/>
      <c r="U204" s="234"/>
      <c r="V204" s="246"/>
      <c r="W204" s="230"/>
      <c r="X204" s="61"/>
      <c r="Y204" s="61"/>
      <c r="Z204" s="61"/>
      <c r="AA204" s="61"/>
      <c r="AB204" s="61"/>
      <c r="AC204" s="61"/>
      <c r="AD204" s="230"/>
      <c r="AE204" s="74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</row>
    <row r="205" spans="1:46" ht="16.5" customHeight="1">
      <c r="A205" s="422"/>
      <c r="B205" s="247"/>
      <c r="C205" s="251"/>
      <c r="D205" s="167"/>
      <c r="E205" s="167"/>
      <c r="F205" s="167"/>
      <c r="G205" s="64"/>
      <c r="H205" s="64"/>
      <c r="I205" s="230"/>
      <c r="J205" s="230"/>
      <c r="K205" s="230"/>
      <c r="L205" s="230"/>
      <c r="M205" s="230"/>
      <c r="N205" s="74"/>
      <c r="O205" s="74"/>
      <c r="P205" s="251"/>
      <c r="Q205" s="234"/>
      <c r="R205" s="234"/>
      <c r="S205" s="317"/>
      <c r="T205" s="234"/>
      <c r="U205" s="234"/>
      <c r="V205" s="246"/>
      <c r="W205" s="230"/>
      <c r="X205" s="61"/>
      <c r="Y205" s="61"/>
      <c r="Z205" s="61"/>
      <c r="AA205" s="61"/>
      <c r="AB205" s="61"/>
      <c r="AC205" s="61"/>
      <c r="AD205" s="230"/>
      <c r="AE205" s="74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</row>
    <row r="206" spans="1:46" ht="16.5" customHeight="1">
      <c r="A206" s="422"/>
      <c r="B206" s="247"/>
      <c r="C206" s="251"/>
      <c r="D206" s="167"/>
      <c r="E206" s="167"/>
      <c r="F206" s="167"/>
      <c r="G206" s="64"/>
      <c r="H206" s="64"/>
      <c r="I206" s="230"/>
      <c r="J206" s="230"/>
      <c r="K206" s="230"/>
      <c r="L206" s="230"/>
      <c r="M206" s="230"/>
      <c r="N206" s="74"/>
      <c r="O206" s="74"/>
      <c r="P206" s="251"/>
      <c r="Q206" s="234"/>
      <c r="R206" s="234"/>
      <c r="S206" s="317"/>
      <c r="T206" s="234"/>
      <c r="U206" s="234"/>
      <c r="V206" s="246"/>
      <c r="W206" s="230"/>
      <c r="X206" s="61"/>
      <c r="Y206" s="61"/>
      <c r="Z206" s="61"/>
      <c r="AA206" s="61"/>
      <c r="AB206" s="61"/>
      <c r="AC206" s="61"/>
      <c r="AD206" s="230"/>
      <c r="AE206" s="74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</row>
    <row r="207" spans="1:46" ht="16.5" customHeight="1">
      <c r="A207" s="422"/>
      <c r="B207" s="224"/>
      <c r="C207" s="251"/>
      <c r="D207" s="167"/>
      <c r="E207" s="167"/>
      <c r="F207" s="167"/>
      <c r="G207" s="64"/>
      <c r="H207" s="64"/>
      <c r="I207" s="230"/>
      <c r="J207" s="230"/>
      <c r="K207" s="230"/>
      <c r="L207" s="230"/>
      <c r="M207" s="230"/>
      <c r="N207" s="74"/>
      <c r="O207" s="74"/>
      <c r="P207" s="61"/>
      <c r="Q207" s="246"/>
      <c r="R207" s="246"/>
      <c r="S207" s="246"/>
      <c r="T207" s="246"/>
      <c r="U207" s="246"/>
      <c r="V207" s="246"/>
      <c r="W207" s="230"/>
      <c r="X207" s="61"/>
      <c r="Y207" s="61"/>
      <c r="Z207" s="61"/>
      <c r="AA207" s="61"/>
      <c r="AB207" s="61"/>
      <c r="AC207" s="61"/>
      <c r="AD207" s="230"/>
      <c r="AE207" s="74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</row>
    <row r="208" spans="1:46" ht="16.5" customHeight="1">
      <c r="A208" s="422"/>
      <c r="B208" s="235"/>
      <c r="C208" s="254"/>
      <c r="D208" s="237"/>
      <c r="E208" s="237"/>
      <c r="F208" s="237"/>
      <c r="G208" s="255"/>
      <c r="H208" s="255"/>
      <c r="I208" s="239"/>
      <c r="J208" s="239"/>
      <c r="K208" s="239"/>
      <c r="L208" s="173"/>
      <c r="M208" s="173"/>
      <c r="N208" s="45"/>
      <c r="O208" s="45"/>
      <c r="P208" s="61"/>
      <c r="Q208" s="246"/>
      <c r="R208" s="246"/>
      <c r="S208" s="246"/>
      <c r="T208" s="246"/>
      <c r="U208" s="246"/>
      <c r="V208" s="246"/>
      <c r="W208" s="239"/>
      <c r="X208" s="61"/>
      <c r="Y208" s="61"/>
      <c r="Z208" s="61"/>
      <c r="AA208" s="61"/>
      <c r="AB208" s="256"/>
      <c r="AC208" s="61"/>
      <c r="AD208" s="230"/>
      <c r="AE208" s="74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</row>
    <row r="209" spans="1:46" ht="16.5" customHeight="1">
      <c r="A209" s="422"/>
      <c r="B209" s="235"/>
      <c r="C209" s="254"/>
      <c r="D209" s="237"/>
      <c r="E209" s="237"/>
      <c r="F209" s="237"/>
      <c r="G209" s="255"/>
      <c r="H209" s="255"/>
      <c r="I209" s="239"/>
      <c r="J209" s="239"/>
      <c r="K209" s="239"/>
      <c r="L209" s="173"/>
      <c r="M209" s="173"/>
      <c r="N209" s="45"/>
      <c r="O209" s="45"/>
      <c r="P209" s="61"/>
      <c r="Q209" s="246"/>
      <c r="R209" s="246"/>
      <c r="S209" s="246"/>
      <c r="T209" s="246"/>
      <c r="U209" s="246"/>
      <c r="V209" s="246"/>
      <c r="W209" s="239"/>
      <c r="X209" s="61"/>
      <c r="Y209" s="61"/>
      <c r="Z209" s="61"/>
      <c r="AA209" s="61"/>
      <c r="AB209" s="256"/>
      <c r="AC209" s="61"/>
      <c r="AD209" s="230"/>
      <c r="AE209" s="74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</row>
    <row r="210" spans="1:46" ht="16.5" customHeight="1">
      <c r="A210" s="430"/>
      <c r="B210" s="216"/>
      <c r="C210" s="217"/>
      <c r="D210" s="176"/>
      <c r="E210" s="176"/>
      <c r="F210" s="176"/>
      <c r="G210" s="162"/>
      <c r="H210" s="162"/>
      <c r="I210" s="218"/>
      <c r="J210" s="218"/>
      <c r="K210" s="219"/>
      <c r="L210" s="219"/>
      <c r="M210" s="219"/>
      <c r="N210" s="45"/>
      <c r="O210" s="45"/>
      <c r="P210" s="217"/>
      <c r="Q210" s="220"/>
      <c r="R210" s="220"/>
      <c r="S210" s="213"/>
      <c r="T210" s="220"/>
      <c r="U210" s="221"/>
      <c r="V210" s="213"/>
      <c r="W210" s="218"/>
      <c r="X210" s="218"/>
      <c r="Y210" s="218"/>
      <c r="Z210" s="218"/>
      <c r="AA210" s="219"/>
      <c r="AB210" s="219"/>
      <c r="AC210" s="219"/>
      <c r="AD210" s="45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</row>
    <row r="211" spans="1:46" ht="16.5" customHeight="1">
      <c r="A211" s="430"/>
      <c r="B211" s="216"/>
      <c r="C211" s="217"/>
      <c r="D211" s="176"/>
      <c r="E211" s="176"/>
      <c r="F211" s="176"/>
      <c r="G211" s="162"/>
      <c r="H211" s="162"/>
      <c r="I211" s="218"/>
      <c r="J211" s="218"/>
      <c r="K211" s="219"/>
      <c r="L211" s="219"/>
      <c r="M211" s="219"/>
      <c r="N211" s="45"/>
      <c r="O211" s="45"/>
      <c r="P211" s="217"/>
      <c r="Q211" s="220"/>
      <c r="R211" s="220"/>
      <c r="S211" s="213"/>
      <c r="T211" s="220"/>
      <c r="U211" s="221"/>
      <c r="V211" s="213"/>
      <c r="W211" s="218"/>
      <c r="X211" s="218"/>
      <c r="Y211" s="218"/>
      <c r="Z211" s="218"/>
      <c r="AA211" s="219"/>
      <c r="AB211" s="219"/>
      <c r="AC211" s="219"/>
      <c r="AD211" s="45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</row>
    <row r="212" spans="1:46" ht="16.5" customHeight="1">
      <c r="A212" s="430"/>
      <c r="B212" s="257"/>
      <c r="C212" s="31"/>
      <c r="D212" s="161"/>
      <c r="E212" s="161"/>
      <c r="F212" s="161"/>
      <c r="G212" s="45"/>
      <c r="H212" s="45"/>
      <c r="I212" s="218"/>
      <c r="J212" s="218"/>
      <c r="K212" s="218"/>
      <c r="L212" s="37"/>
      <c r="M212" s="37"/>
      <c r="N212" s="45"/>
      <c r="O212" s="45"/>
      <c r="P212" s="268"/>
      <c r="Q212" s="221"/>
      <c r="R212" s="221"/>
      <c r="S212" s="213"/>
      <c r="T212" s="221"/>
      <c r="U212" s="221"/>
      <c r="V212" s="213"/>
      <c r="W212" s="218"/>
      <c r="X212" s="31"/>
      <c r="Y212" s="31"/>
      <c r="Z212" s="218"/>
      <c r="AA212" s="45"/>
      <c r="AB212" s="258"/>
      <c r="AC212" s="45"/>
      <c r="AD212" s="45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</row>
    <row r="213" spans="1:46" ht="16.5" customHeight="1">
      <c r="A213" s="430"/>
      <c r="B213" s="259"/>
      <c r="C213" s="260"/>
      <c r="D213" s="261"/>
      <c r="E213" s="261"/>
      <c r="F213" s="261"/>
      <c r="G213" s="262"/>
      <c r="H213" s="262"/>
      <c r="I213" s="263"/>
      <c r="J213" s="263"/>
      <c r="K213" s="263"/>
      <c r="L213" s="264"/>
      <c r="M213" s="264"/>
      <c r="N213" s="45"/>
      <c r="O213" s="45"/>
      <c r="P213" s="262"/>
      <c r="Q213" s="221"/>
      <c r="R213" s="221"/>
      <c r="S213" s="213"/>
      <c r="T213" s="221"/>
      <c r="U213" s="266"/>
      <c r="V213" s="213"/>
      <c r="W213" s="263"/>
      <c r="X213" s="260"/>
      <c r="Y213" s="260"/>
      <c r="Z213" s="218"/>
      <c r="AA213" s="267"/>
      <c r="AB213" s="258"/>
      <c r="AC213" s="267"/>
      <c r="AD213" s="45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</row>
    <row r="214" spans="1:46" ht="16.5" customHeight="1">
      <c r="A214" s="430"/>
      <c r="B214" s="259"/>
      <c r="C214" s="268"/>
      <c r="D214" s="161"/>
      <c r="E214" s="161"/>
      <c r="F214" s="161"/>
      <c r="G214" s="269"/>
      <c r="H214" s="269"/>
      <c r="I214" s="263"/>
      <c r="J214" s="263"/>
      <c r="K214" s="263"/>
      <c r="L214" s="264"/>
      <c r="M214" s="264"/>
      <c r="N214" s="45"/>
      <c r="O214" s="45"/>
      <c r="P214" s="262"/>
      <c r="Q214" s="221"/>
      <c r="R214" s="221"/>
      <c r="S214" s="213"/>
      <c r="T214" s="221"/>
      <c r="U214" s="221"/>
      <c r="V214" s="213"/>
      <c r="W214" s="263"/>
      <c r="X214" s="260"/>
      <c r="Y214" s="260"/>
      <c r="Z214" s="218"/>
      <c r="AA214" s="267"/>
      <c r="AB214" s="258"/>
      <c r="AC214" s="267"/>
      <c r="AD214" s="45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</row>
    <row r="215" spans="1:46" ht="16.5" customHeight="1">
      <c r="A215" s="430"/>
      <c r="B215" s="259"/>
      <c r="C215" s="268"/>
      <c r="D215" s="161"/>
      <c r="E215" s="161"/>
      <c r="F215" s="161"/>
      <c r="G215" s="269"/>
      <c r="H215" s="269"/>
      <c r="I215" s="263"/>
      <c r="J215" s="263"/>
      <c r="K215" s="263"/>
      <c r="L215" s="264"/>
      <c r="M215" s="264"/>
      <c r="N215" s="45"/>
      <c r="O215" s="45"/>
      <c r="P215" s="262"/>
      <c r="Q215" s="221"/>
      <c r="R215" s="221"/>
      <c r="S215" s="213"/>
      <c r="T215" s="221"/>
      <c r="U215" s="221"/>
      <c r="V215" s="213"/>
      <c r="W215" s="263"/>
      <c r="X215" s="260"/>
      <c r="Y215" s="260"/>
      <c r="Z215" s="218"/>
      <c r="AA215" s="45"/>
      <c r="AB215" s="258"/>
      <c r="AC215" s="45"/>
      <c r="AD215" s="45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</row>
    <row r="216" spans="1:46" ht="16.5" customHeight="1">
      <c r="A216" s="422"/>
      <c r="B216" s="270"/>
      <c r="C216" s="217"/>
      <c r="D216" s="176"/>
      <c r="E216" s="176"/>
      <c r="F216" s="176"/>
      <c r="G216" s="45"/>
      <c r="H216" s="45"/>
      <c r="I216" s="218"/>
      <c r="J216" s="218"/>
      <c r="K216" s="219"/>
      <c r="L216" s="33"/>
      <c r="M216" s="33"/>
      <c r="N216" s="45"/>
      <c r="O216" s="45"/>
      <c r="P216" s="217"/>
      <c r="Q216" s="221"/>
      <c r="R216" s="221"/>
      <c r="S216" s="213"/>
      <c r="T216" s="220"/>
      <c r="U216" s="221"/>
      <c r="V216" s="213"/>
      <c r="W216" s="218"/>
      <c r="X216" s="218"/>
      <c r="Y216" s="218"/>
      <c r="Z216" s="218"/>
      <c r="AA216" s="45"/>
      <c r="AB216" s="258"/>
      <c r="AC216" s="45"/>
      <c r="AD216" s="45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</row>
    <row r="217" spans="1:46" ht="16.5" customHeight="1">
      <c r="A217" s="422"/>
      <c r="B217" s="257"/>
      <c r="C217" s="268"/>
      <c r="D217" s="176"/>
      <c r="E217" s="176"/>
      <c r="F217" s="176"/>
      <c r="G217" s="271"/>
      <c r="H217" s="271"/>
      <c r="I217" s="263"/>
      <c r="J217" s="263"/>
      <c r="K217" s="218"/>
      <c r="L217" s="37"/>
      <c r="M217" s="37"/>
      <c r="N217" s="45"/>
      <c r="O217" s="45"/>
      <c r="P217" s="268"/>
      <c r="Q217" s="221"/>
      <c r="R217" s="221"/>
      <c r="S217" s="213"/>
      <c r="T217" s="221"/>
      <c r="U217" s="221"/>
      <c r="V217" s="213"/>
      <c r="W217" s="263"/>
      <c r="X217" s="260"/>
      <c r="Y217" s="260"/>
      <c r="Z217" s="218"/>
      <c r="AA217" s="267"/>
      <c r="AB217" s="258"/>
      <c r="AC217" s="267"/>
      <c r="AD217" s="45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</row>
    <row r="218" spans="1:46" ht="16.5" customHeight="1">
      <c r="A218" s="430"/>
      <c r="B218" s="248"/>
      <c r="C218" s="268"/>
      <c r="D218" s="161"/>
      <c r="E218" s="161"/>
      <c r="F218" s="161"/>
      <c r="G218" s="271"/>
      <c r="H218" s="271"/>
      <c r="I218" s="263"/>
      <c r="J218" s="263"/>
      <c r="K218" s="218"/>
      <c r="L218" s="37"/>
      <c r="M218" s="37"/>
      <c r="N218" s="45"/>
      <c r="O218" s="45"/>
      <c r="P218" s="268"/>
      <c r="Q218" s="221"/>
      <c r="R218" s="221"/>
      <c r="S218" s="213"/>
      <c r="T218" s="221"/>
      <c r="U218" s="221"/>
      <c r="V218" s="213"/>
      <c r="W218" s="263"/>
      <c r="X218" s="260"/>
      <c r="Y218" s="260"/>
      <c r="Z218" s="218"/>
      <c r="AA218" s="267"/>
      <c r="AB218" s="258"/>
      <c r="AC218" s="267"/>
      <c r="AD218" s="45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</row>
    <row r="219" spans="1:46" ht="16.5" customHeight="1">
      <c r="A219" s="422"/>
      <c r="B219" s="248"/>
      <c r="C219" s="268"/>
      <c r="D219" s="161"/>
      <c r="E219" s="161"/>
      <c r="F219" s="161"/>
      <c r="G219" s="271"/>
      <c r="H219" s="271"/>
      <c r="I219" s="263"/>
      <c r="J219" s="263"/>
      <c r="K219" s="218"/>
      <c r="L219" s="37"/>
      <c r="M219" s="37"/>
      <c r="N219" s="45"/>
      <c r="O219" s="45"/>
      <c r="P219" s="268"/>
      <c r="Q219" s="221"/>
      <c r="R219" s="221"/>
      <c r="S219" s="213"/>
      <c r="T219" s="221"/>
      <c r="U219" s="221"/>
      <c r="V219" s="213"/>
      <c r="W219" s="263"/>
      <c r="X219" s="260"/>
      <c r="Y219" s="260"/>
      <c r="Z219" s="218"/>
      <c r="AA219" s="267"/>
      <c r="AB219" s="258"/>
      <c r="AC219" s="267"/>
      <c r="AD219" s="45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</row>
    <row r="220" spans="1:46" ht="16.5" customHeight="1">
      <c r="A220" s="422"/>
      <c r="B220" s="235"/>
      <c r="C220" s="268"/>
      <c r="D220" s="161"/>
      <c r="E220" s="161"/>
      <c r="F220" s="161"/>
      <c r="G220" s="271"/>
      <c r="H220" s="271"/>
      <c r="I220" s="218"/>
      <c r="J220" s="218"/>
      <c r="K220" s="218"/>
      <c r="L220" s="218"/>
      <c r="M220" s="218"/>
      <c r="N220" s="45"/>
      <c r="O220" s="45"/>
      <c r="P220" s="268"/>
      <c r="Q220" s="221"/>
      <c r="R220" s="221"/>
      <c r="S220" s="213"/>
      <c r="T220" s="221"/>
      <c r="U220" s="221"/>
      <c r="V220" s="213"/>
      <c r="W220" s="218"/>
      <c r="X220" s="218"/>
      <c r="Y220" s="218"/>
      <c r="Z220" s="218"/>
      <c r="AA220" s="45"/>
      <c r="AB220" s="258"/>
      <c r="AC220" s="45"/>
      <c r="AD220" s="45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</row>
    <row r="221" spans="1:46" ht="16.5" customHeight="1">
      <c r="A221" s="430"/>
      <c r="B221" s="259"/>
      <c r="C221" s="31"/>
      <c r="D221" s="161"/>
      <c r="E221" s="161"/>
      <c r="F221" s="161"/>
      <c r="G221" s="262"/>
      <c r="H221" s="262"/>
      <c r="I221" s="218"/>
      <c r="J221" s="218"/>
      <c r="K221" s="218"/>
      <c r="L221" s="37"/>
      <c r="M221" s="37"/>
      <c r="N221" s="45"/>
      <c r="O221" s="45"/>
      <c r="P221" s="268"/>
      <c r="Q221" s="221"/>
      <c r="R221" s="221"/>
      <c r="S221" s="213"/>
      <c r="T221" s="221"/>
      <c r="U221" s="221"/>
      <c r="V221" s="213"/>
      <c r="W221" s="218"/>
      <c r="X221" s="31"/>
      <c r="Y221" s="31"/>
      <c r="Z221" s="218"/>
      <c r="AA221" s="45"/>
      <c r="AB221" s="258"/>
      <c r="AC221" s="45"/>
      <c r="AD221" s="45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</row>
    <row r="222" spans="1:46" ht="16.5" customHeight="1">
      <c r="A222" s="422"/>
      <c r="B222" s="216"/>
      <c r="C222" s="217"/>
      <c r="D222" s="176"/>
      <c r="E222" s="176"/>
      <c r="F222" s="176"/>
      <c r="G222" s="162"/>
      <c r="H222" s="162"/>
      <c r="I222" s="218"/>
      <c r="J222" s="218"/>
      <c r="K222" s="219"/>
      <c r="L222" s="219"/>
      <c r="M222" s="219"/>
      <c r="N222" s="45"/>
      <c r="O222" s="45"/>
      <c r="P222" s="217"/>
      <c r="Q222" s="220"/>
      <c r="R222" s="220"/>
      <c r="S222" s="213"/>
      <c r="T222" s="220"/>
      <c r="U222" s="221"/>
      <c r="V222" s="213"/>
      <c r="W222" s="218"/>
      <c r="X222" s="218"/>
      <c r="Y222" s="218"/>
      <c r="Z222" s="218"/>
      <c r="AA222" s="219"/>
      <c r="AB222" s="219"/>
      <c r="AC222" s="219"/>
      <c r="AD222" s="45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</row>
    <row r="223" spans="1:46" ht="16.5" customHeight="1">
      <c r="A223" s="422"/>
      <c r="B223" s="216"/>
      <c r="C223" s="217"/>
      <c r="D223" s="176"/>
      <c r="E223" s="176"/>
      <c r="F223" s="176"/>
      <c r="G223" s="162"/>
      <c r="H223" s="162"/>
      <c r="I223" s="218"/>
      <c r="J223" s="218"/>
      <c r="K223" s="219"/>
      <c r="L223" s="219"/>
      <c r="M223" s="219"/>
      <c r="N223" s="45"/>
      <c r="O223" s="45"/>
      <c r="P223" s="217"/>
      <c r="Q223" s="220"/>
      <c r="R223" s="220"/>
      <c r="S223" s="213"/>
      <c r="T223" s="220"/>
      <c r="U223" s="221"/>
      <c r="V223" s="213"/>
      <c r="W223" s="218"/>
      <c r="X223" s="218"/>
      <c r="Y223" s="218"/>
      <c r="Z223" s="218"/>
      <c r="AA223" s="219"/>
      <c r="AB223" s="219"/>
      <c r="AC223" s="219"/>
      <c r="AD223" s="45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</row>
    <row r="224" spans="1:46" ht="16.5" customHeight="1">
      <c r="A224" s="422"/>
      <c r="B224" s="216"/>
      <c r="C224" s="217"/>
      <c r="D224" s="176"/>
      <c r="E224" s="176"/>
      <c r="F224" s="176"/>
      <c r="G224" s="162"/>
      <c r="H224" s="162"/>
      <c r="I224" s="218"/>
      <c r="J224" s="218"/>
      <c r="K224" s="219"/>
      <c r="L224" s="219"/>
      <c r="M224" s="219"/>
      <c r="N224" s="45"/>
      <c r="O224" s="45"/>
      <c r="P224" s="217"/>
      <c r="Q224" s="220"/>
      <c r="R224" s="220"/>
      <c r="S224" s="213"/>
      <c r="T224" s="220"/>
      <c r="U224" s="221"/>
      <c r="V224" s="213"/>
      <c r="W224" s="218"/>
      <c r="X224" s="218"/>
      <c r="Y224" s="218"/>
      <c r="Z224" s="218"/>
      <c r="AA224" s="219"/>
      <c r="AB224" s="219"/>
      <c r="AC224" s="219"/>
      <c r="AD224" s="45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</row>
    <row r="225" spans="1:46" ht="16.5" customHeight="1">
      <c r="A225" s="430"/>
      <c r="B225" s="216"/>
      <c r="C225" s="217"/>
      <c r="D225" s="176"/>
      <c r="E225" s="176"/>
      <c r="F225" s="176"/>
      <c r="G225" s="162"/>
      <c r="H225" s="162"/>
      <c r="I225" s="218"/>
      <c r="J225" s="218"/>
      <c r="K225" s="219"/>
      <c r="L225" s="219"/>
      <c r="M225" s="219"/>
      <c r="N225" s="45"/>
      <c r="O225" s="45"/>
      <c r="P225" s="217"/>
      <c r="Q225" s="220"/>
      <c r="R225" s="220"/>
      <c r="S225" s="213"/>
      <c r="T225" s="220"/>
      <c r="U225" s="221"/>
      <c r="V225" s="213"/>
      <c r="W225" s="218"/>
      <c r="X225" s="218"/>
      <c r="Y225" s="218"/>
      <c r="Z225" s="218"/>
      <c r="AA225" s="45"/>
      <c r="AB225" s="45"/>
      <c r="AC225" s="45"/>
      <c r="AD225" s="45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</row>
    <row r="226" spans="1:46" ht="16.5" customHeight="1">
      <c r="A226" s="430"/>
      <c r="B226" s="216"/>
      <c r="C226" s="217"/>
      <c r="D226" s="176"/>
      <c r="E226" s="176"/>
      <c r="F226" s="176"/>
      <c r="G226" s="162"/>
      <c r="H226" s="162"/>
      <c r="I226" s="219"/>
      <c r="J226" s="219"/>
      <c r="K226" s="219"/>
      <c r="L226" s="45"/>
      <c r="M226" s="45"/>
      <c r="N226" s="219"/>
      <c r="O226" s="219"/>
      <c r="P226" s="217"/>
      <c r="Q226" s="220"/>
      <c r="R226" s="220"/>
      <c r="S226" s="213"/>
      <c r="T226" s="220"/>
      <c r="U226" s="221"/>
      <c r="V226" s="213"/>
      <c r="W226" s="219"/>
      <c r="X226" s="218"/>
      <c r="Y226" s="218"/>
      <c r="Z226" s="218"/>
      <c r="AA226" s="45"/>
      <c r="AB226" s="45"/>
      <c r="AC226" s="45"/>
      <c r="AD226" s="45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</row>
    <row r="227" spans="1:46" ht="16.5" customHeight="1">
      <c r="A227" s="430"/>
      <c r="B227" s="248"/>
      <c r="C227" s="272"/>
      <c r="D227" s="273"/>
      <c r="E227" s="273"/>
      <c r="F227" s="273"/>
      <c r="G227" s="274"/>
      <c r="H227" s="274"/>
      <c r="I227" s="275"/>
      <c r="J227" s="275"/>
      <c r="K227" s="275"/>
      <c r="L227" s="276"/>
      <c r="M227" s="276"/>
      <c r="N227" s="275"/>
      <c r="O227" s="275"/>
      <c r="P227" s="288"/>
      <c r="Q227" s="278"/>
      <c r="R227" s="278"/>
      <c r="S227" s="289"/>
      <c r="T227" s="278"/>
      <c r="U227" s="278"/>
      <c r="V227" s="279"/>
      <c r="W227" s="275"/>
      <c r="X227" s="275"/>
      <c r="Y227" s="275"/>
      <c r="Z227" s="272"/>
      <c r="AA227" s="281"/>
      <c r="AB227" s="282"/>
      <c r="AC227" s="281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200"/>
      <c r="AP227" s="200"/>
      <c r="AQ227" s="200"/>
      <c r="AR227" s="200"/>
      <c r="AS227" s="200"/>
      <c r="AT227" s="200"/>
    </row>
    <row r="228" spans="1:46" ht="16.5" customHeight="1">
      <c r="A228" s="430"/>
      <c r="B228" s="259"/>
      <c r="C228" s="184"/>
      <c r="D228" s="283"/>
      <c r="E228" s="283"/>
      <c r="F228" s="283"/>
      <c r="G228" s="184"/>
      <c r="H228" s="184"/>
      <c r="I228" s="284"/>
      <c r="J228" s="284"/>
      <c r="K228" s="284"/>
      <c r="L228" s="185"/>
      <c r="M228" s="185"/>
      <c r="N228" s="45"/>
      <c r="O228" s="45"/>
      <c r="P228" s="275"/>
      <c r="Q228" s="285"/>
      <c r="R228" s="285"/>
      <c r="S228" s="289"/>
      <c r="T228" s="278"/>
      <c r="U228" s="278"/>
      <c r="V228" s="279"/>
      <c r="W228" s="284"/>
      <c r="X228" s="286"/>
      <c r="Y228" s="286"/>
      <c r="Z228" s="218"/>
      <c r="AA228" s="184"/>
      <c r="AB228" s="287"/>
      <c r="AC228" s="184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200"/>
      <c r="AP228" s="200"/>
      <c r="AQ228" s="200"/>
      <c r="AR228" s="200"/>
      <c r="AS228" s="200"/>
      <c r="AT228" s="200"/>
    </row>
    <row r="229" spans="1:46" ht="16.5" customHeight="1">
      <c r="A229" s="430"/>
      <c r="B229" s="259"/>
      <c r="C229" s="288"/>
      <c r="D229" s="273"/>
      <c r="E229" s="273"/>
      <c r="F229" s="273"/>
      <c r="G229" s="184"/>
      <c r="H229" s="184"/>
      <c r="I229" s="284"/>
      <c r="J229" s="284"/>
      <c r="K229" s="284"/>
      <c r="L229" s="185"/>
      <c r="M229" s="185"/>
      <c r="N229" s="218"/>
      <c r="O229" s="218"/>
      <c r="P229" s="272"/>
      <c r="Q229" s="289"/>
      <c r="R229" s="289"/>
      <c r="S229" s="289"/>
      <c r="T229" s="278"/>
      <c r="U229" s="278"/>
      <c r="V229" s="289"/>
      <c r="W229" s="284"/>
      <c r="X229" s="275"/>
      <c r="Y229" s="275"/>
      <c r="Z229" s="218"/>
      <c r="AA229" s="184"/>
      <c r="AB229" s="275"/>
      <c r="AC229" s="184"/>
      <c r="AD229" s="3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200"/>
      <c r="AP229" s="200"/>
      <c r="AQ229" s="200"/>
      <c r="AR229" s="200"/>
      <c r="AS229" s="200"/>
      <c r="AT229" s="200"/>
    </row>
    <row r="230" spans="1:46" ht="16.5" customHeight="1">
      <c r="A230" s="430"/>
      <c r="B230" s="259"/>
      <c r="C230" s="288"/>
      <c r="D230" s="273"/>
      <c r="E230" s="273"/>
      <c r="F230" s="273"/>
      <c r="G230" s="184"/>
      <c r="H230" s="184"/>
      <c r="I230" s="284"/>
      <c r="J230" s="284"/>
      <c r="K230" s="284"/>
      <c r="L230" s="185"/>
      <c r="M230" s="185"/>
      <c r="N230" s="45"/>
      <c r="O230" s="45"/>
      <c r="P230" s="272"/>
      <c r="Q230" s="289"/>
      <c r="R230" s="289"/>
      <c r="S230" s="289"/>
      <c r="T230" s="278"/>
      <c r="U230" s="278"/>
      <c r="V230" s="289"/>
      <c r="W230" s="284"/>
      <c r="X230" s="275"/>
      <c r="Y230" s="275"/>
      <c r="Z230" s="218"/>
      <c r="AA230" s="184"/>
      <c r="AB230" s="275"/>
      <c r="AC230" s="184"/>
      <c r="AD230" s="3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200"/>
      <c r="AP230" s="200"/>
      <c r="AQ230" s="200"/>
      <c r="AR230" s="200"/>
      <c r="AS230" s="200"/>
      <c r="AT230" s="200"/>
    </row>
    <row r="231" spans="1:46" ht="16.5" customHeight="1">
      <c r="A231" s="430"/>
      <c r="B231" s="247"/>
      <c r="C231" s="288"/>
      <c r="D231" s="273"/>
      <c r="E231" s="273"/>
      <c r="F231" s="273"/>
      <c r="G231" s="273"/>
      <c r="H231" s="273"/>
      <c r="I231" s="274"/>
      <c r="J231" s="274"/>
      <c r="K231" s="275"/>
      <c r="L231" s="275"/>
      <c r="M231" s="275"/>
      <c r="N231" s="276"/>
      <c r="O231" s="276"/>
      <c r="P231" s="272"/>
      <c r="Q231" s="289"/>
      <c r="R231" s="289"/>
      <c r="S231" s="289"/>
      <c r="T231" s="278"/>
      <c r="U231" s="278"/>
      <c r="V231" s="289"/>
      <c r="W231" s="274"/>
      <c r="X231" s="275"/>
      <c r="Y231" s="275"/>
      <c r="Z231" s="218"/>
      <c r="AA231" s="275"/>
      <c r="AB231" s="275"/>
      <c r="AC231" s="275"/>
      <c r="AD231" s="3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200"/>
      <c r="AP231" s="200"/>
      <c r="AQ231" s="200"/>
      <c r="AR231" s="200"/>
      <c r="AS231" s="200"/>
      <c r="AT231" s="200"/>
    </row>
    <row r="232" spans="1:46" ht="16.5" customHeight="1">
      <c r="A232" s="422"/>
      <c r="B232" s="248"/>
      <c r="C232" s="31"/>
      <c r="D232" s="161"/>
      <c r="E232" s="161"/>
      <c r="F232" s="161"/>
      <c r="G232" s="186"/>
      <c r="H232" s="186"/>
      <c r="I232" s="284"/>
      <c r="J232" s="284"/>
      <c r="K232" s="218"/>
      <c r="L232" s="275"/>
      <c r="M232" s="275"/>
      <c r="N232" s="276"/>
      <c r="O232" s="276"/>
      <c r="P232" s="274"/>
      <c r="Q232" s="290"/>
      <c r="R232" s="290"/>
      <c r="S232" s="431"/>
      <c r="T232" s="278"/>
      <c r="U232" s="278"/>
      <c r="V232" s="279"/>
      <c r="W232" s="284"/>
      <c r="X232" s="275"/>
      <c r="Y232" s="275"/>
      <c r="Z232" s="218"/>
      <c r="AA232" s="184"/>
      <c r="AB232" s="282"/>
      <c r="AC232" s="184"/>
      <c r="AD232" s="3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200"/>
      <c r="AP232" s="200"/>
      <c r="AQ232" s="200"/>
      <c r="AR232" s="200"/>
      <c r="AS232" s="200"/>
      <c r="AT232" s="200"/>
    </row>
    <row r="233" spans="1:46" ht="16.5" customHeight="1">
      <c r="A233" s="422"/>
      <c r="B233" s="235"/>
      <c r="C233" s="268"/>
      <c r="D233" s="161"/>
      <c r="E233" s="161"/>
      <c r="F233" s="161"/>
      <c r="G233" s="186"/>
      <c r="H233" s="186"/>
      <c r="I233" s="275"/>
      <c r="J233" s="275"/>
      <c r="K233" s="218"/>
      <c r="L233" s="275"/>
      <c r="M233" s="275"/>
      <c r="N233" s="275"/>
      <c r="O233" s="275"/>
      <c r="P233" s="275"/>
      <c r="Q233" s="285"/>
      <c r="R233" s="285"/>
      <c r="S233" s="431"/>
      <c r="T233" s="278"/>
      <c r="U233" s="278"/>
      <c r="V233" s="289"/>
      <c r="W233" s="275"/>
      <c r="X233" s="275"/>
      <c r="Y233" s="275"/>
      <c r="Z233" s="275"/>
      <c r="AA233" s="272"/>
      <c r="AB233" s="275"/>
      <c r="AC233" s="272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200"/>
      <c r="AP233" s="200"/>
      <c r="AQ233" s="200"/>
      <c r="AR233" s="200"/>
      <c r="AS233" s="200"/>
      <c r="AT233" s="200"/>
    </row>
    <row r="234" spans="1:46" ht="16.5" customHeight="1">
      <c r="A234" s="430"/>
      <c r="B234" s="259"/>
      <c r="C234" s="31"/>
      <c r="D234" s="37"/>
      <c r="E234" s="37"/>
      <c r="F234" s="37"/>
      <c r="G234" s="283"/>
      <c r="H234" s="283"/>
      <c r="I234" s="275"/>
      <c r="J234" s="275"/>
      <c r="K234" s="218"/>
      <c r="L234" s="275"/>
      <c r="M234" s="275"/>
      <c r="N234" s="276"/>
      <c r="O234" s="276"/>
      <c r="P234" s="281"/>
      <c r="Q234" s="285"/>
      <c r="R234" s="285"/>
      <c r="S234" s="431"/>
      <c r="T234" s="278"/>
      <c r="U234" s="278"/>
      <c r="V234" s="289"/>
      <c r="W234" s="275"/>
      <c r="X234" s="275"/>
      <c r="Y234" s="275"/>
      <c r="Z234" s="272"/>
      <c r="AA234" s="272"/>
      <c r="AB234" s="275"/>
      <c r="AC234" s="272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200"/>
      <c r="AP234" s="200"/>
      <c r="AQ234" s="200"/>
      <c r="AR234" s="200"/>
      <c r="AS234" s="200"/>
      <c r="AT234" s="200"/>
    </row>
    <row r="235" spans="1:46" ht="16.5" customHeight="1">
      <c r="A235" s="422"/>
      <c r="B235" s="216"/>
      <c r="C235" s="291"/>
      <c r="D235" s="292"/>
      <c r="E235" s="292"/>
      <c r="F235" s="292"/>
      <c r="G235" s="293"/>
      <c r="H235" s="293"/>
      <c r="I235" s="219"/>
      <c r="J235" s="219"/>
      <c r="K235" s="219"/>
      <c r="L235" s="161"/>
      <c r="M235" s="161"/>
      <c r="N235" s="219"/>
      <c r="O235" s="219"/>
      <c r="P235" s="217"/>
      <c r="Q235" s="220"/>
      <c r="R235" s="220"/>
      <c r="S235" s="333"/>
      <c r="T235" s="220"/>
      <c r="U235" s="220"/>
      <c r="V235" s="295"/>
      <c r="W235" s="219"/>
      <c r="X235" s="296"/>
      <c r="Y235" s="296"/>
      <c r="Z235" s="296"/>
      <c r="AA235" s="297"/>
      <c r="AB235" s="298"/>
      <c r="AC235" s="297"/>
      <c r="AD235" s="45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</row>
    <row r="236" spans="1:46" ht="16.5" customHeight="1">
      <c r="A236" s="422"/>
      <c r="B236" s="216"/>
      <c r="C236" s="217"/>
      <c r="D236" s="176"/>
      <c r="E236" s="176"/>
      <c r="F236" s="176"/>
      <c r="G236" s="162"/>
      <c r="H236" s="162"/>
      <c r="I236" s="219"/>
      <c r="J236" s="219"/>
      <c r="K236" s="219"/>
      <c r="L236" s="176"/>
      <c r="M236" s="176"/>
      <c r="N236" s="219"/>
      <c r="O236" s="219"/>
      <c r="P236" s="217"/>
      <c r="Q236" s="220"/>
      <c r="R236" s="220"/>
      <c r="S236" s="213"/>
      <c r="T236" s="220"/>
      <c r="U236" s="221"/>
      <c r="V236" s="213"/>
      <c r="W236" s="219"/>
      <c r="X236" s="218"/>
      <c r="Y236" s="218"/>
      <c r="Z236" s="218"/>
      <c r="AA236" s="45"/>
      <c r="AB236" s="45"/>
      <c r="AC236" s="45"/>
      <c r="AD236" s="45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</row>
    <row r="237" spans="1:46" ht="16.5" customHeight="1">
      <c r="A237" s="422"/>
      <c r="B237" s="216"/>
      <c r="C237" s="217"/>
      <c r="D237" s="176"/>
      <c r="E237" s="176"/>
      <c r="F237" s="176"/>
      <c r="G237" s="162"/>
      <c r="H237" s="162"/>
      <c r="I237" s="299"/>
      <c r="J237" s="299"/>
      <c r="K237" s="219"/>
      <c r="L237" s="176"/>
      <c r="M237" s="176"/>
      <c r="N237" s="219"/>
      <c r="O237" s="219"/>
      <c r="P237" s="217"/>
      <c r="Q237" s="220"/>
      <c r="R237" s="220"/>
      <c r="S237" s="213"/>
      <c r="T237" s="220"/>
      <c r="U237" s="221"/>
      <c r="V237" s="213"/>
      <c r="W237" s="299"/>
      <c r="X237" s="218"/>
      <c r="Y237" s="218"/>
      <c r="Z237" s="218"/>
      <c r="AA237" s="45"/>
      <c r="AB237" s="45"/>
      <c r="AC237" s="45"/>
      <c r="AD237" s="45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</row>
    <row r="238" spans="1:46" ht="16.5" customHeight="1">
      <c r="A238" s="422"/>
      <c r="B238" s="216"/>
      <c r="C238" s="217"/>
      <c r="D238" s="176"/>
      <c r="E238" s="176"/>
      <c r="F238" s="176"/>
      <c r="G238" s="162"/>
      <c r="H238" s="162"/>
      <c r="I238" s="218"/>
      <c r="J238" s="218"/>
      <c r="K238" s="219"/>
      <c r="L238" s="219"/>
      <c r="M238" s="219"/>
      <c r="N238" s="45"/>
      <c r="O238" s="45"/>
      <c r="P238" s="217"/>
      <c r="Q238" s="220"/>
      <c r="R238" s="220"/>
      <c r="S238" s="213"/>
      <c r="T238" s="220"/>
      <c r="U238" s="221"/>
      <c r="V238" s="213"/>
      <c r="W238" s="218"/>
      <c r="X238" s="218"/>
      <c r="Y238" s="218"/>
      <c r="Z238" s="218"/>
      <c r="AA238" s="45"/>
      <c r="AB238" s="45"/>
      <c r="AC238" s="45"/>
      <c r="AD238" s="45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</row>
    <row r="239" spans="1:46" ht="16.5" customHeight="1">
      <c r="A239" s="422"/>
      <c r="B239" s="216"/>
      <c r="C239" s="217"/>
      <c r="D239" s="176"/>
      <c r="E239" s="176"/>
      <c r="F239" s="176"/>
      <c r="G239" s="162"/>
      <c r="H239" s="162"/>
      <c r="I239" s="218"/>
      <c r="J239" s="218"/>
      <c r="K239" s="219"/>
      <c r="L239" s="219"/>
      <c r="M239" s="219"/>
      <c r="N239" s="45"/>
      <c r="O239" s="45"/>
      <c r="P239" s="217"/>
      <c r="Q239" s="220"/>
      <c r="R239" s="220"/>
      <c r="S239" s="213"/>
      <c r="T239" s="220"/>
      <c r="U239" s="221"/>
      <c r="V239" s="213"/>
      <c r="W239" s="218"/>
      <c r="X239" s="218"/>
      <c r="Y239" s="218"/>
      <c r="Z239" s="218"/>
      <c r="AA239" s="45"/>
      <c r="AB239" s="45"/>
      <c r="AC239" s="45"/>
      <c r="AD239" s="45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</row>
    <row r="240" spans="1:46" ht="16.5" customHeight="1">
      <c r="A240" s="422"/>
      <c r="B240" s="216"/>
      <c r="C240" s="217"/>
      <c r="D240" s="176"/>
      <c r="E240" s="176"/>
      <c r="F240" s="176"/>
      <c r="G240" s="162"/>
      <c r="H240" s="162"/>
      <c r="I240" s="218"/>
      <c r="J240" s="218"/>
      <c r="K240" s="219"/>
      <c r="L240" s="219"/>
      <c r="M240" s="219"/>
      <c r="N240" s="45"/>
      <c r="O240" s="45"/>
      <c r="P240" s="217"/>
      <c r="Q240" s="220"/>
      <c r="R240" s="220"/>
      <c r="S240" s="213"/>
      <c r="T240" s="220"/>
      <c r="U240" s="221"/>
      <c r="V240" s="213"/>
      <c r="W240" s="218"/>
      <c r="X240" s="218"/>
      <c r="Y240" s="218"/>
      <c r="Z240" s="218"/>
      <c r="AA240" s="45"/>
      <c r="AB240" s="45"/>
      <c r="AC240" s="45"/>
      <c r="AD240" s="45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</row>
    <row r="241" spans="1:46" ht="16.5" customHeight="1">
      <c r="A241" s="422"/>
      <c r="B241" s="270"/>
      <c r="C241" s="300"/>
      <c r="D241" s="300"/>
      <c r="E241" s="300"/>
      <c r="F241" s="300"/>
      <c r="G241" s="301"/>
      <c r="H241" s="301"/>
      <c r="I241" s="302"/>
      <c r="J241" s="302"/>
      <c r="K241" s="219"/>
      <c r="L241" s="219"/>
      <c r="M241" s="219"/>
      <c r="N241" s="45"/>
      <c r="O241" s="45"/>
      <c r="P241" s="217"/>
      <c r="Q241" s="220"/>
      <c r="R241" s="220"/>
      <c r="S241" s="213"/>
      <c r="T241" s="303"/>
      <c r="U241" s="221"/>
      <c r="V241" s="213"/>
      <c r="W241" s="302"/>
      <c r="X241" s="218"/>
      <c r="Y241" s="218"/>
      <c r="Z241" s="218"/>
      <c r="AA241" s="45"/>
      <c r="AB241" s="45"/>
      <c r="AC241" s="45"/>
      <c r="AD241" s="45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</row>
    <row r="242" spans="1:46" ht="16.5" customHeight="1">
      <c r="A242" s="422"/>
      <c r="B242" s="212"/>
      <c r="C242" s="162"/>
      <c r="D242" s="176"/>
      <c r="E242" s="176"/>
      <c r="F242" s="176"/>
      <c r="G242" s="217"/>
      <c r="H242" s="217"/>
      <c r="I242" s="161"/>
      <c r="J242" s="161"/>
      <c r="K242" s="219"/>
      <c r="L242" s="33"/>
      <c r="M242" s="33"/>
      <c r="N242" s="45"/>
      <c r="O242" s="45"/>
      <c r="P242" s="217"/>
      <c r="Q242" s="221"/>
      <c r="R242" s="221"/>
      <c r="S242" s="213"/>
      <c r="T242" s="304"/>
      <c r="U242" s="305"/>
      <c r="V242" s="213"/>
      <c r="W242" s="161"/>
      <c r="X242" s="219"/>
      <c r="Y242" s="219"/>
      <c r="Z242" s="219"/>
      <c r="AA242" s="45"/>
      <c r="AB242" s="306"/>
      <c r="AC242" s="45"/>
      <c r="AD242" s="45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</row>
    <row r="243" spans="1:46" ht="16.5" customHeight="1">
      <c r="A243" s="422"/>
      <c r="B243" s="212"/>
      <c r="C243" s="162"/>
      <c r="D243" s="176"/>
      <c r="E243" s="176"/>
      <c r="F243" s="176"/>
      <c r="G243" s="217"/>
      <c r="H243" s="217"/>
      <c r="I243" s="161"/>
      <c r="J243" s="161"/>
      <c r="K243" s="219"/>
      <c r="L243" s="33"/>
      <c r="M243" s="33"/>
      <c r="N243" s="45"/>
      <c r="O243" s="45"/>
      <c r="P243" s="217"/>
      <c r="Q243" s="221"/>
      <c r="R243" s="221"/>
      <c r="S243" s="213"/>
      <c r="T243" s="220"/>
      <c r="U243" s="221"/>
      <c r="V243" s="213"/>
      <c r="W243" s="161"/>
      <c r="X243" s="218"/>
      <c r="Y243" s="218"/>
      <c r="Z243" s="218"/>
      <c r="AA243" s="45"/>
      <c r="AB243" s="258"/>
      <c r="AC243" s="45"/>
      <c r="AD243" s="45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</row>
    <row r="244" spans="1:46" ht="16.5" customHeight="1">
      <c r="A244" s="432"/>
      <c r="B244" s="307"/>
      <c r="C244" s="217"/>
      <c r="D244" s="176"/>
      <c r="E244" s="176"/>
      <c r="F244" s="176"/>
      <c r="G244" s="162"/>
      <c r="H244" s="162"/>
      <c r="I244" s="218"/>
      <c r="J244" s="218"/>
      <c r="K244" s="219"/>
      <c r="L244" s="219"/>
      <c r="M244" s="219"/>
      <c r="N244" s="45"/>
      <c r="O244" s="45"/>
      <c r="P244" s="217"/>
      <c r="Q244" s="220"/>
      <c r="R244" s="220"/>
      <c r="S244" s="213"/>
      <c r="T244" s="220"/>
      <c r="U244" s="221"/>
      <c r="V244" s="213"/>
      <c r="W244" s="218"/>
      <c r="X244" s="218"/>
      <c r="Y244" s="218"/>
      <c r="Z244" s="218"/>
      <c r="AA244" s="45"/>
      <c r="AB244" s="258"/>
      <c r="AC244" s="45"/>
      <c r="AD244" s="45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</row>
    <row r="245" spans="1:46" ht="16.5" customHeight="1">
      <c r="A245" s="432"/>
      <c r="B245" s="307"/>
      <c r="C245" s="217"/>
      <c r="D245" s="176"/>
      <c r="E245" s="176"/>
      <c r="F245" s="176"/>
      <c r="G245" s="162"/>
      <c r="H245" s="162"/>
      <c r="I245" s="218"/>
      <c r="J245" s="218"/>
      <c r="K245" s="219"/>
      <c r="L245" s="219"/>
      <c r="M245" s="219"/>
      <c r="N245" s="45"/>
      <c r="O245" s="45"/>
      <c r="P245" s="217"/>
      <c r="Q245" s="220"/>
      <c r="R245" s="220"/>
      <c r="S245" s="213"/>
      <c r="T245" s="220"/>
      <c r="U245" s="221"/>
      <c r="V245" s="213"/>
      <c r="W245" s="218"/>
      <c r="X245" s="218"/>
      <c r="Y245" s="218"/>
      <c r="Z245" s="218"/>
      <c r="AA245" s="45"/>
      <c r="AB245" s="45"/>
      <c r="AC245" s="45"/>
      <c r="AD245" s="45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</row>
    <row r="246" spans="1:46" ht="16.5" customHeight="1">
      <c r="A246" s="422"/>
      <c r="B246" s="270"/>
      <c r="C246" s="45"/>
      <c r="D246" s="45"/>
      <c r="E246" s="45"/>
      <c r="F246" s="45"/>
      <c r="G246" s="291"/>
      <c r="H246" s="291"/>
      <c r="I246" s="218"/>
      <c r="J246" s="218"/>
      <c r="K246" s="219"/>
      <c r="L246" s="33"/>
      <c r="M246" s="33"/>
      <c r="N246" s="45"/>
      <c r="O246" s="45"/>
      <c r="P246" s="217"/>
      <c r="Q246" s="213"/>
      <c r="R246" s="213"/>
      <c r="S246" s="213"/>
      <c r="T246" s="213"/>
      <c r="U246" s="213"/>
      <c r="V246" s="213"/>
      <c r="W246" s="218"/>
      <c r="X246" s="218"/>
      <c r="Y246" s="218"/>
      <c r="Z246" s="218"/>
      <c r="AA246" s="31"/>
      <c r="AB246" s="31"/>
      <c r="AC246" s="31"/>
      <c r="AD246" s="31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</row>
    <row r="247" spans="1:46" ht="16.5" customHeight="1">
      <c r="A247" s="422"/>
      <c r="B247" s="216"/>
      <c r="C247" s="45"/>
      <c r="D247" s="45"/>
      <c r="E247" s="45"/>
      <c r="F247" s="45"/>
      <c r="G247" s="217"/>
      <c r="H247" s="217"/>
      <c r="I247" s="45"/>
      <c r="J247" s="45"/>
      <c r="K247" s="219"/>
      <c r="L247" s="45"/>
      <c r="M247" s="45"/>
      <c r="N247" s="219"/>
      <c r="O247" s="219"/>
      <c r="P247" s="217"/>
      <c r="Q247" s="213"/>
      <c r="R247" s="213"/>
      <c r="S247" s="213"/>
      <c r="T247" s="213"/>
      <c r="U247" s="213"/>
      <c r="V247" s="213"/>
      <c r="W247" s="45"/>
      <c r="X247" s="45"/>
      <c r="Y247" s="45"/>
      <c r="Z247" s="45"/>
      <c r="AA247" s="45"/>
      <c r="AB247" s="45"/>
      <c r="AC247" s="45"/>
      <c r="AD247" s="45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</row>
    <row r="248" spans="1:46" ht="16.5" customHeight="1">
      <c r="A248" s="422"/>
      <c r="B248" s="216"/>
      <c r="C248" s="45"/>
      <c r="D248" s="45"/>
      <c r="E248" s="45"/>
      <c r="F248" s="45"/>
      <c r="G248" s="308"/>
      <c r="H248" s="308"/>
      <c r="I248" s="45"/>
      <c r="J248" s="45"/>
      <c r="K248" s="219"/>
      <c r="L248" s="45"/>
      <c r="M248" s="45"/>
      <c r="N248" s="219"/>
      <c r="O248" s="219"/>
      <c r="P248" s="217"/>
      <c r="Q248" s="213"/>
      <c r="R248" s="213"/>
      <c r="S248" s="213"/>
      <c r="T248" s="213"/>
      <c r="U248" s="213"/>
      <c r="V248" s="213"/>
      <c r="W248" s="45"/>
      <c r="X248" s="218"/>
      <c r="Y248" s="218"/>
      <c r="Z248" s="218"/>
      <c r="AA248" s="45"/>
      <c r="AB248" s="45"/>
      <c r="AC248" s="45"/>
      <c r="AD248" s="45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</row>
    <row r="249" spans="1:46" ht="16.5" customHeight="1">
      <c r="A249" s="422"/>
      <c r="B249" s="270"/>
      <c r="C249" s="45"/>
      <c r="D249" s="45"/>
      <c r="E249" s="45"/>
      <c r="F249" s="45"/>
      <c r="G249" s="308"/>
      <c r="H249" s="308"/>
      <c r="I249" s="45"/>
      <c r="J249" s="45"/>
      <c r="K249" s="219"/>
      <c r="L249" s="45"/>
      <c r="M249" s="45"/>
      <c r="N249" s="219"/>
      <c r="O249" s="219"/>
      <c r="P249" s="217"/>
      <c r="Q249" s="213"/>
      <c r="R249" s="213"/>
      <c r="S249" s="213"/>
      <c r="T249" s="213"/>
      <c r="U249" s="213"/>
      <c r="V249" s="213"/>
      <c r="W249" s="45"/>
      <c r="X249" s="218"/>
      <c r="Y249" s="218"/>
      <c r="Z249" s="218"/>
      <c r="AA249" s="45"/>
      <c r="AB249" s="45"/>
      <c r="AC249" s="45"/>
      <c r="AD249" s="45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</row>
    <row r="250" spans="1:46" ht="16.5" customHeight="1">
      <c r="A250" s="422"/>
      <c r="B250" s="216"/>
      <c r="C250" s="309"/>
      <c r="D250" s="310"/>
      <c r="E250" s="310"/>
      <c r="F250" s="310"/>
      <c r="G250" s="311"/>
      <c r="H250" s="311"/>
      <c r="I250" s="263"/>
      <c r="J250" s="263"/>
      <c r="K250" s="312"/>
      <c r="L250" s="312"/>
      <c r="M250" s="312"/>
      <c r="N250" s="269"/>
      <c r="O250" s="269"/>
      <c r="P250" s="309"/>
      <c r="Q250" s="213"/>
      <c r="R250" s="213"/>
      <c r="S250" s="433"/>
      <c r="T250" s="220"/>
      <c r="U250" s="220"/>
      <c r="V250" s="213"/>
      <c r="W250" s="263"/>
      <c r="X250" s="263"/>
      <c r="Y250" s="263"/>
      <c r="Z250" s="263"/>
      <c r="AA250" s="269"/>
      <c r="AB250" s="269"/>
      <c r="AC250" s="269"/>
      <c r="AD250" s="269"/>
      <c r="AE250" s="314"/>
      <c r="AF250" s="314"/>
      <c r="AG250" s="314"/>
      <c r="AH250" s="314"/>
      <c r="AI250" s="314"/>
      <c r="AJ250" s="314"/>
      <c r="AK250" s="314"/>
      <c r="AL250" s="314"/>
      <c r="AM250" s="314"/>
      <c r="AN250" s="314"/>
      <c r="AO250" s="314"/>
      <c r="AP250" s="314"/>
      <c r="AQ250" s="314"/>
      <c r="AR250" s="314"/>
      <c r="AS250" s="314"/>
      <c r="AT250" s="314"/>
    </row>
    <row r="251" spans="1:46" ht="16.5" customHeight="1">
      <c r="A251" s="422"/>
      <c r="B251" s="216"/>
      <c r="C251" s="217"/>
      <c r="D251" s="176"/>
      <c r="E251" s="176"/>
      <c r="F251" s="176"/>
      <c r="G251" s="291"/>
      <c r="H251" s="291"/>
      <c r="I251" s="45"/>
      <c r="J251" s="45"/>
      <c r="K251" s="219"/>
      <c r="L251" s="33"/>
      <c r="M251" s="33"/>
      <c r="N251" s="219"/>
      <c r="O251" s="219"/>
      <c r="P251" s="217"/>
      <c r="Q251" s="213"/>
      <c r="R251" s="213"/>
      <c r="S251" s="213"/>
      <c r="T251" s="213"/>
      <c r="U251" s="213"/>
      <c r="V251" s="213"/>
      <c r="W251" s="45"/>
      <c r="X251" s="218"/>
      <c r="Y251" s="218"/>
      <c r="Z251" s="218"/>
      <c r="AA251" s="31"/>
      <c r="AB251" s="31"/>
      <c r="AC251" s="31"/>
      <c r="AD251" s="31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</row>
    <row r="252" spans="1:46" ht="16.5" customHeight="1">
      <c r="A252" s="422"/>
      <c r="B252" s="216"/>
      <c r="C252" s="217"/>
      <c r="D252" s="176"/>
      <c r="E252" s="176"/>
      <c r="F252" s="176"/>
      <c r="G252" s="315"/>
      <c r="H252" s="315"/>
      <c r="I252" s="45"/>
      <c r="J252" s="45"/>
      <c r="K252" s="219"/>
      <c r="L252" s="33"/>
      <c r="M252" s="33"/>
      <c r="N252" s="219"/>
      <c r="O252" s="219"/>
      <c r="P252" s="217"/>
      <c r="Q252" s="213"/>
      <c r="R252" s="213"/>
      <c r="S252" s="433"/>
      <c r="T252" s="220"/>
      <c r="U252" s="221"/>
      <c r="V252" s="213"/>
      <c r="W252" s="45"/>
      <c r="X252" s="45"/>
      <c r="Y252" s="45"/>
      <c r="Z252" s="45"/>
      <c r="AA252" s="45"/>
      <c r="AB252" s="45"/>
      <c r="AC252" s="45"/>
      <c r="AD252" s="45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</row>
    <row r="253" spans="1:46" ht="16.5" customHeight="1">
      <c r="A253" s="432"/>
      <c r="B253" s="316"/>
      <c r="C253" s="217"/>
      <c r="D253" s="176"/>
      <c r="E253" s="176"/>
      <c r="F253" s="176"/>
      <c r="G253" s="45"/>
      <c r="H253" s="45"/>
      <c r="I253" s="218"/>
      <c r="J253" s="218"/>
      <c r="K253" s="219"/>
      <c r="L253" s="219"/>
      <c r="M253" s="219"/>
      <c r="N253" s="37"/>
      <c r="O253" s="37"/>
      <c r="P253" s="219"/>
      <c r="Q253" s="213"/>
      <c r="R253" s="213"/>
      <c r="S253" s="213"/>
      <c r="T253" s="220"/>
      <c r="U253" s="221"/>
      <c r="V253" s="213"/>
      <c r="W253" s="218"/>
      <c r="X253" s="45"/>
      <c r="Y253" s="45"/>
      <c r="Z253" s="45"/>
      <c r="AA253" s="45"/>
      <c r="AB253" s="45"/>
      <c r="AC253" s="45"/>
      <c r="AD253" s="45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</row>
    <row r="254" spans="1:46" ht="16.5" customHeight="1">
      <c r="A254" s="432"/>
      <c r="B254" s="316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213"/>
      <c r="R254" s="213"/>
      <c r="S254" s="213"/>
      <c r="T254" s="213"/>
      <c r="U254" s="213"/>
      <c r="V254" s="213"/>
      <c r="W254" s="45"/>
      <c r="X254" s="45"/>
      <c r="Y254" s="45"/>
      <c r="Z254" s="45"/>
      <c r="AA254" s="45"/>
      <c r="AB254" s="45"/>
      <c r="AC254" s="45"/>
      <c r="AD254" s="45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</row>
    <row r="255" spans="1:46" ht="16.5" customHeight="1">
      <c r="A255" s="422"/>
      <c r="B255" s="257"/>
      <c r="C255" s="74"/>
      <c r="D255" s="167"/>
      <c r="E255" s="167"/>
      <c r="F255" s="167"/>
      <c r="G255" s="64"/>
      <c r="H255" s="64"/>
      <c r="I255" s="251"/>
      <c r="J255" s="251"/>
      <c r="K255" s="74"/>
      <c r="L255" s="74"/>
      <c r="M255" s="74"/>
      <c r="N255" s="74"/>
      <c r="O255" s="74"/>
      <c r="P255" s="74"/>
      <c r="Q255" s="317"/>
      <c r="R255" s="317"/>
      <c r="S255" s="317"/>
      <c r="T255" s="317"/>
      <c r="U255" s="318"/>
      <c r="V255" s="318"/>
      <c r="W255" s="251"/>
      <c r="X255" s="251"/>
      <c r="Y255" s="251"/>
      <c r="Z255" s="251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</row>
    <row r="256" spans="1:46" ht="16.5" customHeight="1">
      <c r="A256" s="422"/>
      <c r="B256" s="257"/>
      <c r="C256" s="319"/>
      <c r="D256" s="320"/>
      <c r="E256" s="320"/>
      <c r="F256" s="320"/>
      <c r="G256" s="321"/>
      <c r="H256" s="321"/>
      <c r="I256" s="321"/>
      <c r="J256" s="321"/>
      <c r="K256" s="321"/>
      <c r="L256" s="45"/>
      <c r="M256" s="45"/>
      <c r="N256" s="45"/>
      <c r="O256" s="45"/>
      <c r="P256" s="324"/>
      <c r="Q256" s="73"/>
      <c r="R256" s="73"/>
      <c r="S256" s="213"/>
      <c r="T256" s="323"/>
      <c r="U256" s="318"/>
      <c r="V256" s="318"/>
      <c r="W256" s="321"/>
      <c r="X256" s="45"/>
      <c r="Y256" s="45"/>
      <c r="Z256" s="45"/>
      <c r="AA256" s="219"/>
      <c r="AB256" s="219"/>
      <c r="AC256" s="219"/>
      <c r="AD256" s="74"/>
      <c r="AE256" s="45"/>
      <c r="AF256" s="45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</row>
    <row r="257" spans="1:46" ht="16.5" customHeight="1">
      <c r="A257" s="422"/>
      <c r="B257" s="257"/>
      <c r="C257" s="74"/>
      <c r="D257" s="251"/>
      <c r="E257" s="251"/>
      <c r="F257" s="251"/>
      <c r="G257" s="324"/>
      <c r="H257" s="324"/>
      <c r="I257" s="325"/>
      <c r="J257" s="325"/>
      <c r="K257" s="324"/>
      <c r="L257" s="45"/>
      <c r="M257" s="45"/>
      <c r="N257" s="45"/>
      <c r="O257" s="45"/>
      <c r="P257" s="324"/>
      <c r="Q257" s="317"/>
      <c r="R257" s="317"/>
      <c r="S257" s="213"/>
      <c r="T257" s="317"/>
      <c r="U257" s="318"/>
      <c r="V257" s="318"/>
      <c r="W257" s="325"/>
      <c r="X257" s="45"/>
      <c r="Y257" s="45"/>
      <c r="Z257" s="45"/>
      <c r="AA257" s="219"/>
      <c r="AB257" s="74"/>
      <c r="AC257" s="219"/>
      <c r="AD257" s="74"/>
      <c r="AE257" s="45"/>
      <c r="AF257" s="45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</row>
    <row r="258" spans="1:46" ht="16.5" customHeight="1">
      <c r="A258" s="422"/>
      <c r="B258" s="257"/>
      <c r="C258" s="74"/>
      <c r="D258" s="251"/>
      <c r="E258" s="251"/>
      <c r="F258" s="251"/>
      <c r="G258" s="325"/>
      <c r="H258" s="325"/>
      <c r="I258" s="325"/>
      <c r="J258" s="325"/>
      <c r="K258" s="325"/>
      <c r="L258" s="45"/>
      <c r="M258" s="45"/>
      <c r="N258" s="45"/>
      <c r="O258" s="45"/>
      <c r="P258" s="324"/>
      <c r="Q258" s="317"/>
      <c r="R258" s="317"/>
      <c r="S258" s="213"/>
      <c r="T258" s="317"/>
      <c r="U258" s="318"/>
      <c r="V258" s="318"/>
      <c r="W258" s="325"/>
      <c r="X258" s="45"/>
      <c r="Y258" s="45"/>
      <c r="Z258" s="45"/>
      <c r="AA258" s="219"/>
      <c r="AB258" s="74"/>
      <c r="AC258" s="219"/>
      <c r="AD258" s="74"/>
      <c r="AE258" s="45"/>
      <c r="AF258" s="45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</row>
    <row r="259" spans="1:46" ht="16.5" customHeight="1">
      <c r="A259" s="432"/>
      <c r="B259" s="307"/>
      <c r="C259" s="74"/>
      <c r="D259" s="167"/>
      <c r="E259" s="167"/>
      <c r="F259" s="167"/>
      <c r="G259" s="326"/>
      <c r="H259" s="326"/>
      <c r="I259" s="167"/>
      <c r="J259" s="167"/>
      <c r="K259" s="251"/>
      <c r="L259" s="74"/>
      <c r="M259" s="74"/>
      <c r="N259" s="251"/>
      <c r="O259" s="251"/>
      <c r="P259" s="251"/>
      <c r="Q259" s="317"/>
      <c r="R259" s="317"/>
      <c r="S259" s="317"/>
      <c r="T259" s="317"/>
      <c r="U259" s="318"/>
      <c r="V259" s="318"/>
      <c r="W259" s="167"/>
      <c r="X259" s="74"/>
      <c r="Y259" s="74"/>
      <c r="Z259" s="74"/>
      <c r="AA259" s="327"/>
      <c r="AB259" s="74"/>
      <c r="AC259" s="327"/>
      <c r="AD259" s="74"/>
      <c r="AE259" s="45"/>
      <c r="AF259" s="45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</row>
    <row r="260" spans="1:46" ht="16.5" customHeight="1">
      <c r="A260" s="432"/>
      <c r="B260" s="328"/>
      <c r="C260" s="74"/>
      <c r="D260" s="167"/>
      <c r="E260" s="167"/>
      <c r="F260" s="167"/>
      <c r="G260" s="329"/>
      <c r="H260" s="329"/>
      <c r="I260" s="321"/>
      <c r="J260" s="321"/>
      <c r="K260" s="324"/>
      <c r="L260" s="45"/>
      <c r="M260" s="45"/>
      <c r="N260" s="45"/>
      <c r="O260" s="45"/>
      <c r="P260" s="324"/>
      <c r="Q260" s="317"/>
      <c r="R260" s="317"/>
      <c r="S260" s="213"/>
      <c r="T260" s="317"/>
      <c r="U260" s="318"/>
      <c r="V260" s="318"/>
      <c r="W260" s="321"/>
      <c r="X260" s="45"/>
      <c r="Y260" s="45"/>
      <c r="Z260" s="45"/>
      <c r="AA260" s="219"/>
      <c r="AB260" s="74"/>
      <c r="AC260" s="219"/>
      <c r="AD260" s="74"/>
      <c r="AE260" s="45"/>
      <c r="AF260" s="45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</row>
    <row r="261" spans="1:46" ht="16.5" customHeight="1">
      <c r="A261" s="422"/>
      <c r="B261" s="257"/>
      <c r="C261" s="74"/>
      <c r="D261" s="252"/>
      <c r="E261" s="252"/>
      <c r="F261" s="252"/>
      <c r="G261" s="330"/>
      <c r="H261" s="330"/>
      <c r="I261" s="321"/>
      <c r="J261" s="321"/>
      <c r="K261" s="321"/>
      <c r="L261" s="45"/>
      <c r="M261" s="45"/>
      <c r="N261" s="45"/>
      <c r="O261" s="45"/>
      <c r="P261" s="324"/>
      <c r="Q261" s="317"/>
      <c r="R261" s="317"/>
      <c r="S261" s="213"/>
      <c r="T261" s="317"/>
      <c r="U261" s="241"/>
      <c r="V261" s="318"/>
      <c r="W261" s="321"/>
      <c r="X261" s="45"/>
      <c r="Y261" s="45"/>
      <c r="Z261" s="45"/>
      <c r="AA261" s="219"/>
      <c r="AB261" s="74"/>
      <c r="AC261" s="219"/>
      <c r="AD261" s="74"/>
      <c r="AE261" s="45"/>
      <c r="AF261" s="45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</row>
    <row r="262" spans="1:46" ht="16.5" customHeight="1">
      <c r="A262" s="422"/>
      <c r="B262" s="257"/>
      <c r="C262" s="74"/>
      <c r="D262" s="167"/>
      <c r="E262" s="167"/>
      <c r="F262" s="167"/>
      <c r="G262" s="319"/>
      <c r="H262" s="319"/>
      <c r="I262" s="321"/>
      <c r="J262" s="321"/>
      <c r="K262" s="45"/>
      <c r="L262" s="67"/>
      <c r="M262" s="67"/>
      <c r="N262" s="251"/>
      <c r="O262" s="251"/>
      <c r="P262" s="251"/>
      <c r="Q262" s="317"/>
      <c r="R262" s="317"/>
      <c r="S262" s="317"/>
      <c r="T262" s="317"/>
      <c r="U262" s="318"/>
      <c r="V262" s="318"/>
      <c r="W262" s="321"/>
      <c r="X262" s="251"/>
      <c r="Y262" s="251"/>
      <c r="Z262" s="251"/>
      <c r="AA262" s="219"/>
      <c r="AB262" s="74"/>
      <c r="AC262" s="219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</row>
    <row r="263" spans="1:46" ht="16.5" customHeight="1">
      <c r="A263" s="422"/>
      <c r="B263" s="257"/>
      <c r="C263" s="74"/>
      <c r="D263" s="167"/>
      <c r="E263" s="167"/>
      <c r="F263" s="167"/>
      <c r="G263" s="238"/>
      <c r="H263" s="238"/>
      <c r="I263" s="321"/>
      <c r="J263" s="321"/>
      <c r="K263" s="45"/>
      <c r="L263" s="67"/>
      <c r="M263" s="67"/>
      <c r="N263" s="251"/>
      <c r="O263" s="251"/>
      <c r="P263" s="167"/>
      <c r="Q263" s="317"/>
      <c r="R263" s="317"/>
      <c r="S263" s="317"/>
      <c r="T263" s="317"/>
      <c r="U263" s="318"/>
      <c r="V263" s="318"/>
      <c r="W263" s="321"/>
      <c r="X263" s="251"/>
      <c r="Y263" s="251"/>
      <c r="Z263" s="251"/>
      <c r="AA263" s="219"/>
      <c r="AB263" s="74"/>
      <c r="AC263" s="219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</row>
    <row r="264" spans="1:46" ht="16.5" customHeight="1">
      <c r="A264" s="432"/>
      <c r="B264" s="316"/>
      <c r="C264" s="331"/>
      <c r="D264" s="292"/>
      <c r="E264" s="292"/>
      <c r="F264" s="292"/>
      <c r="G264" s="293"/>
      <c r="H264" s="293"/>
      <c r="I264" s="296"/>
      <c r="J264" s="296"/>
      <c r="K264" s="331"/>
      <c r="L264" s="331"/>
      <c r="M264" s="331"/>
      <c r="N264" s="298"/>
      <c r="O264" s="298"/>
      <c r="P264" s="292"/>
      <c r="Q264" s="333"/>
      <c r="R264" s="333"/>
      <c r="S264" s="333"/>
      <c r="T264" s="334"/>
      <c r="U264" s="333"/>
      <c r="V264" s="295"/>
      <c r="W264" s="296"/>
      <c r="X264" s="296"/>
      <c r="Y264" s="296"/>
      <c r="Z264" s="296"/>
      <c r="AA264" s="294"/>
      <c r="AB264" s="294"/>
      <c r="AC264" s="294"/>
      <c r="AD264" s="294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  <c r="AS264" s="200"/>
      <c r="AT264" s="200"/>
    </row>
    <row r="265" spans="1:46" ht="16.5" customHeight="1">
      <c r="A265" s="422"/>
      <c r="B265" s="216"/>
      <c r="C265" s="291"/>
      <c r="D265" s="292"/>
      <c r="E265" s="292"/>
      <c r="F265" s="292"/>
      <c r="G265" s="293"/>
      <c r="H265" s="293"/>
      <c r="I265" s="219"/>
      <c r="J265" s="219"/>
      <c r="K265" s="219"/>
      <c r="L265" s="219"/>
      <c r="M265" s="219"/>
      <c r="N265" s="298"/>
      <c r="O265" s="298"/>
      <c r="P265" s="321"/>
      <c r="Q265" s="220"/>
      <c r="R265" s="220"/>
      <c r="S265" s="333"/>
      <c r="T265" s="220"/>
      <c r="U265" s="220"/>
      <c r="V265" s="295"/>
      <c r="W265" s="219"/>
      <c r="X265" s="296"/>
      <c r="Y265" s="296"/>
      <c r="Z265" s="296"/>
      <c r="AA265" s="297"/>
      <c r="AB265" s="298"/>
      <c r="AC265" s="297"/>
      <c r="AD265" s="294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  <c r="AS265" s="200"/>
      <c r="AT265" s="200"/>
    </row>
    <row r="266" spans="1:46" ht="16.5" customHeight="1">
      <c r="A266" s="432"/>
      <c r="B266" s="316"/>
      <c r="C266" s="291"/>
      <c r="D266" s="336"/>
      <c r="E266" s="336"/>
      <c r="F266" s="336"/>
      <c r="G266" s="293"/>
      <c r="H266" s="293"/>
      <c r="I266" s="219"/>
      <c r="J266" s="219"/>
      <c r="K266" s="219"/>
      <c r="L266" s="219"/>
      <c r="M266" s="219"/>
      <c r="N266" s="298"/>
      <c r="O266" s="298"/>
      <c r="P266" s="321"/>
      <c r="Q266" s="220"/>
      <c r="R266" s="220"/>
      <c r="S266" s="333"/>
      <c r="T266" s="334"/>
      <c r="U266" s="220"/>
      <c r="V266" s="295"/>
      <c r="W266" s="219"/>
      <c r="X266" s="296"/>
      <c r="Y266" s="296"/>
      <c r="Z266" s="296"/>
      <c r="AA266" s="297"/>
      <c r="AB266" s="298"/>
      <c r="AC266" s="297"/>
      <c r="AD266" s="294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  <c r="AS266" s="200"/>
      <c r="AT266" s="200"/>
    </row>
    <row r="267" spans="1:46" ht="16.5" customHeight="1">
      <c r="A267" s="422"/>
      <c r="B267" s="257"/>
      <c r="C267" s="331"/>
      <c r="D267" s="292"/>
      <c r="E267" s="292"/>
      <c r="F267" s="292"/>
      <c r="G267" s="293"/>
      <c r="H267" s="293"/>
      <c r="I267" s="219"/>
      <c r="J267" s="219"/>
      <c r="K267" s="219"/>
      <c r="L267" s="219"/>
      <c r="M267" s="219"/>
      <c r="N267" s="298"/>
      <c r="O267" s="298"/>
      <c r="P267" s="321"/>
      <c r="Q267" s="220"/>
      <c r="R267" s="220"/>
      <c r="S267" s="333"/>
      <c r="T267" s="333"/>
      <c r="U267" s="295"/>
      <c r="V267" s="295"/>
      <c r="W267" s="219"/>
      <c r="X267" s="296"/>
      <c r="Y267" s="296"/>
      <c r="Z267" s="296"/>
      <c r="AA267" s="219"/>
      <c r="AB267" s="294"/>
      <c r="AC267" s="219"/>
      <c r="AD267" s="294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  <c r="AS267" s="200"/>
      <c r="AT267" s="200"/>
    </row>
    <row r="268" spans="1:46" ht="16.5" customHeight="1">
      <c r="A268" s="432"/>
      <c r="B268" s="316"/>
      <c r="C268" s="331"/>
      <c r="D268" s="292"/>
      <c r="E268" s="292"/>
      <c r="F268" s="292"/>
      <c r="G268" s="293"/>
      <c r="H268" s="293"/>
      <c r="I268" s="296"/>
      <c r="J268" s="296"/>
      <c r="K268" s="331"/>
      <c r="L268" s="331"/>
      <c r="M268" s="331"/>
      <c r="N268" s="294"/>
      <c r="O268" s="294"/>
      <c r="P268" s="331"/>
      <c r="Q268" s="333"/>
      <c r="R268" s="333"/>
      <c r="S268" s="333"/>
      <c r="T268" s="333"/>
      <c r="U268" s="295"/>
      <c r="V268" s="295"/>
      <c r="W268" s="296"/>
      <c r="X268" s="296"/>
      <c r="Y268" s="296"/>
      <c r="Z268" s="296"/>
      <c r="AA268" s="294"/>
      <c r="AB268" s="294"/>
      <c r="AC268" s="294"/>
      <c r="AD268" s="294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  <c r="AS268" s="200"/>
      <c r="AT268" s="200"/>
    </row>
    <row r="269" spans="1:46" ht="16.5" customHeight="1">
      <c r="A269" s="432"/>
      <c r="B269" s="316"/>
      <c r="C269" s="291"/>
      <c r="D269" s="336"/>
      <c r="E269" s="336"/>
      <c r="F269" s="336"/>
      <c r="G269" s="293"/>
      <c r="H269" s="293"/>
      <c r="I269" s="219"/>
      <c r="J269" s="219"/>
      <c r="K269" s="219"/>
      <c r="L269" s="219"/>
      <c r="M269" s="219"/>
      <c r="N269" s="298"/>
      <c r="O269" s="298"/>
      <c r="P269" s="321"/>
      <c r="Q269" s="220"/>
      <c r="R269" s="220"/>
      <c r="S269" s="333"/>
      <c r="T269" s="220"/>
      <c r="U269" s="220"/>
      <c r="V269" s="295"/>
      <c r="W269" s="219"/>
      <c r="X269" s="296"/>
      <c r="Y269" s="296"/>
      <c r="Z269" s="296"/>
      <c r="AA269" s="297"/>
      <c r="AB269" s="298"/>
      <c r="AC269" s="297"/>
      <c r="AD269" s="294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  <c r="AT269" s="200"/>
    </row>
    <row r="270" spans="1:46" ht="16.5" customHeight="1">
      <c r="A270" s="432"/>
      <c r="B270" s="316"/>
      <c r="C270" s="331"/>
      <c r="D270" s="292"/>
      <c r="E270" s="292"/>
      <c r="F270" s="292"/>
      <c r="G270" s="293"/>
      <c r="H270" s="293"/>
      <c r="I270" s="296"/>
      <c r="J270" s="296"/>
      <c r="K270" s="331"/>
      <c r="L270" s="331"/>
      <c r="M270" s="331"/>
      <c r="N270" s="294"/>
      <c r="O270" s="294"/>
      <c r="P270" s="331"/>
      <c r="Q270" s="333"/>
      <c r="R270" s="333"/>
      <c r="S270" s="333"/>
      <c r="T270" s="333"/>
      <c r="U270" s="295"/>
      <c r="V270" s="295"/>
      <c r="W270" s="296"/>
      <c r="X270" s="296"/>
      <c r="Y270" s="296"/>
      <c r="Z270" s="296"/>
      <c r="AA270" s="294"/>
      <c r="AB270" s="294"/>
      <c r="AC270" s="294"/>
      <c r="AD270" s="294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  <c r="AT270" s="200"/>
    </row>
    <row r="271" spans="1:46" ht="16.5" customHeight="1">
      <c r="A271" s="432"/>
      <c r="B271" s="316"/>
      <c r="C271" s="331"/>
      <c r="D271" s="336"/>
      <c r="E271" s="336"/>
      <c r="F271" s="336"/>
      <c r="G271" s="293"/>
      <c r="H271" s="293"/>
      <c r="I271" s="296"/>
      <c r="J271" s="296"/>
      <c r="K271" s="331"/>
      <c r="L271" s="331"/>
      <c r="M271" s="331"/>
      <c r="N271" s="294"/>
      <c r="O271" s="294"/>
      <c r="P271" s="331"/>
      <c r="Q271" s="333"/>
      <c r="R271" s="333"/>
      <c r="S271" s="333"/>
      <c r="T271" s="333"/>
      <c r="U271" s="295"/>
      <c r="V271" s="295"/>
      <c r="W271" s="296"/>
      <c r="X271" s="296"/>
      <c r="Y271" s="296"/>
      <c r="Z271" s="296"/>
      <c r="AA271" s="294"/>
      <c r="AB271" s="294"/>
      <c r="AC271" s="294"/>
      <c r="AD271" s="294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  <c r="AT271" s="200"/>
    </row>
    <row r="272" spans="1:46" ht="16.5" customHeight="1">
      <c r="A272" s="432"/>
      <c r="B272" s="316"/>
      <c r="C272" s="331"/>
      <c r="D272" s="292"/>
      <c r="E272" s="292"/>
      <c r="F272" s="292"/>
      <c r="G272" s="293"/>
      <c r="H272" s="293"/>
      <c r="I272" s="296"/>
      <c r="J272" s="296"/>
      <c r="K272" s="331"/>
      <c r="L272" s="331"/>
      <c r="M272" s="331"/>
      <c r="N272" s="294"/>
      <c r="O272" s="294"/>
      <c r="P272" s="331"/>
      <c r="Q272" s="333"/>
      <c r="R272" s="333"/>
      <c r="S272" s="333"/>
      <c r="T272" s="333"/>
      <c r="U272" s="295"/>
      <c r="V272" s="295"/>
      <c r="W272" s="296"/>
      <c r="X272" s="296"/>
      <c r="Y272" s="296"/>
      <c r="Z272" s="296"/>
      <c r="AA272" s="294"/>
      <c r="AB272" s="294"/>
      <c r="AC272" s="294"/>
      <c r="AD272" s="294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  <c r="AT272" s="200"/>
    </row>
    <row r="273" spans="1:46" ht="16.5" customHeight="1">
      <c r="A273" s="432"/>
      <c r="B273" s="316"/>
      <c r="C273" s="331"/>
      <c r="D273" s="292"/>
      <c r="E273" s="292"/>
      <c r="F273" s="292"/>
      <c r="G273" s="293"/>
      <c r="H273" s="293"/>
      <c r="I273" s="296"/>
      <c r="J273" s="296"/>
      <c r="K273" s="331"/>
      <c r="L273" s="331"/>
      <c r="M273" s="331"/>
      <c r="N273" s="294"/>
      <c r="O273" s="294"/>
      <c r="P273" s="331"/>
      <c r="Q273" s="333"/>
      <c r="R273" s="333"/>
      <c r="S273" s="333"/>
      <c r="T273" s="333"/>
      <c r="U273" s="295"/>
      <c r="V273" s="295"/>
      <c r="W273" s="296"/>
      <c r="X273" s="296"/>
      <c r="Y273" s="296"/>
      <c r="Z273" s="296"/>
      <c r="AA273" s="294"/>
      <c r="AB273" s="294"/>
      <c r="AC273" s="294"/>
      <c r="AD273" s="294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  <c r="AT273" s="200"/>
    </row>
    <row r="274" spans="1:46" ht="16.5" customHeight="1">
      <c r="A274" s="432"/>
      <c r="B274" s="316"/>
      <c r="C274" s="331"/>
      <c r="D274" s="292"/>
      <c r="E274" s="292"/>
      <c r="F274" s="292"/>
      <c r="G274" s="293"/>
      <c r="H274" s="293"/>
      <c r="I274" s="296"/>
      <c r="J274" s="296"/>
      <c r="K274" s="331"/>
      <c r="L274" s="331"/>
      <c r="M274" s="331"/>
      <c r="N274" s="294"/>
      <c r="O274" s="294"/>
      <c r="P274" s="331"/>
      <c r="Q274" s="333"/>
      <c r="R274" s="333"/>
      <c r="S274" s="333"/>
      <c r="T274" s="333"/>
      <c r="U274" s="295"/>
      <c r="V274" s="295"/>
      <c r="W274" s="296"/>
      <c r="X274" s="296"/>
      <c r="Y274" s="296"/>
      <c r="Z274" s="296"/>
      <c r="AA274" s="294"/>
      <c r="AB274" s="294"/>
      <c r="AC274" s="294"/>
      <c r="AD274" s="294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  <c r="AT274" s="200"/>
    </row>
    <row r="275" spans="1:46" ht="16.5" customHeight="1">
      <c r="A275" s="432"/>
      <c r="B275" s="316"/>
      <c r="C275" s="331"/>
      <c r="D275" s="292"/>
      <c r="E275" s="292"/>
      <c r="F275" s="292"/>
      <c r="G275" s="293"/>
      <c r="H275" s="293"/>
      <c r="I275" s="296"/>
      <c r="J275" s="296"/>
      <c r="K275" s="331"/>
      <c r="L275" s="331"/>
      <c r="M275" s="331"/>
      <c r="N275" s="294"/>
      <c r="O275" s="294"/>
      <c r="P275" s="331"/>
      <c r="Q275" s="333"/>
      <c r="R275" s="333"/>
      <c r="S275" s="333"/>
      <c r="T275" s="333"/>
      <c r="U275" s="295"/>
      <c r="V275" s="295"/>
      <c r="W275" s="296"/>
      <c r="X275" s="296"/>
      <c r="Y275" s="296"/>
      <c r="Z275" s="296"/>
      <c r="AA275" s="294"/>
      <c r="AB275" s="294"/>
      <c r="AC275" s="294"/>
      <c r="AD275" s="294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  <c r="AT275" s="200"/>
    </row>
    <row r="276" spans="1:46" ht="16.5" customHeight="1">
      <c r="A276" s="432"/>
      <c r="B276" s="337"/>
      <c r="C276" s="74"/>
      <c r="D276" s="167"/>
      <c r="E276" s="167"/>
      <c r="F276" s="167"/>
      <c r="G276" s="64"/>
      <c r="H276" s="64"/>
      <c r="I276" s="243"/>
      <c r="J276" s="243"/>
      <c r="K276" s="244"/>
      <c r="L276" s="173"/>
      <c r="M276" s="173"/>
      <c r="N276" s="173"/>
      <c r="O276" s="173"/>
      <c r="P276" s="319"/>
      <c r="Q276" s="213"/>
      <c r="R276" s="213"/>
      <c r="S276" s="213"/>
      <c r="T276" s="339"/>
      <c r="U276" s="318"/>
      <c r="V276" s="318"/>
      <c r="W276" s="243"/>
      <c r="X276" s="45"/>
      <c r="Y276" s="45"/>
      <c r="Z276" s="45"/>
      <c r="AA276" s="294"/>
      <c r="AB276" s="294"/>
      <c r="AC276" s="294"/>
      <c r="AD276" s="294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</row>
    <row r="277" spans="1:46" ht="16.5" customHeight="1">
      <c r="A277" s="422"/>
      <c r="B277" s="270"/>
      <c r="C277" s="61"/>
      <c r="D277" s="167"/>
      <c r="E277" s="167"/>
      <c r="F277" s="167"/>
      <c r="G277" s="64"/>
      <c r="H277" s="64"/>
      <c r="I277" s="243"/>
      <c r="J277" s="243"/>
      <c r="K277" s="244"/>
      <c r="L277" s="244"/>
      <c r="M277" s="244"/>
      <c r="N277" s="173"/>
      <c r="O277" s="173"/>
      <c r="P277" s="319"/>
      <c r="Q277" s="213"/>
      <c r="R277" s="213"/>
      <c r="S277" s="213"/>
      <c r="T277" s="317"/>
      <c r="U277" s="318"/>
      <c r="V277" s="318"/>
      <c r="W277" s="243"/>
      <c r="X277" s="45"/>
      <c r="Y277" s="45"/>
      <c r="Z277" s="45"/>
      <c r="AA277" s="294"/>
      <c r="AB277" s="294"/>
      <c r="AC277" s="294"/>
      <c r="AD277" s="294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</row>
    <row r="278" spans="1:46" ht="16.5" customHeight="1">
      <c r="A278" s="422"/>
      <c r="B278" s="270"/>
      <c r="C278" s="61"/>
      <c r="D278" s="167"/>
      <c r="E278" s="167"/>
      <c r="F278" s="167"/>
      <c r="G278" s="64"/>
      <c r="H278" s="64"/>
      <c r="I278" s="243"/>
      <c r="J278" s="243"/>
      <c r="K278" s="244"/>
      <c r="L278" s="45"/>
      <c r="M278" s="45"/>
      <c r="N278" s="244"/>
      <c r="O278" s="244"/>
      <c r="P278" s="319"/>
      <c r="Q278" s="213"/>
      <c r="R278" s="213"/>
      <c r="S278" s="213"/>
      <c r="T278" s="317"/>
      <c r="U278" s="318"/>
      <c r="V278" s="318"/>
      <c r="W278" s="243"/>
      <c r="X278" s="45"/>
      <c r="Y278" s="45"/>
      <c r="Z278" s="45"/>
      <c r="AA278" s="294"/>
      <c r="AB278" s="294"/>
      <c r="AC278" s="294"/>
      <c r="AD278" s="294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  <c r="AT278" s="200"/>
    </row>
    <row r="279" spans="1:46" ht="16.5" customHeight="1">
      <c r="A279" s="422"/>
      <c r="B279" s="270"/>
      <c r="C279" s="61"/>
      <c r="D279" s="167"/>
      <c r="E279" s="167"/>
      <c r="F279" s="167"/>
      <c r="G279" s="64"/>
      <c r="H279" s="64"/>
      <c r="I279" s="243"/>
      <c r="J279" s="243"/>
      <c r="K279" s="244"/>
      <c r="L279" s="33"/>
      <c r="M279" s="33"/>
      <c r="N279" s="244"/>
      <c r="O279" s="244"/>
      <c r="P279" s="319"/>
      <c r="Q279" s="213"/>
      <c r="R279" s="213"/>
      <c r="S279" s="213"/>
      <c r="T279" s="317"/>
      <c r="U279" s="318"/>
      <c r="V279" s="318"/>
      <c r="W279" s="243"/>
      <c r="X279" s="45"/>
      <c r="Y279" s="45"/>
      <c r="Z279" s="45"/>
      <c r="AA279" s="294"/>
      <c r="AB279" s="294"/>
      <c r="AC279" s="294"/>
      <c r="AD279" s="294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</row>
    <row r="280" spans="1:46" ht="16.5" customHeight="1">
      <c r="A280" s="432"/>
      <c r="B280" s="337"/>
      <c r="C280" s="61"/>
      <c r="D280" s="167"/>
      <c r="E280" s="167"/>
      <c r="F280" s="167"/>
      <c r="G280" s="64"/>
      <c r="H280" s="64"/>
      <c r="I280" s="254"/>
      <c r="J280" s="254"/>
      <c r="K280" s="254"/>
      <c r="L280" s="173"/>
      <c r="M280" s="173"/>
      <c r="N280" s="67"/>
      <c r="O280" s="67"/>
      <c r="P280" s="342"/>
      <c r="Q280" s="213"/>
      <c r="R280" s="213"/>
      <c r="S280" s="213"/>
      <c r="T280" s="317"/>
      <c r="U280" s="318"/>
      <c r="V280" s="318"/>
      <c r="W280" s="254"/>
      <c r="X280" s="45"/>
      <c r="Y280" s="45"/>
      <c r="Z280" s="45"/>
      <c r="AA280" s="294"/>
      <c r="AB280" s="294"/>
      <c r="AC280" s="294"/>
      <c r="AD280" s="294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  <c r="AT280" s="200"/>
    </row>
    <row r="281" spans="1:46" ht="16.5" customHeight="1">
      <c r="A281" s="432"/>
      <c r="B281" s="337"/>
      <c r="C281" s="61"/>
      <c r="D281" s="167"/>
      <c r="E281" s="167"/>
      <c r="F281" s="167"/>
      <c r="G281" s="64"/>
      <c r="H281" s="64"/>
      <c r="I281" s="254"/>
      <c r="J281" s="254"/>
      <c r="K281" s="254"/>
      <c r="L281" s="173"/>
      <c r="M281" s="173"/>
      <c r="N281" s="67"/>
      <c r="O281" s="67"/>
      <c r="P281" s="342"/>
      <c r="Q281" s="213"/>
      <c r="R281" s="213"/>
      <c r="S281" s="213"/>
      <c r="T281" s="317"/>
      <c r="U281" s="318"/>
      <c r="V281" s="318"/>
      <c r="W281" s="254"/>
      <c r="X281" s="45"/>
      <c r="Y281" s="45"/>
      <c r="Z281" s="45"/>
      <c r="AA281" s="294"/>
      <c r="AB281" s="294"/>
      <c r="AC281" s="294"/>
      <c r="AD281" s="294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</row>
    <row r="282" spans="1:46" ht="16.5" customHeight="1">
      <c r="A282" s="432"/>
      <c r="B282" s="307"/>
      <c r="C282" s="74"/>
      <c r="D282" s="167"/>
      <c r="E282" s="167"/>
      <c r="F282" s="167"/>
      <c r="G282" s="64"/>
      <c r="H282" s="64"/>
      <c r="I282" s="254"/>
      <c r="J282" s="254"/>
      <c r="K282" s="254"/>
      <c r="L282" s="173"/>
      <c r="M282" s="173"/>
      <c r="N282" s="67"/>
      <c r="O282" s="67"/>
      <c r="P282" s="342"/>
      <c r="Q282" s="213"/>
      <c r="R282" s="213"/>
      <c r="S282" s="213"/>
      <c r="T282" s="317"/>
      <c r="U282" s="318"/>
      <c r="V282" s="318"/>
      <c r="W282" s="254"/>
      <c r="X282" s="45"/>
      <c r="Y282" s="45"/>
      <c r="Z282" s="45"/>
      <c r="AA282" s="294"/>
      <c r="AB282" s="294"/>
      <c r="AC282" s="294"/>
      <c r="AD282" s="294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  <c r="AT282" s="200"/>
    </row>
    <row r="283" spans="1:46" ht="16.5" customHeight="1">
      <c r="A283" s="432"/>
      <c r="B283" s="307"/>
      <c r="C283" s="74"/>
      <c r="D283" s="167"/>
      <c r="E283" s="167"/>
      <c r="F283" s="167"/>
      <c r="G283" s="64"/>
      <c r="H283" s="64"/>
      <c r="I283" s="74"/>
      <c r="J283" s="74"/>
      <c r="K283" s="74"/>
      <c r="L283" s="74"/>
      <c r="M283" s="74"/>
      <c r="N283" s="74"/>
      <c r="O283" s="74"/>
      <c r="P283" s="74"/>
      <c r="Q283" s="213"/>
      <c r="R283" s="213"/>
      <c r="S283" s="213"/>
      <c r="T283" s="317"/>
      <c r="U283" s="318"/>
      <c r="V283" s="318"/>
      <c r="W283" s="74"/>
      <c r="X283" s="45"/>
      <c r="Y283" s="45"/>
      <c r="Z283" s="45"/>
      <c r="AA283" s="294"/>
      <c r="AB283" s="294"/>
      <c r="AC283" s="294"/>
      <c r="AD283" s="294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  <c r="AT283" s="200"/>
    </row>
    <row r="284" spans="1:46" ht="16.5" customHeight="1">
      <c r="A284" s="432"/>
      <c r="B284" s="337"/>
      <c r="C284" s="74"/>
      <c r="D284" s="167"/>
      <c r="E284" s="167"/>
      <c r="F284" s="167"/>
      <c r="G284" s="64"/>
      <c r="H284" s="64"/>
      <c r="I284" s="255"/>
      <c r="J284" s="255"/>
      <c r="K284" s="254"/>
      <c r="L284" s="67"/>
      <c r="M284" s="67"/>
      <c r="N284" s="67"/>
      <c r="O284" s="67"/>
      <c r="P284" s="342"/>
      <c r="Q284" s="213"/>
      <c r="R284" s="213"/>
      <c r="S284" s="213"/>
      <c r="T284" s="317"/>
      <c r="U284" s="318"/>
      <c r="V284" s="318"/>
      <c r="W284" s="255"/>
      <c r="X284" s="45"/>
      <c r="Y284" s="45"/>
      <c r="Z284" s="45"/>
      <c r="AA284" s="294"/>
      <c r="AB284" s="294"/>
      <c r="AC284" s="294"/>
      <c r="AD284" s="294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  <c r="AT284" s="200"/>
    </row>
    <row r="285" spans="1:46" ht="16.5" customHeight="1">
      <c r="A285" s="432"/>
      <c r="B285" s="307"/>
      <c r="C285" s="74"/>
      <c r="D285" s="167"/>
      <c r="E285" s="167"/>
      <c r="F285" s="167"/>
      <c r="G285" s="64"/>
      <c r="H285" s="64"/>
      <c r="I285" s="74"/>
      <c r="J285" s="74"/>
      <c r="K285" s="340"/>
      <c r="L285" s="67"/>
      <c r="M285" s="67"/>
      <c r="N285" s="74"/>
      <c r="O285" s="74"/>
      <c r="P285" s="74"/>
      <c r="Q285" s="213"/>
      <c r="R285" s="213"/>
      <c r="S285" s="213"/>
      <c r="T285" s="317"/>
      <c r="U285" s="318"/>
      <c r="V285" s="318"/>
      <c r="W285" s="74"/>
      <c r="X285" s="45"/>
      <c r="Y285" s="45"/>
      <c r="Z285" s="45"/>
      <c r="AA285" s="294"/>
      <c r="AB285" s="294"/>
      <c r="AC285" s="294"/>
      <c r="AD285" s="294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  <c r="AT285" s="200"/>
    </row>
    <row r="286" spans="1:46" ht="16.5" customHeight="1">
      <c r="A286" s="432"/>
      <c r="B286" s="337"/>
      <c r="C286" s="74"/>
      <c r="D286" s="167"/>
      <c r="E286" s="167"/>
      <c r="F286" s="167"/>
      <c r="G286" s="64"/>
      <c r="H286" s="64"/>
      <c r="I286" s="255"/>
      <c r="J286" s="255"/>
      <c r="K286" s="342"/>
      <c r="L286" s="254"/>
      <c r="M286" s="254"/>
      <c r="N286" s="342"/>
      <c r="O286" s="342"/>
      <c r="P286" s="342"/>
      <c r="Q286" s="213"/>
      <c r="R286" s="213"/>
      <c r="S286" s="213"/>
      <c r="T286" s="317"/>
      <c r="U286" s="318"/>
      <c r="V286" s="318"/>
      <c r="W286" s="255"/>
      <c r="X286" s="45"/>
      <c r="Y286" s="45"/>
      <c r="Z286" s="45"/>
      <c r="AA286" s="294"/>
      <c r="AB286" s="294"/>
      <c r="AC286" s="294"/>
      <c r="AD286" s="294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  <c r="AT286" s="200"/>
    </row>
    <row r="287" spans="1:46" ht="16.5" customHeight="1">
      <c r="A287" s="432"/>
      <c r="B287" s="307"/>
      <c r="C287" s="74"/>
      <c r="D287" s="167"/>
      <c r="E287" s="167"/>
      <c r="F287" s="167"/>
      <c r="G287" s="64"/>
      <c r="H287" s="64"/>
      <c r="I287" s="340"/>
      <c r="J287" s="340"/>
      <c r="K287" s="340"/>
      <c r="L287" s="67"/>
      <c r="M287" s="67"/>
      <c r="N287" s="74"/>
      <c r="O287" s="74"/>
      <c r="P287" s="74"/>
      <c r="Q287" s="213"/>
      <c r="R287" s="213"/>
      <c r="S287" s="213"/>
      <c r="T287" s="317"/>
      <c r="U287" s="343"/>
      <c r="V287" s="318"/>
      <c r="W287" s="340"/>
      <c r="X287" s="45"/>
      <c r="Y287" s="45"/>
      <c r="Z287" s="45"/>
      <c r="AA287" s="294"/>
      <c r="AB287" s="294"/>
      <c r="AC287" s="294"/>
      <c r="AD287" s="294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</row>
    <row r="288" spans="1:46" ht="16.5" customHeight="1">
      <c r="A288" s="432"/>
      <c r="B288" s="337"/>
      <c r="C288" s="74"/>
      <c r="D288" s="167"/>
      <c r="E288" s="167"/>
      <c r="F288" s="167"/>
      <c r="G288" s="64"/>
      <c r="H288" s="64"/>
      <c r="I288" s="344"/>
      <c r="J288" s="344"/>
      <c r="K288" s="344"/>
      <c r="L288" s="61"/>
      <c r="M288" s="61"/>
      <c r="N288" s="61"/>
      <c r="O288" s="61"/>
      <c r="P288" s="254"/>
      <c r="Q288" s="213"/>
      <c r="R288" s="213"/>
      <c r="S288" s="213"/>
      <c r="T288" s="317"/>
      <c r="U288" s="345"/>
      <c r="V288" s="318"/>
      <c r="W288" s="344"/>
      <c r="X288" s="45"/>
      <c r="Y288" s="45"/>
      <c r="Z288" s="45"/>
      <c r="AA288" s="294"/>
      <c r="AB288" s="294"/>
      <c r="AC288" s="294"/>
      <c r="AD288" s="294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  <c r="AT288" s="200"/>
    </row>
    <row r="289" spans="1:46" ht="16.5" customHeight="1">
      <c r="A289" s="432"/>
      <c r="B289" s="307"/>
      <c r="C289" s="74"/>
      <c r="D289" s="167"/>
      <c r="E289" s="167"/>
      <c r="F289" s="167"/>
      <c r="G289" s="64"/>
      <c r="H289" s="64"/>
      <c r="I289" s="344"/>
      <c r="J289" s="344"/>
      <c r="K289" s="344"/>
      <c r="L289" s="61"/>
      <c r="M289" s="61"/>
      <c r="N289" s="61"/>
      <c r="O289" s="61"/>
      <c r="P289" s="254"/>
      <c r="Q289" s="213"/>
      <c r="R289" s="213"/>
      <c r="S289" s="213"/>
      <c r="T289" s="317"/>
      <c r="U289" s="345"/>
      <c r="V289" s="318"/>
      <c r="W289" s="344"/>
      <c r="X289" s="45"/>
      <c r="Y289" s="45"/>
      <c r="Z289" s="45"/>
      <c r="AA289" s="294"/>
      <c r="AB289" s="294"/>
      <c r="AC289" s="294"/>
      <c r="AD289" s="294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  <c r="AT289" s="200"/>
    </row>
    <row r="290" spans="1:46" ht="16.5" customHeight="1">
      <c r="A290" s="432"/>
      <c r="B290" s="307"/>
      <c r="C290" s="74"/>
      <c r="D290" s="167"/>
      <c r="E290" s="167"/>
      <c r="F290" s="167"/>
      <c r="G290" s="64"/>
      <c r="H290" s="64"/>
      <c r="I290" s="61"/>
      <c r="J290" s="61"/>
      <c r="K290" s="61"/>
      <c r="L290" s="61"/>
      <c r="M290" s="61"/>
      <c r="N290" s="61"/>
      <c r="O290" s="61"/>
      <c r="P290" s="61"/>
      <c r="Q290" s="213"/>
      <c r="R290" s="213"/>
      <c r="S290" s="213"/>
      <c r="T290" s="317"/>
      <c r="U290" s="318"/>
      <c r="V290" s="318"/>
      <c r="W290" s="61"/>
      <c r="X290" s="45"/>
      <c r="Y290" s="45"/>
      <c r="Z290" s="45"/>
      <c r="AA290" s="294"/>
      <c r="AB290" s="294"/>
      <c r="AC290" s="294"/>
      <c r="AD290" s="294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  <c r="AT290" s="200"/>
    </row>
    <row r="291" spans="1:46" ht="16.5" customHeight="1">
      <c r="A291" s="432"/>
      <c r="B291" s="307"/>
      <c r="C291" s="74"/>
      <c r="D291" s="167"/>
      <c r="E291" s="167"/>
      <c r="F291" s="167"/>
      <c r="G291" s="64"/>
      <c r="H291" s="64"/>
      <c r="I291" s="254"/>
      <c r="J291" s="254"/>
      <c r="K291" s="254"/>
      <c r="L291" s="61"/>
      <c r="M291" s="61"/>
      <c r="N291" s="61"/>
      <c r="O291" s="61"/>
      <c r="P291" s="254"/>
      <c r="Q291" s="213"/>
      <c r="R291" s="213"/>
      <c r="S291" s="213"/>
      <c r="T291" s="317"/>
      <c r="U291" s="318"/>
      <c r="V291" s="318"/>
      <c r="W291" s="254"/>
      <c r="X291" s="45"/>
      <c r="Y291" s="45"/>
      <c r="Z291" s="45"/>
      <c r="AA291" s="294"/>
      <c r="AB291" s="294"/>
      <c r="AC291" s="294"/>
      <c r="AD291" s="294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200"/>
      <c r="AQ291" s="200"/>
      <c r="AR291" s="200"/>
      <c r="AS291" s="200"/>
      <c r="AT291" s="200"/>
    </row>
    <row r="292" spans="1:46" ht="16.5" customHeight="1">
      <c r="A292" s="432"/>
      <c r="B292" s="307"/>
      <c r="C292" s="74"/>
      <c r="D292" s="167"/>
      <c r="E292" s="167"/>
      <c r="F292" s="167"/>
      <c r="G292" s="64"/>
      <c r="H292" s="64"/>
      <c r="I292" s="254"/>
      <c r="J292" s="254"/>
      <c r="K292" s="342"/>
      <c r="L292" s="74"/>
      <c r="M292" s="74"/>
      <c r="N292" s="74"/>
      <c r="O292" s="74"/>
      <c r="P292" s="342"/>
      <c r="Q292" s="213"/>
      <c r="R292" s="213"/>
      <c r="S292" s="213"/>
      <c r="T292" s="317"/>
      <c r="U292" s="318"/>
      <c r="V292" s="318"/>
      <c r="W292" s="254"/>
      <c r="X292" s="45"/>
      <c r="Y292" s="45"/>
      <c r="Z292" s="45"/>
      <c r="AA292" s="294"/>
      <c r="AB292" s="294"/>
      <c r="AC292" s="294"/>
      <c r="AD292" s="294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  <c r="AT292" s="200"/>
    </row>
    <row r="293" spans="1:46" ht="16.5" customHeight="1">
      <c r="A293" s="432"/>
      <c r="B293" s="307"/>
      <c r="C293" s="74"/>
      <c r="D293" s="167"/>
      <c r="E293" s="167"/>
      <c r="F293" s="167"/>
      <c r="G293" s="64"/>
      <c r="H293" s="64"/>
      <c r="I293" s="254"/>
      <c r="J293" s="254"/>
      <c r="K293" s="342"/>
      <c r="L293" s="74"/>
      <c r="M293" s="74"/>
      <c r="N293" s="74"/>
      <c r="O293" s="74"/>
      <c r="P293" s="342"/>
      <c r="Q293" s="213"/>
      <c r="R293" s="213"/>
      <c r="S293" s="213"/>
      <c r="T293" s="317"/>
      <c r="U293" s="318"/>
      <c r="V293" s="318"/>
      <c r="W293" s="254"/>
      <c r="X293" s="45"/>
      <c r="Y293" s="45"/>
      <c r="Z293" s="45"/>
      <c r="AA293" s="294"/>
      <c r="AB293" s="294"/>
      <c r="AC293" s="294"/>
      <c r="AD293" s="294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200"/>
      <c r="AQ293" s="200"/>
      <c r="AR293" s="200"/>
      <c r="AS293" s="200"/>
      <c r="AT293" s="200"/>
    </row>
    <row r="294" spans="1:46" ht="16.5" customHeight="1">
      <c r="A294" s="432"/>
      <c r="B294" s="316"/>
      <c r="C294" s="331"/>
      <c r="D294" s="292"/>
      <c r="E294" s="292"/>
      <c r="F294" s="292"/>
      <c r="G294" s="293"/>
      <c r="H294" s="293"/>
      <c r="I294" s="296"/>
      <c r="J294" s="296"/>
      <c r="K294" s="331"/>
      <c r="L294" s="331"/>
      <c r="M294" s="331"/>
      <c r="N294" s="294"/>
      <c r="O294" s="294"/>
      <c r="P294" s="331"/>
      <c r="Q294" s="333"/>
      <c r="R294" s="333"/>
      <c r="S294" s="333"/>
      <c r="T294" s="333"/>
      <c r="U294" s="295"/>
      <c r="V294" s="295"/>
      <c r="W294" s="296"/>
      <c r="X294" s="296"/>
      <c r="Y294" s="296"/>
      <c r="Z294" s="296"/>
      <c r="AA294" s="294"/>
      <c r="AB294" s="294"/>
      <c r="AC294" s="294"/>
      <c r="AD294" s="294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200"/>
      <c r="AQ294" s="200"/>
      <c r="AR294" s="200"/>
      <c r="AS294" s="200"/>
      <c r="AT294" s="200"/>
    </row>
    <row r="295" spans="1:46" ht="16.5" customHeight="1">
      <c r="A295" s="432"/>
      <c r="B295" s="316"/>
      <c r="C295" s="331"/>
      <c r="D295" s="292"/>
      <c r="E295" s="292"/>
      <c r="F295" s="292"/>
      <c r="G295" s="293"/>
      <c r="H295" s="293"/>
      <c r="I295" s="296"/>
      <c r="J295" s="296"/>
      <c r="K295" s="331"/>
      <c r="L295" s="331"/>
      <c r="M295" s="331"/>
      <c r="N295" s="294"/>
      <c r="O295" s="294"/>
      <c r="P295" s="331"/>
      <c r="Q295" s="333"/>
      <c r="R295" s="333"/>
      <c r="S295" s="333"/>
      <c r="T295" s="333"/>
      <c r="U295" s="295"/>
      <c r="V295" s="295"/>
      <c r="W295" s="296"/>
      <c r="X295" s="296"/>
      <c r="Y295" s="296"/>
      <c r="Z295" s="296"/>
      <c r="AA295" s="294"/>
      <c r="AB295" s="294"/>
      <c r="AC295" s="294"/>
      <c r="AD295" s="294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200"/>
      <c r="AQ295" s="200"/>
      <c r="AR295" s="200"/>
      <c r="AS295" s="200"/>
      <c r="AT295" s="200"/>
    </row>
    <row r="296" spans="1:46" ht="16.5" customHeight="1">
      <c r="A296" s="432"/>
      <c r="B296" s="316"/>
      <c r="C296" s="331"/>
      <c r="D296" s="292"/>
      <c r="E296" s="292"/>
      <c r="F296" s="292"/>
      <c r="G296" s="293"/>
      <c r="H296" s="293"/>
      <c r="I296" s="296"/>
      <c r="J296" s="296"/>
      <c r="K296" s="331"/>
      <c r="L296" s="331"/>
      <c r="M296" s="331"/>
      <c r="N296" s="294"/>
      <c r="O296" s="294"/>
      <c r="P296" s="331"/>
      <c r="Q296" s="333"/>
      <c r="R296" s="333"/>
      <c r="S296" s="333"/>
      <c r="T296" s="333"/>
      <c r="U296" s="295"/>
      <c r="V296" s="295"/>
      <c r="W296" s="296"/>
      <c r="X296" s="296"/>
      <c r="Y296" s="296"/>
      <c r="Z296" s="296"/>
      <c r="AA296" s="294"/>
      <c r="AB296" s="294"/>
      <c r="AC296" s="294"/>
      <c r="AD296" s="294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  <c r="AT296" s="200"/>
    </row>
    <row r="297" spans="1:46" ht="16.5" customHeight="1">
      <c r="A297" s="432"/>
      <c r="B297" s="316"/>
      <c r="C297" s="331"/>
      <c r="D297" s="292"/>
      <c r="E297" s="292"/>
      <c r="F297" s="292"/>
      <c r="G297" s="293"/>
      <c r="H297" s="293"/>
      <c r="I297" s="296"/>
      <c r="J297" s="296"/>
      <c r="K297" s="331"/>
      <c r="L297" s="331"/>
      <c r="M297" s="331"/>
      <c r="N297" s="294"/>
      <c r="O297" s="294"/>
      <c r="P297" s="331"/>
      <c r="Q297" s="333"/>
      <c r="R297" s="333"/>
      <c r="S297" s="333"/>
      <c r="T297" s="333"/>
      <c r="U297" s="295"/>
      <c r="V297" s="295"/>
      <c r="W297" s="296"/>
      <c r="X297" s="296"/>
      <c r="Y297" s="296"/>
      <c r="Z297" s="296"/>
      <c r="AA297" s="294"/>
      <c r="AB297" s="294"/>
      <c r="AC297" s="294"/>
      <c r="AD297" s="294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  <c r="AT297" s="200"/>
    </row>
    <row r="298" spans="1:46" ht="16.5" customHeight="1">
      <c r="A298" s="432"/>
      <c r="B298" s="316"/>
      <c r="C298" s="331"/>
      <c r="D298" s="292"/>
      <c r="E298" s="292"/>
      <c r="F298" s="292"/>
      <c r="G298" s="293"/>
      <c r="H298" s="293"/>
      <c r="I298" s="296"/>
      <c r="J298" s="296"/>
      <c r="K298" s="331"/>
      <c r="L298" s="331"/>
      <c r="M298" s="331"/>
      <c r="N298" s="294"/>
      <c r="O298" s="294"/>
      <c r="P298" s="331"/>
      <c r="Q298" s="333"/>
      <c r="R298" s="333"/>
      <c r="S298" s="333"/>
      <c r="T298" s="333"/>
      <c r="U298" s="295"/>
      <c r="V298" s="295"/>
      <c r="W298" s="296"/>
      <c r="X298" s="296"/>
      <c r="Y298" s="296"/>
      <c r="Z298" s="296"/>
      <c r="AA298" s="294"/>
      <c r="AB298" s="294"/>
      <c r="AC298" s="294"/>
      <c r="AD298" s="294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200"/>
      <c r="AQ298" s="200"/>
      <c r="AR298" s="200"/>
      <c r="AS298" s="200"/>
      <c r="AT298" s="200"/>
    </row>
    <row r="299" spans="1:46" ht="16.5" customHeight="1">
      <c r="A299" s="432"/>
      <c r="B299" s="316"/>
      <c r="C299" s="331"/>
      <c r="D299" s="292"/>
      <c r="E299" s="292"/>
      <c r="F299" s="292"/>
      <c r="G299" s="293"/>
      <c r="H299" s="293"/>
      <c r="I299" s="296"/>
      <c r="J299" s="296"/>
      <c r="K299" s="331"/>
      <c r="L299" s="331"/>
      <c r="M299" s="331"/>
      <c r="N299" s="294"/>
      <c r="O299" s="294"/>
      <c r="P299" s="331"/>
      <c r="Q299" s="333"/>
      <c r="R299" s="333"/>
      <c r="S299" s="333"/>
      <c r="T299" s="333"/>
      <c r="U299" s="295"/>
      <c r="V299" s="295"/>
      <c r="W299" s="296"/>
      <c r="X299" s="296"/>
      <c r="Y299" s="296"/>
      <c r="Z299" s="296"/>
      <c r="AA299" s="294"/>
      <c r="AB299" s="294"/>
      <c r="AC299" s="294"/>
      <c r="AD299" s="294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  <c r="AT299" s="200"/>
    </row>
    <row r="300" spans="1:46" ht="16.5" customHeight="1">
      <c r="A300" s="432"/>
      <c r="B300" s="316"/>
      <c r="C300" s="331"/>
      <c r="D300" s="292"/>
      <c r="E300" s="292"/>
      <c r="F300" s="292"/>
      <c r="G300" s="293"/>
      <c r="H300" s="293"/>
      <c r="I300" s="296"/>
      <c r="J300" s="296"/>
      <c r="K300" s="331"/>
      <c r="L300" s="331"/>
      <c r="M300" s="331"/>
      <c r="N300" s="294"/>
      <c r="O300" s="294"/>
      <c r="P300" s="331"/>
      <c r="Q300" s="333"/>
      <c r="R300" s="333"/>
      <c r="S300" s="333"/>
      <c r="T300" s="333"/>
      <c r="U300" s="295"/>
      <c r="V300" s="295"/>
      <c r="W300" s="296"/>
      <c r="X300" s="296"/>
      <c r="Y300" s="296"/>
      <c r="Z300" s="296"/>
      <c r="AA300" s="294"/>
      <c r="AB300" s="294"/>
      <c r="AC300" s="294"/>
      <c r="AD300" s="294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</row>
    <row r="301" spans="1:46" ht="16.5" customHeight="1">
      <c r="A301" s="432"/>
      <c r="B301" s="316"/>
      <c r="C301" s="331"/>
      <c r="D301" s="292"/>
      <c r="E301" s="292"/>
      <c r="F301" s="292"/>
      <c r="G301" s="293"/>
      <c r="H301" s="293"/>
      <c r="I301" s="296"/>
      <c r="J301" s="296"/>
      <c r="K301" s="331"/>
      <c r="L301" s="331"/>
      <c r="M301" s="331"/>
      <c r="N301" s="294"/>
      <c r="O301" s="294"/>
      <c r="P301" s="331"/>
      <c r="Q301" s="333"/>
      <c r="R301" s="333"/>
      <c r="S301" s="333"/>
      <c r="T301" s="333"/>
      <c r="U301" s="295"/>
      <c r="V301" s="295"/>
      <c r="W301" s="296"/>
      <c r="X301" s="296"/>
      <c r="Y301" s="296"/>
      <c r="Z301" s="296"/>
      <c r="AA301" s="294"/>
      <c r="AB301" s="294"/>
      <c r="AC301" s="294"/>
      <c r="AD301" s="294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  <c r="AT301" s="200"/>
    </row>
    <row r="302" spans="1:46" ht="16.5" customHeight="1">
      <c r="A302" s="432"/>
      <c r="B302" s="316"/>
      <c r="C302" s="331"/>
      <c r="D302" s="292"/>
      <c r="E302" s="292"/>
      <c r="F302" s="292"/>
      <c r="G302" s="293"/>
      <c r="H302" s="293"/>
      <c r="I302" s="296"/>
      <c r="J302" s="296"/>
      <c r="K302" s="331"/>
      <c r="L302" s="331"/>
      <c r="M302" s="331"/>
      <c r="N302" s="294"/>
      <c r="O302" s="294"/>
      <c r="P302" s="331"/>
      <c r="Q302" s="333"/>
      <c r="R302" s="333"/>
      <c r="S302" s="333"/>
      <c r="T302" s="333"/>
      <c r="U302" s="295"/>
      <c r="V302" s="295"/>
      <c r="W302" s="296"/>
      <c r="X302" s="296"/>
      <c r="Y302" s="296"/>
      <c r="Z302" s="296"/>
      <c r="AA302" s="294"/>
      <c r="AB302" s="294"/>
      <c r="AC302" s="294"/>
      <c r="AD302" s="294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  <c r="AT302" s="200"/>
    </row>
    <row r="303" spans="1:46" ht="16.5" customHeight="1">
      <c r="A303" s="432"/>
      <c r="B303" s="316"/>
      <c r="C303" s="331"/>
      <c r="D303" s="292"/>
      <c r="E303" s="292"/>
      <c r="F303" s="292"/>
      <c r="G303" s="293"/>
      <c r="H303" s="293"/>
      <c r="I303" s="296"/>
      <c r="J303" s="296"/>
      <c r="K303" s="331"/>
      <c r="L303" s="331"/>
      <c r="M303" s="331"/>
      <c r="N303" s="294"/>
      <c r="O303" s="294"/>
      <c r="P303" s="331"/>
      <c r="Q303" s="333"/>
      <c r="R303" s="333"/>
      <c r="S303" s="333"/>
      <c r="T303" s="333"/>
      <c r="U303" s="295"/>
      <c r="V303" s="295"/>
      <c r="W303" s="296"/>
      <c r="X303" s="296"/>
      <c r="Y303" s="296"/>
      <c r="Z303" s="296"/>
      <c r="AA303" s="294"/>
      <c r="AB303" s="294"/>
      <c r="AC303" s="294"/>
      <c r="AD303" s="294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</row>
    <row r="304" spans="1:46" ht="16.5" customHeight="1">
      <c r="A304" s="432"/>
      <c r="B304" s="316"/>
      <c r="C304" s="331"/>
      <c r="D304" s="292"/>
      <c r="E304" s="292"/>
      <c r="F304" s="292"/>
      <c r="G304" s="293"/>
      <c r="H304" s="293"/>
      <c r="I304" s="296"/>
      <c r="J304" s="296"/>
      <c r="K304" s="331"/>
      <c r="L304" s="331"/>
      <c r="M304" s="331"/>
      <c r="N304" s="294"/>
      <c r="O304" s="294"/>
      <c r="P304" s="331"/>
      <c r="Q304" s="333"/>
      <c r="R304" s="333"/>
      <c r="S304" s="333"/>
      <c r="T304" s="333"/>
      <c r="U304" s="295"/>
      <c r="V304" s="295"/>
      <c r="W304" s="296"/>
      <c r="X304" s="296"/>
      <c r="Y304" s="296"/>
      <c r="Z304" s="296"/>
      <c r="AA304" s="294"/>
      <c r="AB304" s="294"/>
      <c r="AC304" s="294"/>
      <c r="AD304" s="294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  <c r="AT304" s="200"/>
    </row>
    <row r="305" spans="1:46" ht="16.5" customHeight="1">
      <c r="A305" s="432"/>
      <c r="B305" s="316"/>
      <c r="C305" s="331"/>
      <c r="D305" s="292"/>
      <c r="E305" s="292"/>
      <c r="F305" s="292"/>
      <c r="G305" s="293"/>
      <c r="H305" s="293"/>
      <c r="I305" s="296"/>
      <c r="J305" s="296"/>
      <c r="K305" s="331"/>
      <c r="L305" s="331"/>
      <c r="M305" s="331"/>
      <c r="N305" s="294"/>
      <c r="O305" s="294"/>
      <c r="P305" s="331"/>
      <c r="Q305" s="333"/>
      <c r="R305" s="333"/>
      <c r="S305" s="333"/>
      <c r="T305" s="333"/>
      <c r="U305" s="295"/>
      <c r="V305" s="295"/>
      <c r="W305" s="296"/>
      <c r="X305" s="296"/>
      <c r="Y305" s="296"/>
      <c r="Z305" s="296"/>
      <c r="AA305" s="294"/>
      <c r="AB305" s="294"/>
      <c r="AC305" s="294"/>
      <c r="AD305" s="294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200"/>
      <c r="AQ305" s="200"/>
      <c r="AR305" s="200"/>
      <c r="AS305" s="200"/>
      <c r="AT305" s="200"/>
    </row>
    <row r="306" spans="1:46" ht="16.5" customHeight="1">
      <c r="A306" s="432"/>
      <c r="B306" s="316"/>
      <c r="C306" s="331"/>
      <c r="D306" s="292"/>
      <c r="E306" s="292"/>
      <c r="F306" s="292"/>
      <c r="G306" s="293"/>
      <c r="H306" s="293"/>
      <c r="I306" s="296"/>
      <c r="J306" s="296"/>
      <c r="K306" s="331"/>
      <c r="L306" s="331"/>
      <c r="M306" s="331"/>
      <c r="N306" s="294"/>
      <c r="O306" s="294"/>
      <c r="P306" s="331"/>
      <c r="Q306" s="333"/>
      <c r="R306" s="333"/>
      <c r="S306" s="333"/>
      <c r="T306" s="333"/>
      <c r="U306" s="295"/>
      <c r="V306" s="295"/>
      <c r="W306" s="296"/>
      <c r="X306" s="296"/>
      <c r="Y306" s="296"/>
      <c r="Z306" s="296"/>
      <c r="AA306" s="294"/>
      <c r="AB306" s="294"/>
      <c r="AC306" s="294"/>
      <c r="AD306" s="294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</row>
    <row r="307" spans="1:46" ht="16.5" customHeight="1">
      <c r="A307" s="422"/>
      <c r="B307" s="270"/>
      <c r="C307" s="293"/>
      <c r="D307" s="292"/>
      <c r="E307" s="292"/>
      <c r="F307" s="292"/>
      <c r="G307" s="346"/>
      <c r="H307" s="346"/>
      <c r="I307" s="296"/>
      <c r="J307" s="296"/>
      <c r="K307" s="331"/>
      <c r="L307" s="331"/>
      <c r="M307" s="331"/>
      <c r="N307" s="294"/>
      <c r="O307" s="294"/>
      <c r="P307" s="331"/>
      <c r="Q307" s="333"/>
      <c r="R307" s="333"/>
      <c r="S307" s="333"/>
      <c r="T307" s="333"/>
      <c r="U307" s="295"/>
      <c r="V307" s="295"/>
      <c r="W307" s="296"/>
      <c r="X307" s="296"/>
      <c r="Y307" s="296"/>
      <c r="Z307" s="296"/>
      <c r="AA307" s="294"/>
      <c r="AB307" s="294"/>
      <c r="AC307" s="294"/>
      <c r="AD307" s="294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200"/>
      <c r="AQ307" s="200"/>
      <c r="AR307" s="200"/>
      <c r="AS307" s="200"/>
      <c r="AT307" s="200"/>
    </row>
    <row r="308" spans="1:46" ht="16.5" customHeight="1">
      <c r="A308" s="432"/>
      <c r="B308" s="316"/>
      <c r="C308" s="331"/>
      <c r="D308" s="292"/>
      <c r="E308" s="292"/>
      <c r="F308" s="292"/>
      <c r="G308" s="293"/>
      <c r="H308" s="293"/>
      <c r="I308" s="296"/>
      <c r="J308" s="296"/>
      <c r="K308" s="331"/>
      <c r="L308" s="331"/>
      <c r="M308" s="331"/>
      <c r="N308" s="294"/>
      <c r="O308" s="294"/>
      <c r="P308" s="331"/>
      <c r="Q308" s="333"/>
      <c r="R308" s="333"/>
      <c r="S308" s="333"/>
      <c r="T308" s="333"/>
      <c r="U308" s="295"/>
      <c r="V308" s="295"/>
      <c r="W308" s="296"/>
      <c r="X308" s="296"/>
      <c r="Y308" s="296"/>
      <c r="Z308" s="296"/>
      <c r="AA308" s="294"/>
      <c r="AB308" s="294"/>
      <c r="AC308" s="294"/>
      <c r="AD308" s="294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  <c r="AT308" s="200"/>
    </row>
    <row r="309" spans="1:46" ht="16.5" customHeight="1">
      <c r="A309" s="422"/>
      <c r="B309" s="216"/>
      <c r="C309" s="293"/>
      <c r="D309" s="336"/>
      <c r="E309" s="336"/>
      <c r="F309" s="336"/>
      <c r="G309" s="293"/>
      <c r="H309" s="293"/>
      <c r="I309" s="296"/>
      <c r="J309" s="296"/>
      <c r="K309" s="291"/>
      <c r="L309" s="347"/>
      <c r="M309" s="347"/>
      <c r="N309" s="294"/>
      <c r="O309" s="294"/>
      <c r="P309" s="291"/>
      <c r="Q309" s="333"/>
      <c r="R309" s="333"/>
      <c r="S309" s="333"/>
      <c r="T309" s="333"/>
      <c r="U309" s="295"/>
      <c r="V309" s="295"/>
      <c r="W309" s="296"/>
      <c r="X309" s="45"/>
      <c r="Y309" s="45"/>
      <c r="Z309" s="349"/>
      <c r="AA309" s="294"/>
      <c r="AB309" s="294"/>
      <c r="AC309" s="294"/>
      <c r="AD309" s="294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  <c r="AT309" s="200"/>
    </row>
    <row r="310" spans="1:46" ht="16.5" customHeight="1">
      <c r="A310" s="432"/>
      <c r="B310" s="316"/>
      <c r="C310" s="331"/>
      <c r="D310" s="292"/>
      <c r="E310" s="292"/>
      <c r="F310" s="292"/>
      <c r="G310" s="293"/>
      <c r="H310" s="293"/>
      <c r="I310" s="296"/>
      <c r="J310" s="296"/>
      <c r="K310" s="331"/>
      <c r="L310" s="331"/>
      <c r="M310" s="331"/>
      <c r="N310" s="294"/>
      <c r="O310" s="294"/>
      <c r="P310" s="331"/>
      <c r="Q310" s="333"/>
      <c r="R310" s="333"/>
      <c r="S310" s="333"/>
      <c r="T310" s="333"/>
      <c r="U310" s="295"/>
      <c r="V310" s="295"/>
      <c r="W310" s="296"/>
      <c r="X310" s="296"/>
      <c r="Y310" s="296"/>
      <c r="Z310" s="296"/>
      <c r="AA310" s="294"/>
      <c r="AB310" s="294"/>
      <c r="AC310" s="294"/>
      <c r="AD310" s="294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</row>
    <row r="311" spans="1:46" ht="16.5" customHeight="1">
      <c r="A311" s="432"/>
      <c r="B311" s="316"/>
      <c r="C311" s="331"/>
      <c r="D311" s="292"/>
      <c r="E311" s="292"/>
      <c r="F311" s="292"/>
      <c r="G311" s="293"/>
      <c r="H311" s="293"/>
      <c r="I311" s="296"/>
      <c r="J311" s="296"/>
      <c r="K311" s="331"/>
      <c r="L311" s="331"/>
      <c r="M311" s="331"/>
      <c r="N311" s="294"/>
      <c r="O311" s="294"/>
      <c r="P311" s="331"/>
      <c r="Q311" s="333"/>
      <c r="R311" s="333"/>
      <c r="S311" s="333"/>
      <c r="T311" s="333"/>
      <c r="U311" s="295"/>
      <c r="V311" s="295"/>
      <c r="W311" s="296"/>
      <c r="X311" s="296"/>
      <c r="Y311" s="296"/>
      <c r="Z311" s="296"/>
      <c r="AA311" s="294"/>
      <c r="AB311" s="294"/>
      <c r="AC311" s="294"/>
      <c r="AD311" s="294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200"/>
      <c r="AQ311" s="200"/>
      <c r="AR311" s="200"/>
      <c r="AS311" s="200"/>
      <c r="AT311" s="200"/>
    </row>
    <row r="312" spans="1:46" ht="16.5" customHeight="1">
      <c r="A312" s="432"/>
      <c r="B312" s="316"/>
      <c r="C312" s="331"/>
      <c r="D312" s="292"/>
      <c r="E312" s="292"/>
      <c r="F312" s="292"/>
      <c r="G312" s="293"/>
      <c r="H312" s="293"/>
      <c r="I312" s="296"/>
      <c r="J312" s="296"/>
      <c r="K312" s="331"/>
      <c r="L312" s="331"/>
      <c r="M312" s="331"/>
      <c r="N312" s="294"/>
      <c r="O312" s="294"/>
      <c r="P312" s="331"/>
      <c r="Q312" s="333"/>
      <c r="R312" s="333"/>
      <c r="S312" s="333"/>
      <c r="T312" s="333"/>
      <c r="U312" s="295"/>
      <c r="V312" s="295"/>
      <c r="W312" s="296"/>
      <c r="X312" s="296"/>
      <c r="Y312" s="296"/>
      <c r="Z312" s="296"/>
      <c r="AA312" s="294"/>
      <c r="AB312" s="294"/>
      <c r="AC312" s="294"/>
      <c r="AD312" s="294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200"/>
      <c r="AQ312" s="200"/>
      <c r="AR312" s="200"/>
      <c r="AS312" s="200"/>
      <c r="AT312" s="200"/>
    </row>
    <row r="313" spans="1:46" ht="16.5" customHeight="1">
      <c r="A313" s="432"/>
      <c r="B313" s="316"/>
      <c r="C313" s="331"/>
      <c r="D313" s="292"/>
      <c r="E313" s="292"/>
      <c r="F313" s="292"/>
      <c r="G313" s="293"/>
      <c r="H313" s="293"/>
      <c r="I313" s="296"/>
      <c r="J313" s="296"/>
      <c r="K313" s="331"/>
      <c r="L313" s="331"/>
      <c r="M313" s="331"/>
      <c r="N313" s="294"/>
      <c r="O313" s="294"/>
      <c r="P313" s="331"/>
      <c r="Q313" s="333"/>
      <c r="R313" s="333"/>
      <c r="S313" s="333"/>
      <c r="T313" s="333"/>
      <c r="U313" s="295"/>
      <c r="V313" s="295"/>
      <c r="W313" s="296"/>
      <c r="X313" s="296"/>
      <c r="Y313" s="296"/>
      <c r="Z313" s="296"/>
      <c r="AA313" s="294"/>
      <c r="AB313" s="294"/>
      <c r="AC313" s="294"/>
      <c r="AD313" s="294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200"/>
      <c r="AQ313" s="200"/>
      <c r="AR313" s="200"/>
      <c r="AS313" s="200"/>
      <c r="AT313" s="200"/>
    </row>
    <row r="314" spans="1:46" ht="16.5" customHeight="1">
      <c r="A314" s="432"/>
      <c r="B314" s="316"/>
      <c r="C314" s="331"/>
      <c r="D314" s="292"/>
      <c r="E314" s="292"/>
      <c r="F314" s="292"/>
      <c r="G314" s="293"/>
      <c r="H314" s="293"/>
      <c r="I314" s="296"/>
      <c r="J314" s="296"/>
      <c r="K314" s="331"/>
      <c r="L314" s="331"/>
      <c r="M314" s="331"/>
      <c r="N314" s="294"/>
      <c r="O314" s="294"/>
      <c r="P314" s="331"/>
      <c r="Q314" s="333"/>
      <c r="R314" s="333"/>
      <c r="S314" s="333"/>
      <c r="T314" s="333"/>
      <c r="U314" s="295"/>
      <c r="V314" s="295"/>
      <c r="W314" s="296"/>
      <c r="X314" s="296"/>
      <c r="Y314" s="296"/>
      <c r="Z314" s="296"/>
      <c r="AA314" s="294"/>
      <c r="AB314" s="294"/>
      <c r="AC314" s="294"/>
      <c r="AD314" s="294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200"/>
      <c r="AQ314" s="200"/>
      <c r="AR314" s="200"/>
      <c r="AS314" s="200"/>
      <c r="AT314" s="200"/>
    </row>
    <row r="315" spans="1:46" ht="16.5" customHeight="1">
      <c r="A315" s="432"/>
      <c r="B315" s="307"/>
      <c r="C315" s="291"/>
      <c r="D315" s="291"/>
      <c r="E315" s="291"/>
      <c r="F315" s="291"/>
      <c r="G315" s="293"/>
      <c r="H315" s="293"/>
      <c r="I315" s="296"/>
      <c r="J315" s="296"/>
      <c r="K315" s="291"/>
      <c r="L315" s="291"/>
      <c r="M315" s="291"/>
      <c r="N315" s="294"/>
      <c r="O315" s="294"/>
      <c r="P315" s="291"/>
      <c r="Q315" s="350"/>
      <c r="R315" s="350"/>
      <c r="S315" s="333"/>
      <c r="T315" s="350"/>
      <c r="U315" s="295"/>
      <c r="V315" s="295"/>
      <c r="W315" s="296"/>
      <c r="X315" s="351"/>
      <c r="Y315" s="351"/>
      <c r="Z315" s="351"/>
      <c r="AA315" s="294"/>
      <c r="AB315" s="294"/>
      <c r="AC315" s="294"/>
      <c r="AD315" s="298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</row>
    <row r="316" spans="1:46" ht="16.5" customHeight="1">
      <c r="A316" s="422"/>
      <c r="B316" s="216"/>
      <c r="C316" s="217"/>
      <c r="D316" s="176"/>
      <c r="E316" s="176"/>
      <c r="F316" s="176"/>
      <c r="G316" s="162"/>
      <c r="H316" s="162"/>
      <c r="I316" s="218"/>
      <c r="J316" s="218"/>
      <c r="K316" s="219"/>
      <c r="L316" s="219"/>
      <c r="M316" s="219"/>
      <c r="N316" s="45"/>
      <c r="O316" s="45"/>
      <c r="P316" s="217"/>
      <c r="Q316" s="220"/>
      <c r="R316" s="220"/>
      <c r="S316" s="213"/>
      <c r="T316" s="220"/>
      <c r="U316" s="221"/>
      <c r="V316" s="213"/>
      <c r="W316" s="218"/>
      <c r="X316" s="218"/>
      <c r="Y316" s="218"/>
      <c r="Z316" s="218"/>
      <c r="AA316" s="219"/>
      <c r="AB316" s="219"/>
      <c r="AC316" s="219"/>
      <c r="AD316" s="45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  <c r="AT316" s="200"/>
    </row>
    <row r="317" spans="1:46" ht="16.5" customHeight="1">
      <c r="A317" s="422"/>
      <c r="B317" s="212"/>
      <c r="C317" s="217"/>
      <c r="D317" s="176"/>
      <c r="E317" s="176"/>
      <c r="F317" s="176"/>
      <c r="G317" s="162"/>
      <c r="H317" s="162"/>
      <c r="I317" s="218"/>
      <c r="J317" s="218"/>
      <c r="K317" s="219"/>
      <c r="L317" s="219"/>
      <c r="M317" s="219"/>
      <c r="N317" s="45"/>
      <c r="O317" s="45"/>
      <c r="P317" s="217"/>
      <c r="Q317" s="352"/>
      <c r="R317" s="352"/>
      <c r="S317" s="353"/>
      <c r="T317" s="220"/>
      <c r="U317" s="221"/>
      <c r="V317" s="353"/>
      <c r="W317" s="218"/>
      <c r="X317" s="218"/>
      <c r="Y317" s="218"/>
      <c r="Z317" s="200"/>
      <c r="AA317" s="219"/>
      <c r="AB317" s="219"/>
      <c r="AC317" s="219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200"/>
      <c r="AQ317" s="200"/>
      <c r="AR317" s="200"/>
      <c r="AS317" s="200"/>
      <c r="AT317" s="200"/>
    </row>
    <row r="318" spans="1:46" ht="16.5" customHeight="1">
      <c r="A318" s="432"/>
      <c r="B318" s="307"/>
      <c r="C318" s="217"/>
      <c r="D318" s="176"/>
      <c r="E318" s="176"/>
      <c r="F318" s="176"/>
      <c r="G318" s="162"/>
      <c r="H318" s="162"/>
      <c r="I318" s="218"/>
      <c r="J318" s="218"/>
      <c r="K318" s="219"/>
      <c r="L318" s="219"/>
      <c r="M318" s="219"/>
      <c r="N318" s="45"/>
      <c r="O318" s="45"/>
      <c r="P318" s="217"/>
      <c r="Q318" s="352"/>
      <c r="R318" s="352"/>
      <c r="S318" s="353"/>
      <c r="T318" s="220"/>
      <c r="U318" s="221"/>
      <c r="V318" s="353"/>
      <c r="W318" s="218"/>
      <c r="X318" s="218"/>
      <c r="Y318" s="218"/>
      <c r="Z318" s="200"/>
      <c r="AA318" s="354"/>
      <c r="AB318" s="200"/>
      <c r="AC318" s="354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200"/>
      <c r="AQ318" s="200"/>
      <c r="AR318" s="200"/>
      <c r="AS318" s="200"/>
      <c r="AT318" s="200"/>
    </row>
    <row r="319" spans="1:46" ht="16.5" customHeight="1">
      <c r="A319" s="432"/>
      <c r="B319" s="307"/>
      <c r="C319" s="217"/>
      <c r="D319" s="176"/>
      <c r="E319" s="176"/>
      <c r="F319" s="176"/>
      <c r="G319" s="162"/>
      <c r="H319" s="162"/>
      <c r="I319" s="218"/>
      <c r="J319" s="218"/>
      <c r="K319" s="219"/>
      <c r="L319" s="219"/>
      <c r="M319" s="219"/>
      <c r="N319" s="45"/>
      <c r="O319" s="45"/>
      <c r="P319" s="217"/>
      <c r="Q319" s="352"/>
      <c r="R319" s="352"/>
      <c r="S319" s="353"/>
      <c r="T319" s="220"/>
      <c r="U319" s="221"/>
      <c r="V319" s="353"/>
      <c r="W319" s="218"/>
      <c r="X319" s="218"/>
      <c r="Y319" s="218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200"/>
      <c r="AQ319" s="200"/>
      <c r="AR319" s="200"/>
      <c r="AS319" s="200"/>
      <c r="AT319" s="200"/>
    </row>
    <row r="320" spans="1:46" ht="16.5" customHeight="1">
      <c r="A320" s="432"/>
      <c r="B320" s="307"/>
      <c r="C320" s="355"/>
      <c r="D320" s="356"/>
      <c r="E320" s="356"/>
      <c r="F320" s="356"/>
      <c r="G320" s="357"/>
      <c r="H320" s="357"/>
      <c r="I320" s="200"/>
      <c r="J320" s="200"/>
      <c r="K320" s="355"/>
      <c r="L320" s="355"/>
      <c r="M320" s="355"/>
      <c r="N320" s="200"/>
      <c r="O320" s="200"/>
      <c r="P320" s="355"/>
      <c r="Q320" s="352"/>
      <c r="R320" s="352"/>
      <c r="S320" s="353"/>
      <c r="T320" s="352"/>
      <c r="U320" s="353"/>
      <c r="V320" s="353"/>
      <c r="W320" s="200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  <c r="AT320" s="200"/>
    </row>
    <row r="321" spans="1:46" ht="16.5" customHeight="1">
      <c r="A321" s="432"/>
      <c r="B321" s="307"/>
      <c r="C321" s="355"/>
      <c r="D321" s="356"/>
      <c r="E321" s="356"/>
      <c r="F321" s="356"/>
      <c r="G321" s="357"/>
      <c r="H321" s="357"/>
      <c r="I321" s="200"/>
      <c r="J321" s="200"/>
      <c r="K321" s="355"/>
      <c r="L321" s="355"/>
      <c r="M321" s="355"/>
      <c r="N321" s="200"/>
      <c r="O321" s="200"/>
      <c r="P321" s="355"/>
      <c r="Q321" s="352"/>
      <c r="R321" s="352"/>
      <c r="S321" s="353"/>
      <c r="T321" s="352"/>
      <c r="U321" s="353"/>
      <c r="V321" s="353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200"/>
      <c r="AQ321" s="200"/>
      <c r="AR321" s="200"/>
      <c r="AS321" s="200"/>
      <c r="AT321" s="200"/>
    </row>
    <row r="322" spans="1:46" ht="16.5" customHeight="1">
      <c r="A322" s="432"/>
      <c r="B322" s="307"/>
      <c r="C322" s="355"/>
      <c r="D322" s="356"/>
      <c r="E322" s="356"/>
      <c r="F322" s="356"/>
      <c r="G322" s="357"/>
      <c r="H322" s="357"/>
      <c r="I322" s="200"/>
      <c r="J322" s="200"/>
      <c r="K322" s="355"/>
      <c r="L322" s="355"/>
      <c r="M322" s="355"/>
      <c r="N322" s="200"/>
      <c r="O322" s="200"/>
      <c r="P322" s="355"/>
      <c r="Q322" s="352"/>
      <c r="R322" s="352"/>
      <c r="S322" s="353"/>
      <c r="T322" s="352"/>
      <c r="U322" s="353"/>
      <c r="V322" s="353"/>
      <c r="W322" s="200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200"/>
      <c r="AQ322" s="200"/>
      <c r="AR322" s="200"/>
      <c r="AS322" s="200"/>
      <c r="AT322" s="200"/>
    </row>
    <row r="323" spans="1:46" ht="16.5" customHeight="1">
      <c r="A323" s="432"/>
      <c r="B323" s="307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353"/>
      <c r="R323" s="353"/>
      <c r="S323" s="353"/>
      <c r="T323" s="353"/>
      <c r="U323" s="353"/>
      <c r="V323" s="353"/>
      <c r="W323" s="200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  <c r="AT323" s="200"/>
    </row>
    <row r="324" spans="1:46" ht="16.5" customHeight="1">
      <c r="A324" s="422"/>
      <c r="B324" s="195"/>
      <c r="C324" s="217"/>
      <c r="D324" s="176"/>
      <c r="E324" s="176"/>
      <c r="F324" s="176"/>
      <c r="G324" s="162"/>
      <c r="H324" s="162"/>
      <c r="I324" s="218"/>
      <c r="J324" s="218"/>
      <c r="K324" s="219"/>
      <c r="L324" s="33"/>
      <c r="M324" s="33"/>
      <c r="N324" s="45"/>
      <c r="O324" s="45"/>
      <c r="P324" s="217"/>
      <c r="Q324" s="220"/>
      <c r="R324" s="220"/>
      <c r="S324" s="213"/>
      <c r="T324" s="220"/>
      <c r="U324" s="221"/>
      <c r="V324" s="213"/>
      <c r="W324" s="218"/>
      <c r="X324" s="218"/>
      <c r="Y324" s="218"/>
      <c r="Z324" s="218"/>
      <c r="AA324" s="219"/>
      <c r="AB324" s="219"/>
      <c r="AC324" s="219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200"/>
      <c r="AQ324" s="200"/>
      <c r="AR324" s="200"/>
      <c r="AS324" s="200"/>
      <c r="AT324" s="200"/>
    </row>
    <row r="325" spans="1:46" ht="16.5" customHeight="1">
      <c r="A325" s="422"/>
      <c r="B325" s="195"/>
      <c r="C325" s="217"/>
      <c r="D325" s="176"/>
      <c r="E325" s="176"/>
      <c r="F325" s="176"/>
      <c r="G325" s="162"/>
      <c r="H325" s="162"/>
      <c r="I325" s="219"/>
      <c r="J325" s="219"/>
      <c r="K325" s="219"/>
      <c r="L325" s="33"/>
      <c r="M325" s="33"/>
      <c r="N325" s="45"/>
      <c r="O325" s="45"/>
      <c r="P325" s="217"/>
      <c r="Q325" s="352"/>
      <c r="R325" s="352"/>
      <c r="S325" s="353"/>
      <c r="T325" s="220"/>
      <c r="U325" s="221"/>
      <c r="V325" s="213"/>
      <c r="W325" s="219"/>
      <c r="X325" s="218"/>
      <c r="Y325" s="218"/>
      <c r="Z325" s="200"/>
      <c r="AA325" s="219"/>
      <c r="AB325" s="219"/>
      <c r="AC325" s="219"/>
      <c r="AD325" s="200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200"/>
      <c r="AQ325" s="200"/>
      <c r="AR325" s="200"/>
      <c r="AS325" s="200"/>
      <c r="AT325" s="200"/>
    </row>
    <row r="326" spans="1:46" ht="16.5" customHeight="1">
      <c r="A326" s="432"/>
      <c r="B326" s="307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353"/>
      <c r="R326" s="353"/>
      <c r="S326" s="353"/>
      <c r="T326" s="353"/>
      <c r="U326" s="353"/>
      <c r="V326" s="353"/>
      <c r="W326" s="200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  <c r="AT326" s="200"/>
    </row>
    <row r="327" spans="1:46" ht="16.5" customHeight="1">
      <c r="A327" s="432"/>
      <c r="B327" s="307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353"/>
      <c r="R327" s="353"/>
      <c r="S327" s="353"/>
      <c r="T327" s="353"/>
      <c r="U327" s="353"/>
      <c r="V327" s="353"/>
      <c r="W327" s="200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  <c r="AT327" s="200"/>
    </row>
    <row r="328" spans="1:46" ht="16.5" customHeight="1">
      <c r="A328" s="432"/>
      <c r="B328" s="307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353"/>
      <c r="R328" s="353"/>
      <c r="S328" s="353"/>
      <c r="T328" s="353"/>
      <c r="U328" s="353"/>
      <c r="V328" s="353"/>
      <c r="W328" s="200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200"/>
      <c r="AQ328" s="200"/>
      <c r="AR328" s="200"/>
      <c r="AS328" s="200"/>
      <c r="AT328" s="200"/>
    </row>
    <row r="329" spans="1:46" ht="16.5" customHeight="1">
      <c r="A329" s="432"/>
      <c r="B329" s="307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353"/>
      <c r="R329" s="353"/>
      <c r="S329" s="353"/>
      <c r="T329" s="353"/>
      <c r="U329" s="353"/>
      <c r="V329" s="353"/>
      <c r="W329" s="200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200"/>
      <c r="AQ329" s="200"/>
      <c r="AR329" s="200"/>
      <c r="AS329" s="200"/>
      <c r="AT329" s="200"/>
    </row>
    <row r="330" spans="1:46" ht="16.5" customHeight="1">
      <c r="A330" s="422"/>
      <c r="B330" s="270"/>
      <c r="C330" s="291"/>
      <c r="D330" s="347"/>
      <c r="E330" s="347"/>
      <c r="F330" s="347"/>
      <c r="G330" s="346"/>
      <c r="H330" s="346"/>
      <c r="I330" s="296"/>
      <c r="J330" s="296"/>
      <c r="K330" s="291"/>
      <c r="L330" s="291"/>
      <c r="M330" s="291"/>
      <c r="N330" s="298"/>
      <c r="O330" s="298"/>
      <c r="P330" s="291"/>
      <c r="Q330" s="350"/>
      <c r="R330" s="350"/>
      <c r="S330" s="333"/>
      <c r="T330" s="350"/>
      <c r="U330" s="295"/>
      <c r="V330" s="295"/>
      <c r="W330" s="296"/>
      <c r="X330" s="351"/>
      <c r="Y330" s="351"/>
      <c r="Z330" s="351"/>
      <c r="AA330" s="294"/>
      <c r="AB330" s="298"/>
      <c r="AC330" s="294"/>
      <c r="AD330" s="298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  <c r="AT330" s="200"/>
    </row>
    <row r="331" spans="1:46" ht="16.5" customHeight="1">
      <c r="A331" s="432"/>
      <c r="B331" s="307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353"/>
      <c r="R331" s="353"/>
      <c r="S331" s="353"/>
      <c r="T331" s="353"/>
      <c r="U331" s="353"/>
      <c r="V331" s="353"/>
      <c r="W331" s="200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200"/>
      <c r="AQ331" s="200"/>
      <c r="AR331" s="200"/>
      <c r="AS331" s="200"/>
      <c r="AT331" s="200"/>
    </row>
    <row r="332" spans="1:46" ht="16.5" customHeight="1">
      <c r="A332" s="432"/>
      <c r="B332" s="307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353"/>
      <c r="R332" s="353"/>
      <c r="S332" s="353"/>
      <c r="T332" s="353"/>
      <c r="U332" s="353"/>
      <c r="V332" s="353"/>
      <c r="W332" s="200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200"/>
      <c r="AQ332" s="200"/>
      <c r="AR332" s="200"/>
      <c r="AS332" s="200"/>
      <c r="AT332" s="200"/>
    </row>
    <row r="333" spans="1:46" ht="16.5" customHeight="1">
      <c r="A333" s="432"/>
      <c r="B333" s="307"/>
      <c r="C333" s="355"/>
      <c r="D333" s="360"/>
      <c r="E333" s="360"/>
      <c r="F333" s="360"/>
      <c r="G333" s="200"/>
      <c r="H333" s="200"/>
      <c r="I333" s="217"/>
      <c r="J333" s="217"/>
      <c r="K333" s="355"/>
      <c r="L333" s="200"/>
      <c r="M333" s="200"/>
      <c r="N333" s="200"/>
      <c r="O333" s="200"/>
      <c r="P333" s="355"/>
      <c r="Q333" s="353"/>
      <c r="R333" s="353"/>
      <c r="S333" s="353"/>
      <c r="T333" s="353"/>
      <c r="U333" s="361"/>
      <c r="V333" s="353"/>
      <c r="W333" s="217"/>
      <c r="X333" s="200"/>
      <c r="Y333" s="200"/>
      <c r="Z333" s="200"/>
      <c r="AA333" s="200"/>
      <c r="AB333" s="355"/>
      <c r="AC333" s="200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200"/>
      <c r="AQ333" s="200"/>
      <c r="AR333" s="200"/>
      <c r="AS333" s="200"/>
      <c r="AT333" s="200"/>
    </row>
    <row r="334" spans="1:46" ht="16.5" customHeight="1">
      <c r="A334" s="432"/>
      <c r="B334" s="307"/>
      <c r="C334" s="355"/>
      <c r="D334" s="176"/>
      <c r="E334" s="176"/>
      <c r="F334" s="176"/>
      <c r="G334" s="355"/>
      <c r="H334" s="355"/>
      <c r="I334" s="200"/>
      <c r="J334" s="200"/>
      <c r="K334" s="355"/>
      <c r="L334" s="200"/>
      <c r="M334" s="200"/>
      <c r="N334" s="200"/>
      <c r="O334" s="200"/>
      <c r="P334" s="355"/>
      <c r="Q334" s="353"/>
      <c r="R334" s="353"/>
      <c r="S334" s="353"/>
      <c r="T334" s="353"/>
      <c r="U334" s="361"/>
      <c r="V334" s="353"/>
      <c r="W334" s="200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200"/>
      <c r="AQ334" s="200"/>
      <c r="AR334" s="200"/>
      <c r="AS334" s="200"/>
      <c r="AT334" s="200"/>
    </row>
    <row r="335" spans="1:46" ht="16.5" customHeight="1">
      <c r="A335" s="432"/>
      <c r="B335" s="307"/>
      <c r="C335" s="200"/>
      <c r="D335" s="360"/>
      <c r="E335" s="360"/>
      <c r="F335" s="360"/>
      <c r="G335" s="200"/>
      <c r="H335" s="200"/>
      <c r="I335" s="200"/>
      <c r="J335" s="200"/>
      <c r="K335" s="355"/>
      <c r="L335" s="200"/>
      <c r="M335" s="200"/>
      <c r="N335" s="200"/>
      <c r="O335" s="200"/>
      <c r="P335" s="355"/>
      <c r="Q335" s="353"/>
      <c r="R335" s="353"/>
      <c r="S335" s="353"/>
      <c r="T335" s="353"/>
      <c r="U335" s="361"/>
      <c r="V335" s="353"/>
      <c r="W335" s="200"/>
      <c r="X335" s="200"/>
      <c r="Y335" s="200"/>
      <c r="Z335" s="200"/>
      <c r="AA335" s="200"/>
      <c r="AB335" s="45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  <c r="AT335" s="200"/>
    </row>
    <row r="336" spans="1:46" ht="16.5" customHeight="1">
      <c r="A336" s="432"/>
      <c r="B336" s="307"/>
      <c r="C336" s="200"/>
      <c r="D336" s="360"/>
      <c r="E336" s="360"/>
      <c r="F336" s="360"/>
      <c r="G336" s="200"/>
      <c r="H336" s="200"/>
      <c r="I336" s="355"/>
      <c r="J336" s="355"/>
      <c r="K336" s="355"/>
      <c r="L336" s="360"/>
      <c r="M336" s="360"/>
      <c r="N336" s="200"/>
      <c r="O336" s="200"/>
      <c r="P336" s="355"/>
      <c r="Q336" s="352"/>
      <c r="R336" s="352"/>
      <c r="S336" s="353"/>
      <c r="T336" s="352"/>
      <c r="U336" s="362"/>
      <c r="V336" s="353"/>
      <c r="W336" s="355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  <c r="AT336" s="200"/>
    </row>
    <row r="337" spans="1:46" ht="16.5" customHeight="1">
      <c r="A337" s="432"/>
      <c r="B337" s="307"/>
      <c r="C337" s="200"/>
      <c r="D337" s="363"/>
      <c r="E337" s="363"/>
      <c r="F337" s="363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353"/>
      <c r="R337" s="353"/>
      <c r="S337" s="353"/>
      <c r="T337" s="353"/>
      <c r="U337" s="353"/>
      <c r="V337" s="353"/>
      <c r="W337" s="200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200"/>
      <c r="AQ337" s="200"/>
      <c r="AR337" s="200"/>
      <c r="AS337" s="200"/>
      <c r="AT337" s="200"/>
    </row>
    <row r="338" spans="1:46" ht="16.5" customHeight="1">
      <c r="A338" s="422"/>
      <c r="B338" s="212"/>
      <c r="C338" s="357"/>
      <c r="D338" s="356"/>
      <c r="E338" s="356"/>
      <c r="F338" s="356"/>
      <c r="G338" s="357"/>
      <c r="H338" s="357"/>
      <c r="I338" s="200"/>
      <c r="J338" s="200"/>
      <c r="K338" s="217"/>
      <c r="L338" s="360"/>
      <c r="M338" s="360"/>
      <c r="N338" s="200"/>
      <c r="O338" s="200"/>
      <c r="P338" s="355"/>
      <c r="Q338" s="353"/>
      <c r="R338" s="353"/>
      <c r="S338" s="353"/>
      <c r="T338" s="353"/>
      <c r="U338" s="353"/>
      <c r="V338" s="353"/>
      <c r="W338" s="200"/>
      <c r="X338" s="200"/>
      <c r="Y338" s="200"/>
      <c r="Z338" s="200"/>
      <c r="AA338" s="354"/>
      <c r="AB338" s="200"/>
      <c r="AC338" s="354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  <c r="AT338" s="200"/>
    </row>
    <row r="339" spans="1:46" ht="16.5" customHeight="1">
      <c r="A339" s="432"/>
      <c r="B339" s="307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353"/>
      <c r="R339" s="353"/>
      <c r="S339" s="353"/>
      <c r="T339" s="353"/>
      <c r="U339" s="353"/>
      <c r="V339" s="353"/>
      <c r="W339" s="200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200"/>
      <c r="AQ339" s="200"/>
      <c r="AR339" s="200"/>
      <c r="AS339" s="200"/>
      <c r="AT339" s="200"/>
    </row>
    <row r="340" spans="1:46" ht="16.5" customHeight="1">
      <c r="A340" s="422"/>
      <c r="B340" s="212"/>
      <c r="C340" s="45"/>
      <c r="D340" s="364"/>
      <c r="E340" s="364"/>
      <c r="F340" s="364"/>
      <c r="G340" s="355"/>
      <c r="H340" s="355"/>
      <c r="I340" s="200"/>
      <c r="J340" s="200"/>
      <c r="K340" s="217"/>
      <c r="L340" s="363"/>
      <c r="M340" s="363"/>
      <c r="N340" s="200"/>
      <c r="O340" s="200"/>
      <c r="P340" s="355"/>
      <c r="Q340" s="353"/>
      <c r="R340" s="353"/>
      <c r="S340" s="353"/>
      <c r="T340" s="353"/>
      <c r="U340" s="353"/>
      <c r="V340" s="353"/>
      <c r="W340" s="200"/>
      <c r="X340" s="200"/>
      <c r="Y340" s="200"/>
      <c r="Z340" s="200"/>
      <c r="AA340" s="354"/>
      <c r="AB340" s="355"/>
      <c r="AC340" s="354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200"/>
      <c r="AQ340" s="200"/>
      <c r="AR340" s="200"/>
      <c r="AS340" s="200"/>
      <c r="AT340" s="200"/>
    </row>
    <row r="341" spans="1:46" ht="16.5" customHeight="1">
      <c r="A341" s="422"/>
      <c r="B341" s="212"/>
      <c r="C341" s="200"/>
      <c r="D341" s="200"/>
      <c r="E341" s="200"/>
      <c r="F341" s="200"/>
      <c r="G341" s="355"/>
      <c r="H341" s="355"/>
      <c r="I341" s="355"/>
      <c r="J341" s="355"/>
      <c r="K341" s="355"/>
      <c r="L341" s="200"/>
      <c r="M341" s="200"/>
      <c r="N341" s="200"/>
      <c r="O341" s="200"/>
      <c r="P341" s="355"/>
      <c r="Q341" s="353"/>
      <c r="R341" s="353"/>
      <c r="S341" s="353"/>
      <c r="T341" s="353"/>
      <c r="U341" s="353"/>
      <c r="V341" s="353"/>
      <c r="W341" s="355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  <c r="AT341" s="200"/>
    </row>
    <row r="342" spans="1:46" ht="16.5" customHeight="1">
      <c r="A342" s="422"/>
      <c r="B342" s="212"/>
      <c r="C342" s="200"/>
      <c r="D342" s="200"/>
      <c r="E342" s="200"/>
      <c r="F342" s="200"/>
      <c r="G342" s="355"/>
      <c r="H342" s="355"/>
      <c r="I342" s="200"/>
      <c r="J342" s="200"/>
      <c r="K342" s="355"/>
      <c r="L342" s="200"/>
      <c r="M342" s="200"/>
      <c r="N342" s="200"/>
      <c r="O342" s="200"/>
      <c r="P342" s="200"/>
      <c r="Q342" s="353"/>
      <c r="R342" s="353"/>
      <c r="S342" s="353"/>
      <c r="T342" s="353"/>
      <c r="U342" s="353"/>
      <c r="V342" s="353"/>
      <c r="W342" s="200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200"/>
      <c r="AQ342" s="200"/>
      <c r="AR342" s="200"/>
      <c r="AS342" s="200"/>
      <c r="AT342" s="200"/>
    </row>
    <row r="343" spans="1:46" ht="16.5" customHeight="1">
      <c r="A343" s="432"/>
      <c r="B343" s="307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353"/>
      <c r="R343" s="353"/>
      <c r="S343" s="353"/>
      <c r="T343" s="353"/>
      <c r="U343" s="353"/>
      <c r="V343" s="353"/>
      <c r="W343" s="200"/>
      <c r="X343" s="365"/>
      <c r="Y343" s="365"/>
      <c r="Z343" s="365"/>
      <c r="AA343" s="45"/>
      <c r="AB343" s="200"/>
      <c r="AC343" s="45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200"/>
      <c r="AQ343" s="200"/>
      <c r="AR343" s="200"/>
      <c r="AS343" s="200"/>
      <c r="AT343" s="200"/>
    </row>
    <row r="344" spans="1:46" ht="16.5" customHeight="1">
      <c r="A344" s="432"/>
      <c r="B344" s="307"/>
      <c r="C344" s="200"/>
      <c r="D344" s="200"/>
      <c r="E344" s="200"/>
      <c r="F344" s="200"/>
      <c r="G344" s="357"/>
      <c r="H344" s="357"/>
      <c r="I344" s="200"/>
      <c r="J344" s="200"/>
      <c r="K344" s="200"/>
      <c r="L344" s="200"/>
      <c r="M344" s="200"/>
      <c r="N344" s="200"/>
      <c r="O344" s="200"/>
      <c r="P344" s="200"/>
      <c r="Q344" s="353"/>
      <c r="R344" s="353"/>
      <c r="S344" s="353"/>
      <c r="T344" s="353"/>
      <c r="U344" s="353"/>
      <c r="V344" s="353"/>
      <c r="W344" s="200"/>
      <c r="X344" s="200"/>
      <c r="Y344" s="200"/>
      <c r="Z344" s="200"/>
      <c r="AA344" s="354"/>
      <c r="AB344" s="200"/>
      <c r="AC344" s="354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200"/>
      <c r="AQ344" s="200"/>
      <c r="AR344" s="200"/>
      <c r="AS344" s="200"/>
      <c r="AT344" s="200"/>
    </row>
    <row r="345" spans="1:46" ht="16.5" customHeight="1">
      <c r="A345" s="432"/>
      <c r="B345" s="307"/>
      <c r="C345" s="355"/>
      <c r="D345" s="360"/>
      <c r="E345" s="360"/>
      <c r="F345" s="360"/>
      <c r="G345" s="200"/>
      <c r="H345" s="200"/>
      <c r="I345" s="200"/>
      <c r="J345" s="200"/>
      <c r="K345" s="355"/>
      <c r="L345" s="200"/>
      <c r="M345" s="200"/>
      <c r="N345" s="200"/>
      <c r="O345" s="200"/>
      <c r="P345" s="355"/>
      <c r="Q345" s="353"/>
      <c r="R345" s="353"/>
      <c r="S345" s="353"/>
      <c r="T345" s="353"/>
      <c r="U345" s="353"/>
      <c r="V345" s="353"/>
      <c r="W345" s="200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200"/>
      <c r="AQ345" s="200"/>
      <c r="AR345" s="200"/>
      <c r="AS345" s="200"/>
      <c r="AT345" s="200"/>
    </row>
    <row r="346" spans="1:46" ht="16.5" customHeight="1">
      <c r="A346" s="432"/>
      <c r="B346" s="307"/>
      <c r="C346" s="355"/>
      <c r="D346" s="360"/>
      <c r="E346" s="360"/>
      <c r="F346" s="360"/>
      <c r="G346" s="200"/>
      <c r="H346" s="200"/>
      <c r="I346" s="200"/>
      <c r="J346" s="200"/>
      <c r="K346" s="355"/>
      <c r="L346" s="200"/>
      <c r="M346" s="200"/>
      <c r="N346" s="200"/>
      <c r="O346" s="200"/>
      <c r="P346" s="355"/>
      <c r="Q346" s="353"/>
      <c r="R346" s="353"/>
      <c r="S346" s="353"/>
      <c r="T346" s="353"/>
      <c r="U346" s="353"/>
      <c r="V346" s="353"/>
      <c r="W346" s="200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200"/>
      <c r="AQ346" s="200"/>
      <c r="AR346" s="200"/>
      <c r="AS346" s="200"/>
      <c r="AT346" s="200"/>
    </row>
    <row r="347" spans="1:46" ht="16.5" customHeight="1">
      <c r="A347" s="432"/>
      <c r="B347" s="307"/>
      <c r="C347" s="355"/>
      <c r="D347" s="360"/>
      <c r="E347" s="360"/>
      <c r="F347" s="360"/>
      <c r="G347" s="200"/>
      <c r="H347" s="200"/>
      <c r="I347" s="200"/>
      <c r="J347" s="200"/>
      <c r="K347" s="355"/>
      <c r="L347" s="200"/>
      <c r="M347" s="200"/>
      <c r="N347" s="360"/>
      <c r="O347" s="360"/>
      <c r="P347" s="355"/>
      <c r="Q347" s="353"/>
      <c r="R347" s="353"/>
      <c r="S347" s="353"/>
      <c r="T347" s="353"/>
      <c r="U347" s="353"/>
      <c r="V347" s="353"/>
      <c r="W347" s="200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  <c r="AT347" s="200"/>
    </row>
    <row r="348" spans="1:46" ht="16.5" customHeight="1">
      <c r="A348" s="432"/>
      <c r="B348" s="307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355"/>
      <c r="Q348" s="353"/>
      <c r="R348" s="353"/>
      <c r="S348" s="353"/>
      <c r="T348" s="353"/>
      <c r="U348" s="353"/>
      <c r="V348" s="353"/>
      <c r="W348" s="200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200"/>
      <c r="AQ348" s="200"/>
      <c r="AR348" s="200"/>
      <c r="AS348" s="200"/>
      <c r="AT348" s="200"/>
    </row>
    <row r="349" spans="1:46" ht="16.5" customHeight="1">
      <c r="A349" s="422"/>
      <c r="B349" s="212"/>
      <c r="C349" s="357"/>
      <c r="D349" s="356"/>
      <c r="E349" s="356"/>
      <c r="F349" s="356"/>
      <c r="G349" s="357"/>
      <c r="H349" s="357"/>
      <c r="I349" s="200"/>
      <c r="J349" s="200"/>
      <c r="K349" s="217"/>
      <c r="L349" s="360"/>
      <c r="M349" s="360"/>
      <c r="N349" s="200"/>
      <c r="O349" s="200"/>
      <c r="P349" s="355"/>
      <c r="Q349" s="353"/>
      <c r="R349" s="353"/>
      <c r="S349" s="353"/>
      <c r="T349" s="353"/>
      <c r="U349" s="353"/>
      <c r="V349" s="353"/>
      <c r="W349" s="200"/>
      <c r="X349" s="200"/>
      <c r="Y349" s="200"/>
      <c r="Z349" s="200"/>
      <c r="AA349" s="354"/>
      <c r="AB349" s="200"/>
      <c r="AC349" s="354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200"/>
      <c r="AQ349" s="200"/>
      <c r="AR349" s="200"/>
      <c r="AS349" s="200"/>
      <c r="AT349" s="200"/>
    </row>
    <row r="350" spans="1:46" ht="16.5" customHeight="1">
      <c r="A350" s="432"/>
      <c r="B350" s="307"/>
      <c r="C350" s="200"/>
      <c r="D350" s="360"/>
      <c r="E350" s="360"/>
      <c r="F350" s="360"/>
      <c r="G350" s="200"/>
      <c r="H350" s="200"/>
      <c r="I350" s="45"/>
      <c r="J350" s="45"/>
      <c r="K350" s="355"/>
      <c r="L350" s="200"/>
      <c r="M350" s="200"/>
      <c r="N350" s="355"/>
      <c r="O350" s="355"/>
      <c r="P350" s="355"/>
      <c r="Q350" s="353"/>
      <c r="R350" s="353"/>
      <c r="S350" s="353"/>
      <c r="T350" s="353"/>
      <c r="U350" s="353"/>
      <c r="V350" s="353"/>
      <c r="W350" s="45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200"/>
      <c r="AQ350" s="200"/>
      <c r="AR350" s="200"/>
      <c r="AS350" s="200"/>
      <c r="AT350" s="200"/>
    </row>
    <row r="351" spans="1:46" ht="16.5" customHeight="1">
      <c r="A351" s="432"/>
      <c r="B351" s="307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353"/>
      <c r="R351" s="353"/>
      <c r="S351" s="353"/>
      <c r="T351" s="353"/>
      <c r="U351" s="353"/>
      <c r="V351" s="353"/>
      <c r="W351" s="200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200"/>
      <c r="AQ351" s="200"/>
      <c r="AR351" s="200"/>
      <c r="AS351" s="200"/>
      <c r="AT351" s="200"/>
    </row>
    <row r="352" spans="1:46" ht="16.5" customHeight="1">
      <c r="A352" s="432"/>
      <c r="B352" s="307"/>
      <c r="C352" s="200"/>
      <c r="D352" s="360"/>
      <c r="E352" s="360"/>
      <c r="F352" s="360"/>
      <c r="G352" s="200"/>
      <c r="H352" s="200"/>
      <c r="I352" s="200"/>
      <c r="J352" s="200"/>
      <c r="K352" s="355"/>
      <c r="L352" s="200"/>
      <c r="M352" s="200"/>
      <c r="N352" s="200"/>
      <c r="O352" s="200"/>
      <c r="P352" s="355"/>
      <c r="Q352" s="353"/>
      <c r="R352" s="353"/>
      <c r="S352" s="353"/>
      <c r="T352" s="353"/>
      <c r="U352" s="353"/>
      <c r="V352" s="353"/>
      <c r="W352" s="200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200"/>
      <c r="AQ352" s="200"/>
      <c r="AR352" s="200"/>
      <c r="AS352" s="200"/>
      <c r="AT352" s="200"/>
    </row>
    <row r="353" spans="1:46" ht="16.5" customHeight="1">
      <c r="A353" s="432"/>
      <c r="B353" s="307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353"/>
      <c r="R353" s="353"/>
      <c r="S353" s="353"/>
      <c r="T353" s="353"/>
      <c r="U353" s="353"/>
      <c r="V353" s="353"/>
      <c r="W353" s="200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200"/>
      <c r="AQ353" s="200"/>
      <c r="AR353" s="200"/>
      <c r="AS353" s="200"/>
      <c r="AT353" s="200"/>
    </row>
    <row r="354" spans="1:46" ht="16.5" customHeight="1">
      <c r="A354" s="422"/>
      <c r="B354" s="212"/>
      <c r="C354" s="355"/>
      <c r="D354" s="360"/>
      <c r="E354" s="360"/>
      <c r="F354" s="360"/>
      <c r="G354" s="200"/>
      <c r="H354" s="200"/>
      <c r="I354" s="200"/>
      <c r="J354" s="200"/>
      <c r="K354" s="355"/>
      <c r="L354" s="200"/>
      <c r="M354" s="200"/>
      <c r="N354" s="200"/>
      <c r="O354" s="200"/>
      <c r="P354" s="355"/>
      <c r="Q354" s="353"/>
      <c r="R354" s="353"/>
      <c r="S354" s="353"/>
      <c r="T354" s="353"/>
      <c r="U354" s="353"/>
      <c r="V354" s="353"/>
      <c r="W354" s="200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  <c r="AT354" s="200"/>
    </row>
    <row r="355" spans="1:46" ht="16.5" customHeight="1">
      <c r="A355" s="422"/>
      <c r="B355" s="212"/>
      <c r="C355" s="45"/>
      <c r="D355" s="45"/>
      <c r="E355" s="45"/>
      <c r="F355" s="45"/>
      <c r="G355" s="217"/>
      <c r="H355" s="217"/>
      <c r="I355" s="200"/>
      <c r="J355" s="200"/>
      <c r="K355" s="355"/>
      <c r="L355" s="200"/>
      <c r="M355" s="200"/>
      <c r="N355" s="200"/>
      <c r="O355" s="200"/>
      <c r="P355" s="355"/>
      <c r="Q355" s="353"/>
      <c r="R355" s="353"/>
      <c r="S355" s="353"/>
      <c r="T355" s="353"/>
      <c r="U355" s="353"/>
      <c r="V355" s="353"/>
      <c r="W355" s="200"/>
      <c r="X355" s="200"/>
      <c r="Y355" s="200"/>
      <c r="Z355" s="200"/>
      <c r="AA355" s="200"/>
      <c r="AB355" s="45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200"/>
      <c r="AQ355" s="200"/>
      <c r="AR355" s="200"/>
      <c r="AS355" s="200"/>
      <c r="AT355" s="200"/>
    </row>
    <row r="356" spans="1:46" ht="16.5" customHeight="1">
      <c r="A356" s="422"/>
      <c r="B356" s="212"/>
      <c r="C356" s="354"/>
      <c r="D356" s="360"/>
      <c r="E356" s="360"/>
      <c r="F356" s="360"/>
      <c r="G356" s="355"/>
      <c r="H356" s="355"/>
      <c r="I356" s="200"/>
      <c r="J356" s="200"/>
      <c r="K356" s="200"/>
      <c r="L356" s="200"/>
      <c r="M356" s="200"/>
      <c r="N356" s="200"/>
      <c r="O356" s="200"/>
      <c r="P356" s="200"/>
      <c r="Q356" s="366"/>
      <c r="R356" s="366"/>
      <c r="S356" s="353"/>
      <c r="T356" s="366"/>
      <c r="U356" s="353"/>
      <c r="V356" s="353"/>
      <c r="W356" s="200"/>
      <c r="X356" s="200"/>
      <c r="Y356" s="200"/>
      <c r="Z356" s="200"/>
      <c r="AA356" s="200"/>
      <c r="AB356" s="355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  <c r="AT356" s="200"/>
    </row>
    <row r="357" spans="1:46" ht="16.5" customHeight="1">
      <c r="A357" s="432"/>
      <c r="B357" s="307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353"/>
      <c r="R357" s="353"/>
      <c r="S357" s="353"/>
      <c r="T357" s="353"/>
      <c r="U357" s="353"/>
      <c r="V357" s="353"/>
      <c r="W357" s="200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200"/>
      <c r="AQ357" s="200"/>
      <c r="AR357" s="200"/>
      <c r="AS357" s="200"/>
      <c r="AT357" s="200"/>
    </row>
    <row r="358" spans="1:46" ht="16.5" customHeight="1">
      <c r="A358" s="432"/>
      <c r="B358" s="307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353"/>
      <c r="R358" s="353"/>
      <c r="S358" s="353"/>
      <c r="T358" s="353"/>
      <c r="U358" s="353"/>
      <c r="V358" s="353"/>
      <c r="W358" s="200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200"/>
      <c r="AQ358" s="200"/>
      <c r="AR358" s="200"/>
      <c r="AS358" s="200"/>
      <c r="AT358" s="200"/>
    </row>
    <row r="359" spans="1:46" ht="16.5" customHeight="1">
      <c r="A359" s="422"/>
      <c r="B359" s="212"/>
      <c r="C359" s="355"/>
      <c r="D359" s="360"/>
      <c r="E359" s="360"/>
      <c r="F359" s="360"/>
      <c r="G359" s="200"/>
      <c r="H359" s="200"/>
      <c r="I359" s="200"/>
      <c r="J359" s="200"/>
      <c r="K359" s="355"/>
      <c r="L359" s="200"/>
      <c r="M359" s="200"/>
      <c r="N359" s="200"/>
      <c r="O359" s="200"/>
      <c r="P359" s="355"/>
      <c r="Q359" s="353"/>
      <c r="R359" s="353"/>
      <c r="S359" s="353"/>
      <c r="T359" s="353"/>
      <c r="U359" s="353"/>
      <c r="V359" s="353"/>
      <c r="W359" s="200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200"/>
      <c r="AQ359" s="200"/>
      <c r="AR359" s="200"/>
      <c r="AS359" s="200"/>
      <c r="AT359" s="200"/>
    </row>
    <row r="360" spans="1:46" ht="16.5" customHeight="1">
      <c r="A360" s="432"/>
      <c r="B360" s="307"/>
      <c r="C360" s="355"/>
      <c r="D360" s="360"/>
      <c r="E360" s="360"/>
      <c r="F360" s="360"/>
      <c r="G360" s="200"/>
      <c r="H360" s="200"/>
      <c r="I360" s="355"/>
      <c r="J360" s="355"/>
      <c r="K360" s="200"/>
      <c r="L360" s="200"/>
      <c r="M360" s="200"/>
      <c r="N360" s="200"/>
      <c r="O360" s="200"/>
      <c r="P360" s="200"/>
      <c r="Q360" s="353"/>
      <c r="R360" s="353"/>
      <c r="S360" s="353"/>
      <c r="T360" s="353"/>
      <c r="U360" s="353"/>
      <c r="V360" s="353"/>
      <c r="W360" s="355"/>
      <c r="X360" s="200"/>
      <c r="Y360" s="200"/>
      <c r="Z360" s="200"/>
      <c r="AA360" s="200"/>
      <c r="AB360" s="355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200"/>
      <c r="AQ360" s="200"/>
      <c r="AR360" s="200"/>
      <c r="AS360" s="200"/>
      <c r="AT360" s="200"/>
    </row>
    <row r="361" spans="1:46" ht="16.5" customHeight="1">
      <c r="A361" s="432"/>
      <c r="B361" s="307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213"/>
      <c r="R361" s="213"/>
      <c r="S361" s="213"/>
      <c r="T361" s="213"/>
      <c r="U361" s="213"/>
      <c r="V361" s="213"/>
      <c r="W361" s="45"/>
      <c r="X361" s="45"/>
      <c r="Y361" s="45"/>
      <c r="Z361" s="45"/>
      <c r="AA361" s="45"/>
      <c r="AB361" s="45"/>
      <c r="AC361" s="45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200"/>
      <c r="AQ361" s="200"/>
      <c r="AR361" s="200"/>
      <c r="AS361" s="200"/>
      <c r="AT361" s="200"/>
    </row>
    <row r="362" spans="1:46" ht="16.5" customHeight="1">
      <c r="A362" s="432"/>
      <c r="B362" s="307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353"/>
      <c r="R362" s="353"/>
      <c r="S362" s="353"/>
      <c r="T362" s="353"/>
      <c r="U362" s="353"/>
      <c r="V362" s="353"/>
      <c r="W362" s="200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</row>
    <row r="363" spans="1:46" ht="16.5" customHeight="1">
      <c r="A363" s="432"/>
      <c r="B363" s="307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353"/>
      <c r="R363" s="353"/>
      <c r="S363" s="353"/>
      <c r="T363" s="353"/>
      <c r="U363" s="353"/>
      <c r="V363" s="353"/>
      <c r="W363" s="200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200"/>
      <c r="AQ363" s="200"/>
      <c r="AR363" s="200"/>
      <c r="AS363" s="200"/>
      <c r="AT363" s="200"/>
    </row>
    <row r="364" spans="1:46" ht="16.5" customHeight="1">
      <c r="A364" s="422"/>
      <c r="B364" s="212"/>
      <c r="C364" s="357"/>
      <c r="D364" s="360"/>
      <c r="E364" s="360"/>
      <c r="F364" s="360"/>
      <c r="G364" s="355"/>
      <c r="H364" s="355"/>
      <c r="I364" s="200"/>
      <c r="J364" s="200"/>
      <c r="K364" s="355"/>
      <c r="L364" s="360"/>
      <c r="M364" s="360"/>
      <c r="N364" s="200"/>
      <c r="O364" s="200"/>
      <c r="P364" s="355"/>
      <c r="Q364" s="353"/>
      <c r="R364" s="353"/>
      <c r="S364" s="353"/>
      <c r="T364" s="352"/>
      <c r="U364" s="353"/>
      <c r="V364" s="353"/>
      <c r="W364" s="200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200"/>
      <c r="AQ364" s="200"/>
      <c r="AR364" s="200"/>
      <c r="AS364" s="200"/>
      <c r="AT364" s="200"/>
    </row>
    <row r="365" spans="1:46" ht="16.5" customHeight="1">
      <c r="A365" s="422"/>
      <c r="B365" s="212"/>
      <c r="C365" s="200"/>
      <c r="D365" s="200"/>
      <c r="E365" s="200"/>
      <c r="F365" s="200"/>
      <c r="G365" s="355"/>
      <c r="H365" s="355"/>
      <c r="I365" s="200"/>
      <c r="J365" s="200"/>
      <c r="K365" s="355"/>
      <c r="L365" s="360"/>
      <c r="M365" s="360"/>
      <c r="N365" s="200"/>
      <c r="O365" s="200"/>
      <c r="P365" s="355"/>
      <c r="Q365" s="353"/>
      <c r="R365" s="353"/>
      <c r="S365" s="353"/>
      <c r="T365" s="353"/>
      <c r="U365" s="353"/>
      <c r="V365" s="353"/>
      <c r="W365" s="200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200"/>
      <c r="AQ365" s="200"/>
      <c r="AR365" s="200"/>
      <c r="AS365" s="200"/>
      <c r="AT365" s="200"/>
    </row>
    <row r="366" spans="1:46" ht="16.5" customHeight="1">
      <c r="A366" s="432"/>
      <c r="B366" s="307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353"/>
      <c r="R366" s="353"/>
      <c r="S366" s="353"/>
      <c r="T366" s="353"/>
      <c r="U366" s="353"/>
      <c r="V366" s="353"/>
      <c r="W366" s="200"/>
      <c r="X366" s="200"/>
      <c r="Y366" s="200"/>
      <c r="Z366" s="200"/>
      <c r="AA366" s="367"/>
      <c r="AB366" s="200"/>
      <c r="AC366" s="367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200"/>
      <c r="AQ366" s="200"/>
      <c r="AR366" s="200"/>
      <c r="AS366" s="200"/>
      <c r="AT366" s="200"/>
    </row>
    <row r="367" spans="1:46" ht="16.5" customHeight="1">
      <c r="A367" s="432"/>
      <c r="B367" s="307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353"/>
      <c r="R367" s="353"/>
      <c r="S367" s="353"/>
      <c r="T367" s="353"/>
      <c r="U367" s="353"/>
      <c r="V367" s="353"/>
      <c r="W367" s="200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200"/>
      <c r="AQ367" s="200"/>
      <c r="AR367" s="200"/>
      <c r="AS367" s="200"/>
      <c r="AT367" s="200"/>
    </row>
    <row r="368" spans="1:46" ht="16.5" customHeight="1">
      <c r="A368" s="432"/>
      <c r="B368" s="307"/>
      <c r="C368" s="357"/>
      <c r="D368" s="360"/>
      <c r="E368" s="360"/>
      <c r="F368" s="360"/>
      <c r="G368" s="368"/>
      <c r="H368" s="368"/>
      <c r="I368" s="200"/>
      <c r="J368" s="200"/>
      <c r="K368" s="355"/>
      <c r="L368" s="360"/>
      <c r="M368" s="360"/>
      <c r="N368" s="200"/>
      <c r="O368" s="200"/>
      <c r="P368" s="355"/>
      <c r="Q368" s="352"/>
      <c r="R368" s="352"/>
      <c r="S368" s="353"/>
      <c r="T368" s="352"/>
      <c r="U368" s="353"/>
      <c r="V368" s="353"/>
      <c r="W368" s="200"/>
      <c r="X368" s="200"/>
      <c r="Y368" s="200"/>
      <c r="Z368" s="200"/>
      <c r="AA368" s="200"/>
      <c r="AB368" s="357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200"/>
      <c r="AQ368" s="200"/>
      <c r="AR368" s="200"/>
      <c r="AS368" s="200"/>
      <c r="AT368" s="200"/>
    </row>
    <row r="369" spans="1:46" ht="16.5" customHeight="1">
      <c r="A369" s="432"/>
      <c r="B369" s="307"/>
      <c r="C369" s="357"/>
      <c r="D369" s="360"/>
      <c r="E369" s="360"/>
      <c r="F369" s="360"/>
      <c r="G369" s="368"/>
      <c r="H369" s="368"/>
      <c r="I369" s="200"/>
      <c r="J369" s="200"/>
      <c r="K369" s="355"/>
      <c r="L369" s="360"/>
      <c r="M369" s="360"/>
      <c r="N369" s="200"/>
      <c r="O369" s="200"/>
      <c r="P369" s="355"/>
      <c r="Q369" s="353"/>
      <c r="R369" s="353"/>
      <c r="S369" s="353"/>
      <c r="T369" s="352"/>
      <c r="U369" s="353"/>
      <c r="V369" s="353"/>
      <c r="W369" s="200"/>
      <c r="X369" s="200"/>
      <c r="Y369" s="200"/>
      <c r="Z369" s="200"/>
      <c r="AA369" s="200"/>
      <c r="AB369" s="355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200"/>
      <c r="AQ369" s="200"/>
      <c r="AR369" s="200"/>
      <c r="AS369" s="200"/>
      <c r="AT369" s="200"/>
    </row>
    <row r="370" spans="1:46" ht="16.5" customHeight="1">
      <c r="A370" s="432"/>
      <c r="B370" s="307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353"/>
      <c r="R370" s="353"/>
      <c r="S370" s="353"/>
      <c r="T370" s="353"/>
      <c r="U370" s="353"/>
      <c r="V370" s="353"/>
      <c r="W370" s="200"/>
      <c r="X370" s="200"/>
      <c r="Y370" s="200"/>
      <c r="Z370" s="200"/>
      <c r="AA370" s="367"/>
      <c r="AB370" s="200"/>
      <c r="AC370" s="367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200"/>
      <c r="AQ370" s="200"/>
      <c r="AR370" s="200"/>
      <c r="AS370" s="200"/>
      <c r="AT370" s="200"/>
    </row>
    <row r="371" spans="1:46" ht="16.5" customHeight="1">
      <c r="A371" s="432"/>
      <c r="B371" s="307"/>
      <c r="C371" s="355"/>
      <c r="D371" s="356"/>
      <c r="E371" s="356"/>
      <c r="F371" s="356"/>
      <c r="G371" s="357"/>
      <c r="H371" s="357"/>
      <c r="I371" s="200"/>
      <c r="J371" s="200"/>
      <c r="K371" s="355"/>
      <c r="L371" s="355"/>
      <c r="M371" s="355"/>
      <c r="N371" s="200"/>
      <c r="O371" s="200"/>
      <c r="P371" s="355"/>
      <c r="Q371" s="361"/>
      <c r="R371" s="361"/>
      <c r="S371" s="353"/>
      <c r="T371" s="352"/>
      <c r="U371" s="353"/>
      <c r="V371" s="353"/>
      <c r="W371" s="200"/>
      <c r="X371" s="200"/>
      <c r="Y371" s="200"/>
      <c r="Z371" s="200"/>
      <c r="AA371" s="200"/>
      <c r="AB371" s="200"/>
      <c r="AC371" s="200"/>
      <c r="AD371" s="354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200"/>
      <c r="AQ371" s="200"/>
      <c r="AR371" s="200"/>
      <c r="AS371" s="200"/>
      <c r="AT371" s="200"/>
    </row>
    <row r="372" spans="1:46" ht="16.5" customHeight="1">
      <c r="A372" s="432"/>
      <c r="B372" s="307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353"/>
      <c r="R372" s="353"/>
      <c r="S372" s="353"/>
      <c r="T372" s="353"/>
      <c r="U372" s="353"/>
      <c r="V372" s="353"/>
      <c r="W372" s="200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200"/>
      <c r="AQ372" s="200"/>
      <c r="AR372" s="200"/>
      <c r="AS372" s="200"/>
      <c r="AT372" s="200"/>
    </row>
    <row r="373" spans="1:46" ht="16.5" customHeight="1">
      <c r="A373" s="432"/>
      <c r="B373" s="307"/>
      <c r="C373" s="355"/>
      <c r="D373" s="356"/>
      <c r="E373" s="356"/>
      <c r="F373" s="356"/>
      <c r="G373" s="357"/>
      <c r="H373" s="357"/>
      <c r="I373" s="200"/>
      <c r="J373" s="200"/>
      <c r="K373" s="355"/>
      <c r="L373" s="355"/>
      <c r="M373" s="355"/>
      <c r="N373" s="200"/>
      <c r="O373" s="200"/>
      <c r="P373" s="355"/>
      <c r="Q373" s="361"/>
      <c r="R373" s="361"/>
      <c r="S373" s="353"/>
      <c r="T373" s="352"/>
      <c r="U373" s="353"/>
      <c r="V373" s="353"/>
      <c r="W373" s="200"/>
      <c r="X373" s="200"/>
      <c r="Y373" s="200"/>
      <c r="Z373" s="200"/>
      <c r="AA373" s="200"/>
      <c r="AB373" s="200"/>
      <c r="AC373" s="200"/>
      <c r="AD373" s="354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200"/>
      <c r="AQ373" s="200"/>
      <c r="AR373" s="200"/>
      <c r="AS373" s="200"/>
      <c r="AT373" s="200"/>
    </row>
    <row r="374" spans="1:46" ht="16.5" customHeight="1">
      <c r="A374" s="432"/>
      <c r="B374" s="307"/>
      <c r="C374" s="355"/>
      <c r="D374" s="356"/>
      <c r="E374" s="356"/>
      <c r="F374" s="356"/>
      <c r="G374" s="357"/>
      <c r="H374" s="357"/>
      <c r="I374" s="200"/>
      <c r="J374" s="200"/>
      <c r="K374" s="355"/>
      <c r="L374" s="355"/>
      <c r="M374" s="355"/>
      <c r="N374" s="200"/>
      <c r="O374" s="200"/>
      <c r="P374" s="355"/>
      <c r="Q374" s="361"/>
      <c r="R374" s="361"/>
      <c r="S374" s="353"/>
      <c r="T374" s="352"/>
      <c r="U374" s="353"/>
      <c r="V374" s="353"/>
      <c r="W374" s="200"/>
      <c r="X374" s="200"/>
      <c r="Y374" s="200"/>
      <c r="Z374" s="200"/>
      <c r="AA374" s="200"/>
      <c r="AB374" s="200"/>
      <c r="AC374" s="200"/>
      <c r="AD374" s="354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200"/>
      <c r="AQ374" s="200"/>
      <c r="AR374" s="200"/>
      <c r="AS374" s="200"/>
      <c r="AT374" s="200"/>
    </row>
    <row r="375" spans="1:46" ht="16.5" customHeight="1">
      <c r="A375" s="432"/>
      <c r="B375" s="307"/>
      <c r="C375" s="355"/>
      <c r="D375" s="356"/>
      <c r="E375" s="356"/>
      <c r="F375" s="356"/>
      <c r="G375" s="357"/>
      <c r="H375" s="357"/>
      <c r="I375" s="200"/>
      <c r="J375" s="200"/>
      <c r="K375" s="355"/>
      <c r="L375" s="355"/>
      <c r="M375" s="355"/>
      <c r="N375" s="200"/>
      <c r="O375" s="200"/>
      <c r="P375" s="355"/>
      <c r="Q375" s="361"/>
      <c r="R375" s="361"/>
      <c r="S375" s="353"/>
      <c r="T375" s="352"/>
      <c r="U375" s="353"/>
      <c r="V375" s="353"/>
      <c r="W375" s="200"/>
      <c r="X375" s="200"/>
      <c r="Y375" s="200"/>
      <c r="Z375" s="200"/>
      <c r="AA375" s="200"/>
      <c r="AB375" s="200"/>
      <c r="AC375" s="200"/>
      <c r="AD375" s="354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200"/>
      <c r="AQ375" s="200"/>
      <c r="AR375" s="200"/>
      <c r="AS375" s="200"/>
      <c r="AT375" s="200"/>
    </row>
    <row r="376" spans="1:46" ht="16.5" customHeight="1">
      <c r="A376" s="432"/>
      <c r="B376" s="307"/>
      <c r="C376" s="355"/>
      <c r="D376" s="356"/>
      <c r="E376" s="356"/>
      <c r="F376" s="356"/>
      <c r="G376" s="357"/>
      <c r="H376" s="357"/>
      <c r="I376" s="200"/>
      <c r="J376" s="200"/>
      <c r="K376" s="355"/>
      <c r="L376" s="355"/>
      <c r="M376" s="355"/>
      <c r="N376" s="200"/>
      <c r="O376" s="200"/>
      <c r="P376" s="355"/>
      <c r="Q376" s="361"/>
      <c r="R376" s="361"/>
      <c r="S376" s="353"/>
      <c r="T376" s="352"/>
      <c r="U376" s="353"/>
      <c r="V376" s="353"/>
      <c r="W376" s="200"/>
      <c r="X376" s="200"/>
      <c r="Y376" s="200"/>
      <c r="Z376" s="200"/>
      <c r="AA376" s="200"/>
      <c r="AB376" s="200"/>
      <c r="AC376" s="200"/>
      <c r="AD376" s="354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200"/>
      <c r="AQ376" s="200"/>
      <c r="AR376" s="200"/>
      <c r="AS376" s="200"/>
      <c r="AT376" s="200"/>
    </row>
    <row r="377" spans="1:46" ht="16.5" customHeight="1">
      <c r="A377" s="432"/>
      <c r="B377" s="307"/>
      <c r="C377" s="355"/>
      <c r="D377" s="356"/>
      <c r="E377" s="356"/>
      <c r="F377" s="356"/>
      <c r="G377" s="357"/>
      <c r="H377" s="357"/>
      <c r="I377" s="200"/>
      <c r="J377" s="200"/>
      <c r="K377" s="355"/>
      <c r="L377" s="355"/>
      <c r="M377" s="355"/>
      <c r="N377" s="200"/>
      <c r="O377" s="200"/>
      <c r="P377" s="355"/>
      <c r="Q377" s="361"/>
      <c r="R377" s="361"/>
      <c r="S377" s="353"/>
      <c r="T377" s="352"/>
      <c r="U377" s="353"/>
      <c r="V377" s="353"/>
      <c r="W377" s="200"/>
      <c r="X377" s="200"/>
      <c r="Y377" s="200"/>
      <c r="Z377" s="200"/>
      <c r="AA377" s="200"/>
      <c r="AB377" s="200"/>
      <c r="AC377" s="200"/>
      <c r="AD377" s="354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200"/>
      <c r="AQ377" s="200"/>
      <c r="AR377" s="200"/>
      <c r="AS377" s="200"/>
      <c r="AT377" s="200"/>
    </row>
    <row r="378" spans="1:46" ht="16.5" customHeight="1">
      <c r="A378" s="432"/>
      <c r="B378" s="307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353"/>
      <c r="R378" s="353"/>
      <c r="S378" s="353"/>
      <c r="T378" s="353"/>
      <c r="U378" s="353"/>
      <c r="V378" s="353"/>
      <c r="W378" s="200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200"/>
      <c r="AQ378" s="200"/>
      <c r="AR378" s="200"/>
      <c r="AS378" s="200"/>
      <c r="AT378" s="200"/>
    </row>
    <row r="379" spans="1:46" ht="16.5" customHeight="1">
      <c r="A379" s="432"/>
      <c r="B379" s="307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353"/>
      <c r="R379" s="353"/>
      <c r="S379" s="353"/>
      <c r="T379" s="353"/>
      <c r="U379" s="353"/>
      <c r="V379" s="353"/>
      <c r="W379" s="200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200"/>
      <c r="AQ379" s="200"/>
      <c r="AR379" s="200"/>
      <c r="AS379" s="200"/>
      <c r="AT379" s="200"/>
    </row>
    <row r="380" spans="1:46" ht="16.5" customHeight="1">
      <c r="A380" s="432"/>
      <c r="B380" s="307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353"/>
      <c r="R380" s="353"/>
      <c r="S380" s="353"/>
      <c r="T380" s="353"/>
      <c r="U380" s="353"/>
      <c r="V380" s="353"/>
      <c r="W380" s="200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200"/>
      <c r="AQ380" s="200"/>
      <c r="AR380" s="200"/>
      <c r="AS380" s="200"/>
      <c r="AT380" s="200"/>
    </row>
    <row r="381" spans="1:46" ht="16.5" customHeight="1">
      <c r="A381" s="432"/>
      <c r="B381" s="307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353"/>
      <c r="R381" s="353"/>
      <c r="S381" s="353"/>
      <c r="T381" s="353"/>
      <c r="U381" s="353"/>
      <c r="V381" s="353"/>
      <c r="W381" s="200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  <c r="AT381" s="200"/>
    </row>
    <row r="382" spans="1:46" ht="16.5" customHeight="1">
      <c r="A382" s="432"/>
      <c r="B382" s="307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353"/>
      <c r="R382" s="353"/>
      <c r="S382" s="353"/>
      <c r="T382" s="353"/>
      <c r="U382" s="353"/>
      <c r="V382" s="353"/>
      <c r="W382" s="200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  <c r="AT382" s="200"/>
    </row>
    <row r="383" spans="1:46" ht="16.5" customHeight="1">
      <c r="A383" s="432"/>
      <c r="B383" s="307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353"/>
      <c r="R383" s="353"/>
      <c r="S383" s="353"/>
      <c r="T383" s="353"/>
      <c r="U383" s="353"/>
      <c r="V383" s="353"/>
      <c r="W383" s="200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200"/>
      <c r="AQ383" s="200"/>
      <c r="AR383" s="200"/>
      <c r="AS383" s="200"/>
      <c r="AT383" s="200"/>
    </row>
    <row r="384" spans="1:46" ht="16.5" customHeight="1">
      <c r="A384" s="432"/>
      <c r="B384" s="307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353"/>
      <c r="R384" s="353"/>
      <c r="S384" s="353"/>
      <c r="T384" s="353"/>
      <c r="U384" s="353"/>
      <c r="V384" s="353"/>
      <c r="W384" s="200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200"/>
      <c r="AQ384" s="200"/>
      <c r="AR384" s="200"/>
      <c r="AS384" s="200"/>
      <c r="AT384" s="200"/>
    </row>
    <row r="385" spans="1:46" ht="16.5" customHeight="1">
      <c r="A385" s="432"/>
      <c r="B385" s="307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353"/>
      <c r="R385" s="353"/>
      <c r="S385" s="353"/>
      <c r="T385" s="353"/>
      <c r="U385" s="353"/>
      <c r="V385" s="353"/>
      <c r="W385" s="200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  <c r="AT385" s="200"/>
    </row>
    <row r="386" spans="1:46" ht="16.5" customHeight="1">
      <c r="A386" s="432"/>
      <c r="B386" s="307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353"/>
      <c r="R386" s="353"/>
      <c r="S386" s="353"/>
      <c r="T386" s="353"/>
      <c r="U386" s="353"/>
      <c r="V386" s="353"/>
      <c r="W386" s="200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200"/>
      <c r="AQ386" s="200"/>
      <c r="AR386" s="200"/>
      <c r="AS386" s="200"/>
      <c r="AT386" s="200"/>
    </row>
    <row r="387" spans="1:46" ht="16.5" customHeight="1">
      <c r="A387" s="432"/>
      <c r="B387" s="307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353"/>
      <c r="R387" s="353"/>
      <c r="S387" s="353"/>
      <c r="T387" s="353"/>
      <c r="U387" s="353"/>
      <c r="V387" s="353"/>
      <c r="W387" s="200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200"/>
      <c r="AQ387" s="200"/>
      <c r="AR387" s="200"/>
      <c r="AS387" s="200"/>
      <c r="AT387" s="200"/>
    </row>
    <row r="388" spans="1:46" ht="16.5" customHeight="1">
      <c r="A388" s="432"/>
      <c r="B388" s="307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353"/>
      <c r="R388" s="353"/>
      <c r="S388" s="353"/>
      <c r="T388" s="353"/>
      <c r="U388" s="353"/>
      <c r="V388" s="353"/>
      <c r="W388" s="200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  <c r="AT388" s="200"/>
    </row>
    <row r="389" spans="1:46" ht="16.5" customHeight="1">
      <c r="A389" s="432"/>
      <c r="B389" s="307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353"/>
      <c r="R389" s="353"/>
      <c r="S389" s="353"/>
      <c r="T389" s="353"/>
      <c r="U389" s="353"/>
      <c r="V389" s="353"/>
      <c r="W389" s="200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  <c r="AQ389" s="200"/>
      <c r="AR389" s="200"/>
      <c r="AS389" s="200"/>
      <c r="AT389" s="200"/>
    </row>
    <row r="390" spans="1:46" ht="16.5" customHeight="1">
      <c r="A390" s="432"/>
      <c r="B390" s="307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353"/>
      <c r="R390" s="353"/>
      <c r="S390" s="353"/>
      <c r="T390" s="353"/>
      <c r="U390" s="353"/>
      <c r="V390" s="353"/>
      <c r="W390" s="200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200"/>
      <c r="AQ390" s="200"/>
      <c r="AR390" s="200"/>
      <c r="AS390" s="200"/>
      <c r="AT390" s="200"/>
    </row>
    <row r="391" spans="1:46" ht="16.5" customHeight="1">
      <c r="A391" s="432"/>
      <c r="B391" s="307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353"/>
      <c r="R391" s="353"/>
      <c r="S391" s="353"/>
      <c r="T391" s="353"/>
      <c r="U391" s="353"/>
      <c r="V391" s="353"/>
      <c r="W391" s="200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  <c r="AQ391" s="200"/>
      <c r="AR391" s="200"/>
      <c r="AS391" s="200"/>
      <c r="AT391" s="200"/>
    </row>
    <row r="392" spans="1:46" ht="16.5" customHeight="1">
      <c r="A392" s="432"/>
      <c r="B392" s="307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353"/>
      <c r="R392" s="353"/>
      <c r="S392" s="353"/>
      <c r="T392" s="353"/>
      <c r="U392" s="353"/>
      <c r="V392" s="353"/>
      <c r="W392" s="200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200"/>
      <c r="AQ392" s="200"/>
      <c r="AR392" s="200"/>
      <c r="AS392" s="200"/>
      <c r="AT392" s="200"/>
    </row>
    <row r="393" spans="1:46" ht="16.5" customHeight="1">
      <c r="A393" s="432"/>
      <c r="B393" s="307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353"/>
      <c r="R393" s="353"/>
      <c r="S393" s="353"/>
      <c r="T393" s="353"/>
      <c r="U393" s="353"/>
      <c r="V393" s="353"/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  <c r="AQ393" s="200"/>
      <c r="AR393" s="200"/>
      <c r="AS393" s="200"/>
      <c r="AT393" s="200"/>
    </row>
    <row r="394" spans="1:46" ht="16.5" customHeight="1">
      <c r="A394" s="432"/>
      <c r="B394" s="307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353"/>
      <c r="R394" s="353"/>
      <c r="S394" s="353"/>
      <c r="T394" s="353"/>
      <c r="U394" s="353"/>
      <c r="V394" s="353"/>
      <c r="W394" s="200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200"/>
      <c r="AQ394" s="200"/>
      <c r="AR394" s="200"/>
      <c r="AS394" s="200"/>
      <c r="AT394" s="200"/>
    </row>
    <row r="395" spans="1:46" ht="16.5" customHeight="1">
      <c r="A395" s="432"/>
      <c r="B395" s="307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353"/>
      <c r="R395" s="353"/>
      <c r="S395" s="353"/>
      <c r="T395" s="353"/>
      <c r="U395" s="353"/>
      <c r="V395" s="353"/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  <c r="AQ395" s="200"/>
      <c r="AR395" s="200"/>
      <c r="AS395" s="200"/>
      <c r="AT395" s="200"/>
    </row>
    <row r="396" spans="1:46" ht="16.5" customHeight="1">
      <c r="A396" s="432"/>
      <c r="B396" s="307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353"/>
      <c r="R396" s="353"/>
      <c r="S396" s="353"/>
      <c r="T396" s="353"/>
      <c r="U396" s="353"/>
      <c r="V396" s="353"/>
      <c r="W396" s="200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  <c r="AQ396" s="200"/>
      <c r="AR396" s="200"/>
      <c r="AS396" s="200"/>
      <c r="AT396" s="200"/>
    </row>
    <row r="397" spans="1:46" ht="16.5" customHeight="1">
      <c r="A397" s="432"/>
      <c r="B397" s="307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353"/>
      <c r="R397" s="353"/>
      <c r="S397" s="353"/>
      <c r="T397" s="353"/>
      <c r="U397" s="353"/>
      <c r="V397" s="353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200"/>
      <c r="AQ397" s="200"/>
      <c r="AR397" s="200"/>
      <c r="AS397" s="200"/>
      <c r="AT397" s="200"/>
    </row>
    <row r="398" spans="1:46" ht="16.5" customHeight="1">
      <c r="A398" s="432"/>
      <c r="B398" s="307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353"/>
      <c r="R398" s="353"/>
      <c r="S398" s="353"/>
      <c r="T398" s="353"/>
      <c r="U398" s="353"/>
      <c r="V398" s="353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200"/>
      <c r="AQ398" s="200"/>
      <c r="AR398" s="200"/>
      <c r="AS398" s="200"/>
      <c r="AT398" s="200"/>
    </row>
    <row r="399" spans="1:46" ht="16.5" customHeight="1">
      <c r="A399" s="432"/>
      <c r="B399" s="307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353"/>
      <c r="R399" s="353"/>
      <c r="S399" s="353"/>
      <c r="T399" s="353"/>
      <c r="U399" s="353"/>
      <c r="V399" s="353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200"/>
      <c r="AQ399" s="200"/>
      <c r="AR399" s="200"/>
      <c r="AS399" s="200"/>
      <c r="AT399" s="200"/>
    </row>
    <row r="400" spans="1:46" ht="16.5" customHeight="1">
      <c r="A400" s="432"/>
      <c r="B400" s="307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353"/>
      <c r="R400" s="353"/>
      <c r="S400" s="353"/>
      <c r="T400" s="353"/>
      <c r="U400" s="353"/>
      <c r="V400" s="353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200"/>
      <c r="AQ400" s="200"/>
      <c r="AR400" s="200"/>
      <c r="AS400" s="200"/>
      <c r="AT400" s="200"/>
    </row>
    <row r="401" spans="1:46" ht="16.5" customHeight="1">
      <c r="A401" s="432"/>
      <c r="B401" s="307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353"/>
      <c r="R401" s="353"/>
      <c r="S401" s="353"/>
      <c r="T401" s="353"/>
      <c r="U401" s="353"/>
      <c r="V401" s="353"/>
      <c r="W401" s="200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200"/>
      <c r="AQ401" s="200"/>
      <c r="AR401" s="200"/>
      <c r="AS401" s="200"/>
      <c r="AT401" s="200"/>
    </row>
    <row r="402" spans="1:46" ht="16.5" customHeight="1">
      <c r="A402" s="432"/>
      <c r="B402" s="307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353"/>
      <c r="R402" s="353"/>
      <c r="S402" s="353"/>
      <c r="T402" s="353"/>
      <c r="U402" s="353"/>
      <c r="V402" s="353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  <c r="AT402" s="200"/>
    </row>
    <row r="403" spans="1:46" ht="16.5" customHeight="1">
      <c r="A403" s="432"/>
      <c r="B403" s="307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353"/>
      <c r="R403" s="353"/>
      <c r="S403" s="353"/>
      <c r="T403" s="353"/>
      <c r="U403" s="353"/>
      <c r="V403" s="353"/>
      <c r="W403" s="200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200"/>
      <c r="AQ403" s="200"/>
      <c r="AR403" s="200"/>
      <c r="AS403" s="200"/>
      <c r="AT403" s="200"/>
    </row>
    <row r="404" spans="1:46" ht="16.5" customHeight="1">
      <c r="A404" s="432"/>
      <c r="B404" s="307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353"/>
      <c r="R404" s="353"/>
      <c r="S404" s="353"/>
      <c r="T404" s="353"/>
      <c r="U404" s="353"/>
      <c r="V404" s="353"/>
      <c r="W404" s="200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200"/>
      <c r="AQ404" s="200"/>
      <c r="AR404" s="200"/>
      <c r="AS404" s="200"/>
      <c r="AT404" s="200"/>
    </row>
    <row r="405" spans="1:46" ht="16.5" customHeight="1">
      <c r="A405" s="432"/>
      <c r="B405" s="307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353"/>
      <c r="R405" s="353"/>
      <c r="S405" s="353"/>
      <c r="T405" s="353"/>
      <c r="U405" s="353"/>
      <c r="V405" s="353"/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200"/>
      <c r="AQ405" s="200"/>
      <c r="AR405" s="200"/>
      <c r="AS405" s="200"/>
      <c r="AT405" s="200"/>
    </row>
    <row r="406" spans="1:46" ht="16.5" customHeight="1">
      <c r="A406" s="432"/>
      <c r="B406" s="307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353"/>
      <c r="R406" s="353"/>
      <c r="S406" s="353"/>
      <c r="T406" s="353"/>
      <c r="U406" s="353"/>
      <c r="V406" s="353"/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200"/>
      <c r="AQ406" s="200"/>
      <c r="AR406" s="200"/>
      <c r="AS406" s="200"/>
      <c r="AT406" s="200"/>
    </row>
    <row r="407" spans="1:46" ht="16.5" customHeight="1">
      <c r="A407" s="432"/>
      <c r="B407" s="307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353"/>
      <c r="R407" s="353"/>
      <c r="S407" s="353"/>
      <c r="T407" s="353"/>
      <c r="U407" s="353"/>
      <c r="V407" s="353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200"/>
      <c r="AQ407" s="200"/>
      <c r="AR407" s="200"/>
      <c r="AS407" s="200"/>
      <c r="AT407" s="200"/>
    </row>
    <row r="408" spans="1:46" ht="16.5" customHeight="1">
      <c r="A408" s="432"/>
      <c r="B408" s="307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353"/>
      <c r="R408" s="353"/>
      <c r="S408" s="353"/>
      <c r="T408" s="353"/>
      <c r="U408" s="353"/>
      <c r="V408" s="353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  <c r="AT408" s="200"/>
    </row>
    <row r="409" spans="1:46" ht="16.5" customHeight="1">
      <c r="A409" s="432"/>
      <c r="B409" s="307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353"/>
      <c r="R409" s="353"/>
      <c r="S409" s="353"/>
      <c r="T409" s="353"/>
      <c r="U409" s="353"/>
      <c r="V409" s="353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  <c r="AT409" s="200"/>
    </row>
    <row r="410" spans="1:46" ht="16.5" customHeight="1">
      <c r="A410" s="432"/>
      <c r="B410" s="307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353"/>
      <c r="R410" s="353"/>
      <c r="S410" s="353"/>
      <c r="T410" s="353"/>
      <c r="U410" s="353"/>
      <c r="V410" s="353"/>
      <c r="W410" s="200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  <c r="AQ410" s="200"/>
      <c r="AR410" s="200"/>
      <c r="AS410" s="200"/>
      <c r="AT410" s="200"/>
    </row>
    <row r="411" spans="1:46" ht="16.5" customHeight="1">
      <c r="A411" s="432"/>
      <c r="B411" s="307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353"/>
      <c r="R411" s="353"/>
      <c r="S411" s="353"/>
      <c r="T411" s="353"/>
      <c r="U411" s="353"/>
      <c r="V411" s="353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  <c r="AQ411" s="200"/>
      <c r="AR411" s="200"/>
      <c r="AS411" s="200"/>
      <c r="AT411" s="200"/>
    </row>
    <row r="412" spans="1:46" ht="16.5" customHeight="1">
      <c r="A412" s="432"/>
      <c r="B412" s="307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353"/>
      <c r="R412" s="353"/>
      <c r="S412" s="353"/>
      <c r="T412" s="353"/>
      <c r="U412" s="353"/>
      <c r="V412" s="353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  <c r="AT412" s="200"/>
    </row>
    <row r="413" spans="1:46" ht="16.5" customHeight="1">
      <c r="A413" s="432"/>
      <c r="B413" s="307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353"/>
      <c r="R413" s="353"/>
      <c r="S413" s="353"/>
      <c r="T413" s="353"/>
      <c r="U413" s="353"/>
      <c r="V413" s="353"/>
      <c r="W413" s="200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  <c r="AQ413" s="200"/>
      <c r="AR413" s="200"/>
      <c r="AS413" s="200"/>
      <c r="AT413" s="200"/>
    </row>
    <row r="414" spans="1:46" ht="16.5" customHeight="1">
      <c r="A414" s="432"/>
      <c r="B414" s="307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353"/>
      <c r="R414" s="353"/>
      <c r="S414" s="353"/>
      <c r="T414" s="353"/>
      <c r="U414" s="353"/>
      <c r="V414" s="353"/>
      <c r="W414" s="200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  <c r="AQ414" s="200"/>
      <c r="AR414" s="200"/>
      <c r="AS414" s="200"/>
      <c r="AT414" s="200"/>
    </row>
    <row r="415" spans="1:46" ht="16.5" customHeight="1">
      <c r="A415" s="432"/>
      <c r="B415" s="307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353"/>
      <c r="R415" s="353"/>
      <c r="S415" s="353"/>
      <c r="T415" s="353"/>
      <c r="U415" s="353"/>
      <c r="V415" s="353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  <c r="AT415" s="200"/>
    </row>
    <row r="416" spans="1:46" ht="16.5" customHeight="1">
      <c r="A416" s="432"/>
      <c r="B416" s="307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353"/>
      <c r="R416" s="353"/>
      <c r="S416" s="353"/>
      <c r="T416" s="353"/>
      <c r="U416" s="353"/>
      <c r="V416" s="353"/>
      <c r="W416" s="200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  <c r="AQ416" s="200"/>
      <c r="AR416" s="200"/>
      <c r="AS416" s="200"/>
      <c r="AT416" s="200"/>
    </row>
    <row r="417" spans="1:46" ht="16.5" customHeight="1">
      <c r="A417" s="432"/>
      <c r="B417" s="307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353"/>
      <c r="R417" s="353"/>
      <c r="S417" s="353"/>
      <c r="T417" s="353"/>
      <c r="U417" s="353"/>
      <c r="V417" s="353"/>
      <c r="W417" s="200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  <c r="AQ417" s="200"/>
      <c r="AR417" s="200"/>
      <c r="AS417" s="200"/>
      <c r="AT417" s="200"/>
    </row>
    <row r="418" spans="1:46" ht="16.5" customHeight="1">
      <c r="A418" s="432"/>
      <c r="B418" s="307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353"/>
      <c r="R418" s="353"/>
      <c r="S418" s="353"/>
      <c r="T418" s="353"/>
      <c r="U418" s="353"/>
      <c r="V418" s="353"/>
      <c r="W418" s="200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  <c r="AQ418" s="200"/>
      <c r="AR418" s="200"/>
      <c r="AS418" s="200"/>
      <c r="AT418" s="200"/>
    </row>
    <row r="419" spans="1:46" ht="16.5" customHeight="1">
      <c r="A419" s="432"/>
      <c r="B419" s="307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353"/>
      <c r="R419" s="353"/>
      <c r="S419" s="353"/>
      <c r="T419" s="353"/>
      <c r="U419" s="353"/>
      <c r="V419" s="353"/>
      <c r="W419" s="200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  <c r="AQ419" s="200"/>
      <c r="AR419" s="200"/>
      <c r="AS419" s="200"/>
      <c r="AT419" s="200"/>
    </row>
    <row r="420" spans="1:46" ht="16.5" customHeight="1">
      <c r="A420" s="432"/>
      <c r="B420" s="307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353"/>
      <c r="R420" s="353"/>
      <c r="S420" s="353"/>
      <c r="T420" s="353"/>
      <c r="U420" s="353"/>
      <c r="V420" s="353"/>
      <c r="W420" s="200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  <c r="AQ420" s="200"/>
      <c r="AR420" s="200"/>
      <c r="AS420" s="200"/>
      <c r="AT420" s="200"/>
    </row>
    <row r="421" spans="1:46" ht="16.5" customHeight="1">
      <c r="A421" s="432"/>
      <c r="B421" s="307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353"/>
      <c r="R421" s="353"/>
      <c r="S421" s="353"/>
      <c r="T421" s="353"/>
      <c r="U421" s="353"/>
      <c r="V421" s="353"/>
      <c r="W421" s="200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  <c r="AQ421" s="200"/>
      <c r="AR421" s="200"/>
      <c r="AS421" s="200"/>
      <c r="AT421" s="200"/>
    </row>
    <row r="422" spans="1:46" ht="16.5" customHeight="1">
      <c r="A422" s="432"/>
      <c r="B422" s="307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353"/>
      <c r="R422" s="353"/>
      <c r="S422" s="353"/>
      <c r="T422" s="353"/>
      <c r="U422" s="353"/>
      <c r="V422" s="353"/>
      <c r="W422" s="200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  <c r="AQ422" s="200"/>
      <c r="AR422" s="200"/>
      <c r="AS422" s="200"/>
      <c r="AT422" s="200"/>
    </row>
    <row r="423" spans="1:46" ht="16.5" customHeight="1">
      <c r="A423" s="432"/>
      <c r="B423" s="307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353"/>
      <c r="R423" s="353"/>
      <c r="S423" s="353"/>
      <c r="T423" s="353"/>
      <c r="U423" s="353"/>
      <c r="V423" s="353"/>
      <c r="W423" s="200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  <c r="AQ423" s="200"/>
      <c r="AR423" s="200"/>
      <c r="AS423" s="200"/>
      <c r="AT423" s="200"/>
    </row>
    <row r="424" spans="1:46" ht="16.5" customHeight="1">
      <c r="A424" s="432"/>
      <c r="B424" s="307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353"/>
      <c r="R424" s="353"/>
      <c r="S424" s="353"/>
      <c r="T424" s="353"/>
      <c r="U424" s="353"/>
      <c r="V424" s="353"/>
      <c r="W424" s="200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  <c r="AT424" s="200"/>
    </row>
    <row r="425" spans="1:46" ht="16.5" customHeight="1">
      <c r="A425" s="432"/>
      <c r="B425" s="307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353"/>
      <c r="R425" s="353"/>
      <c r="S425" s="353"/>
      <c r="T425" s="353"/>
      <c r="U425" s="353"/>
      <c r="V425" s="353"/>
      <c r="W425" s="200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  <c r="AQ425" s="200"/>
      <c r="AR425" s="200"/>
      <c r="AS425" s="200"/>
      <c r="AT425" s="200"/>
    </row>
    <row r="426" spans="1:46" ht="16.5" customHeight="1">
      <c r="A426" s="432"/>
      <c r="B426" s="307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353"/>
      <c r="R426" s="353"/>
      <c r="S426" s="353"/>
      <c r="T426" s="353"/>
      <c r="U426" s="353"/>
      <c r="V426" s="353"/>
      <c r="W426" s="200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  <c r="AT426" s="200"/>
    </row>
    <row r="427" spans="1:46" ht="16.5" customHeight="1">
      <c r="A427" s="432"/>
      <c r="B427" s="307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353"/>
      <c r="R427" s="353"/>
      <c r="S427" s="353"/>
      <c r="T427" s="353"/>
      <c r="U427" s="353"/>
      <c r="V427" s="353"/>
      <c r="W427" s="200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  <c r="AQ427" s="200"/>
      <c r="AR427" s="200"/>
      <c r="AS427" s="200"/>
      <c r="AT427" s="200"/>
    </row>
    <row r="428" spans="1:46" ht="16.5" customHeight="1">
      <c r="A428" s="432"/>
      <c r="B428" s="307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353"/>
      <c r="R428" s="353"/>
      <c r="S428" s="353"/>
      <c r="T428" s="353"/>
      <c r="U428" s="353"/>
      <c r="V428" s="353"/>
      <c r="W428" s="200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  <c r="AQ428" s="200"/>
      <c r="AR428" s="200"/>
      <c r="AS428" s="200"/>
      <c r="AT428" s="200"/>
    </row>
    <row r="429" spans="1:46" ht="16.5" customHeight="1">
      <c r="A429" s="432"/>
      <c r="B429" s="307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353"/>
      <c r="R429" s="353"/>
      <c r="S429" s="353"/>
      <c r="T429" s="353"/>
      <c r="U429" s="353"/>
      <c r="V429" s="353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  <c r="AQ429" s="200"/>
      <c r="AR429" s="200"/>
      <c r="AS429" s="200"/>
      <c r="AT429" s="200"/>
    </row>
    <row r="430" spans="1:46" ht="16.5" customHeight="1">
      <c r="A430" s="432"/>
      <c r="B430" s="307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353"/>
      <c r="R430" s="353"/>
      <c r="S430" s="353"/>
      <c r="T430" s="353"/>
      <c r="U430" s="353"/>
      <c r="V430" s="353"/>
      <c r="W430" s="200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  <c r="AQ430" s="200"/>
      <c r="AR430" s="200"/>
      <c r="AS430" s="200"/>
      <c r="AT430" s="200"/>
    </row>
    <row r="431" spans="1:46" ht="16.5" customHeight="1">
      <c r="A431" s="432"/>
      <c r="B431" s="307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353"/>
      <c r="R431" s="353"/>
      <c r="S431" s="353"/>
      <c r="T431" s="353"/>
      <c r="U431" s="353"/>
      <c r="V431" s="353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  <c r="AQ431" s="200"/>
      <c r="AR431" s="200"/>
      <c r="AS431" s="200"/>
      <c r="AT431" s="200"/>
    </row>
    <row r="432" spans="1:46" ht="16.5" customHeight="1">
      <c r="A432" s="432"/>
      <c r="B432" s="307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353"/>
      <c r="R432" s="353"/>
      <c r="S432" s="353"/>
      <c r="T432" s="353"/>
      <c r="U432" s="353"/>
      <c r="V432" s="353"/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  <c r="AQ432" s="200"/>
      <c r="AR432" s="200"/>
      <c r="AS432" s="200"/>
      <c r="AT432" s="200"/>
    </row>
    <row r="433" spans="1:46" ht="16.5" customHeight="1">
      <c r="A433" s="432"/>
      <c r="B433" s="307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353"/>
      <c r="R433" s="353"/>
      <c r="S433" s="353"/>
      <c r="T433" s="353"/>
      <c r="U433" s="353"/>
      <c r="V433" s="353"/>
      <c r="W433" s="200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  <c r="AT433" s="200"/>
    </row>
    <row r="434" spans="1:46" ht="16.5" customHeight="1">
      <c r="A434" s="432"/>
      <c r="B434" s="307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353"/>
      <c r="R434" s="353"/>
      <c r="S434" s="353"/>
      <c r="T434" s="353"/>
      <c r="U434" s="353"/>
      <c r="V434" s="353"/>
      <c r="W434" s="200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  <c r="AT434" s="200"/>
    </row>
    <row r="435" spans="1:46" ht="16.5" customHeight="1">
      <c r="A435" s="432"/>
      <c r="B435" s="307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353"/>
      <c r="R435" s="353"/>
      <c r="S435" s="353"/>
      <c r="T435" s="353"/>
      <c r="U435" s="353"/>
      <c r="V435" s="353"/>
      <c r="W435" s="200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  <c r="AQ435" s="200"/>
      <c r="AR435" s="200"/>
      <c r="AS435" s="200"/>
      <c r="AT435" s="200"/>
    </row>
    <row r="436" spans="1:46" ht="16.5" customHeight="1">
      <c r="A436" s="432"/>
      <c r="B436" s="307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353"/>
      <c r="R436" s="353"/>
      <c r="S436" s="353"/>
      <c r="T436" s="353"/>
      <c r="U436" s="353"/>
      <c r="V436" s="353"/>
      <c r="W436" s="200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  <c r="AQ436" s="200"/>
      <c r="AR436" s="200"/>
      <c r="AS436" s="200"/>
      <c r="AT436" s="200"/>
    </row>
    <row r="437" spans="1:46" ht="16.5" customHeight="1">
      <c r="A437" s="432"/>
      <c r="B437" s="307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353"/>
      <c r="R437" s="353"/>
      <c r="S437" s="353"/>
      <c r="T437" s="353"/>
      <c r="U437" s="353"/>
      <c r="V437" s="353"/>
      <c r="W437" s="200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  <c r="AQ437" s="200"/>
      <c r="AR437" s="200"/>
      <c r="AS437" s="200"/>
      <c r="AT437" s="200"/>
    </row>
    <row r="438" spans="1:46" ht="16.5" customHeight="1">
      <c r="A438" s="432"/>
      <c r="B438" s="307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353"/>
      <c r="R438" s="353"/>
      <c r="S438" s="353"/>
      <c r="T438" s="353"/>
      <c r="U438" s="353"/>
      <c r="V438" s="353"/>
      <c r="W438" s="200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  <c r="AT438" s="200"/>
    </row>
    <row r="439" spans="1:46" ht="16.5" customHeight="1">
      <c r="A439" s="432"/>
      <c r="B439" s="307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353"/>
      <c r="R439" s="353"/>
      <c r="S439" s="353"/>
      <c r="T439" s="353"/>
      <c r="U439" s="353"/>
      <c r="V439" s="353"/>
      <c r="W439" s="200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  <c r="AQ439" s="200"/>
      <c r="AR439" s="200"/>
      <c r="AS439" s="200"/>
      <c r="AT439" s="200"/>
    </row>
    <row r="440" spans="1:46" ht="16.5" customHeight="1">
      <c r="A440" s="432"/>
      <c r="B440" s="307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353"/>
      <c r="R440" s="353"/>
      <c r="S440" s="353"/>
      <c r="T440" s="353"/>
      <c r="U440" s="353"/>
      <c r="V440" s="353"/>
      <c r="W440" s="200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  <c r="AQ440" s="200"/>
      <c r="AR440" s="200"/>
      <c r="AS440" s="200"/>
      <c r="AT440" s="200"/>
    </row>
    <row r="441" spans="1:46" ht="16.5" customHeight="1">
      <c r="A441" s="432"/>
      <c r="B441" s="307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353"/>
      <c r="R441" s="353"/>
      <c r="S441" s="353"/>
      <c r="T441" s="353"/>
      <c r="U441" s="353"/>
      <c r="V441" s="353"/>
      <c r="W441" s="200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</row>
    <row r="442" spans="1:46" ht="16.5" customHeight="1">
      <c r="A442" s="432"/>
      <c r="B442" s="307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353"/>
      <c r="R442" s="353"/>
      <c r="S442" s="353"/>
      <c r="T442" s="353"/>
      <c r="U442" s="353"/>
      <c r="V442" s="353"/>
      <c r="W442" s="200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  <c r="AQ442" s="200"/>
      <c r="AR442" s="200"/>
      <c r="AS442" s="200"/>
      <c r="AT442" s="200"/>
    </row>
    <row r="443" spans="1:46" ht="16.5" customHeight="1">
      <c r="A443" s="432"/>
      <c r="B443" s="307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353"/>
      <c r="R443" s="353"/>
      <c r="S443" s="353"/>
      <c r="T443" s="353"/>
      <c r="U443" s="353"/>
      <c r="V443" s="353"/>
      <c r="W443" s="200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  <c r="AQ443" s="200"/>
      <c r="AR443" s="200"/>
      <c r="AS443" s="200"/>
      <c r="AT443" s="200"/>
    </row>
    <row r="444" spans="1:46" ht="16.5" customHeight="1">
      <c r="A444" s="432"/>
      <c r="B444" s="307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353"/>
      <c r="R444" s="353"/>
      <c r="S444" s="353"/>
      <c r="T444" s="353"/>
      <c r="U444" s="353"/>
      <c r="V444" s="353"/>
      <c r="W444" s="200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  <c r="AT444" s="200"/>
    </row>
    <row r="445" spans="1:46" ht="16.5" customHeight="1">
      <c r="A445" s="432"/>
      <c r="B445" s="307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353"/>
      <c r="R445" s="353"/>
      <c r="S445" s="353"/>
      <c r="T445" s="353"/>
      <c r="U445" s="353"/>
      <c r="V445" s="353"/>
      <c r="W445" s="200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  <c r="AQ445" s="200"/>
      <c r="AR445" s="200"/>
      <c r="AS445" s="200"/>
      <c r="AT445" s="200"/>
    </row>
    <row r="446" spans="1:46" ht="16.5" customHeight="1">
      <c r="A446" s="432"/>
      <c r="B446" s="307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353"/>
      <c r="R446" s="353"/>
      <c r="S446" s="353"/>
      <c r="T446" s="353"/>
      <c r="U446" s="353"/>
      <c r="V446" s="353"/>
      <c r="W446" s="200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  <c r="AT446" s="200"/>
    </row>
    <row r="447" spans="1:46" ht="16.5" customHeight="1">
      <c r="A447" s="432"/>
      <c r="B447" s="307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353"/>
      <c r="R447" s="353"/>
      <c r="S447" s="353"/>
      <c r="T447" s="353"/>
      <c r="U447" s="353"/>
      <c r="V447" s="353"/>
      <c r="W447" s="200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  <c r="AT447" s="200"/>
    </row>
    <row r="448" spans="1:46" ht="16.5" customHeight="1">
      <c r="A448" s="432"/>
      <c r="B448" s="307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353"/>
      <c r="R448" s="353"/>
      <c r="S448" s="353"/>
      <c r="T448" s="353"/>
      <c r="U448" s="353"/>
      <c r="V448" s="353"/>
      <c r="W448" s="200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  <c r="AQ448" s="200"/>
      <c r="AR448" s="200"/>
      <c r="AS448" s="200"/>
      <c r="AT448" s="200"/>
    </row>
    <row r="449" spans="1:46" ht="16.5" customHeight="1">
      <c r="A449" s="432"/>
      <c r="B449" s="307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353"/>
      <c r="R449" s="353"/>
      <c r="S449" s="353"/>
      <c r="T449" s="353"/>
      <c r="U449" s="353"/>
      <c r="V449" s="353"/>
      <c r="W449" s="200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  <c r="AQ449" s="200"/>
      <c r="AR449" s="200"/>
      <c r="AS449" s="200"/>
      <c r="AT449" s="200"/>
    </row>
    <row r="450" spans="1:46" ht="16.5" customHeight="1">
      <c r="A450" s="432"/>
      <c r="B450" s="307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353"/>
      <c r="R450" s="353"/>
      <c r="S450" s="353"/>
      <c r="T450" s="353"/>
      <c r="U450" s="353"/>
      <c r="V450" s="353"/>
      <c r="W450" s="200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  <c r="AQ450" s="200"/>
      <c r="AR450" s="200"/>
      <c r="AS450" s="200"/>
      <c r="AT450" s="200"/>
    </row>
    <row r="451" spans="1:46" ht="16.5" customHeight="1">
      <c r="A451" s="432"/>
      <c r="B451" s="307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353"/>
      <c r="R451" s="353"/>
      <c r="S451" s="353"/>
      <c r="T451" s="353"/>
      <c r="U451" s="353"/>
      <c r="V451" s="353"/>
      <c r="W451" s="200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  <c r="AQ451" s="200"/>
      <c r="AR451" s="200"/>
      <c r="AS451" s="200"/>
      <c r="AT451" s="200"/>
    </row>
    <row r="452" spans="1:46" ht="16.5" customHeight="1">
      <c r="A452" s="432"/>
      <c r="B452" s="307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353"/>
      <c r="R452" s="353"/>
      <c r="S452" s="353"/>
      <c r="T452" s="353"/>
      <c r="U452" s="353"/>
      <c r="V452" s="353"/>
      <c r="W452" s="200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  <c r="AQ452" s="200"/>
      <c r="AR452" s="200"/>
      <c r="AS452" s="200"/>
      <c r="AT452" s="200"/>
    </row>
    <row r="453" spans="1:46" ht="16.5" customHeight="1">
      <c r="A453" s="432"/>
      <c r="B453" s="307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353"/>
      <c r="R453" s="353"/>
      <c r="S453" s="353"/>
      <c r="T453" s="353"/>
      <c r="U453" s="353"/>
      <c r="V453" s="353"/>
      <c r="W453" s="200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  <c r="AT453" s="200"/>
    </row>
    <row r="454" spans="1:46" ht="16.5" customHeight="1">
      <c r="A454" s="432"/>
      <c r="B454" s="307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353"/>
      <c r="R454" s="353"/>
      <c r="S454" s="353"/>
      <c r="T454" s="353"/>
      <c r="U454" s="353"/>
      <c r="V454" s="353"/>
      <c r="W454" s="200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  <c r="AQ454" s="200"/>
      <c r="AR454" s="200"/>
      <c r="AS454" s="200"/>
      <c r="AT454" s="200"/>
    </row>
    <row r="455" spans="1:46" ht="16.5" customHeight="1">
      <c r="A455" s="432"/>
      <c r="B455" s="307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353"/>
      <c r="R455" s="353"/>
      <c r="S455" s="353"/>
      <c r="T455" s="353"/>
      <c r="U455" s="353"/>
      <c r="V455" s="353"/>
      <c r="W455" s="200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  <c r="AQ455" s="200"/>
      <c r="AR455" s="200"/>
      <c r="AS455" s="200"/>
      <c r="AT455" s="200"/>
    </row>
    <row r="456" spans="1:46" ht="16.5" customHeight="1">
      <c r="A456" s="432"/>
      <c r="B456" s="307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353"/>
      <c r="R456" s="353"/>
      <c r="S456" s="353"/>
      <c r="T456" s="353"/>
      <c r="U456" s="353"/>
      <c r="V456" s="353"/>
      <c r="W456" s="200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  <c r="AQ456" s="200"/>
      <c r="AR456" s="200"/>
      <c r="AS456" s="200"/>
      <c r="AT456" s="200"/>
    </row>
    <row r="457" spans="1:46" ht="16.5" customHeight="1">
      <c r="A457" s="432"/>
      <c r="B457" s="307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353"/>
      <c r="R457" s="353"/>
      <c r="S457" s="353"/>
      <c r="T457" s="353"/>
      <c r="U457" s="353"/>
      <c r="V457" s="353"/>
      <c r="W457" s="200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  <c r="AQ457" s="200"/>
      <c r="AR457" s="200"/>
      <c r="AS457" s="200"/>
      <c r="AT457" s="200"/>
    </row>
    <row r="458" spans="1:46" ht="16.5" customHeight="1">
      <c r="A458" s="432"/>
      <c r="B458" s="307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353"/>
      <c r="R458" s="353"/>
      <c r="S458" s="353"/>
      <c r="T458" s="353"/>
      <c r="U458" s="353"/>
      <c r="V458" s="353"/>
      <c r="W458" s="200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  <c r="AQ458" s="200"/>
      <c r="AR458" s="200"/>
      <c r="AS458" s="200"/>
      <c r="AT458" s="200"/>
    </row>
    <row r="459" spans="1:46" ht="16.5" customHeight="1">
      <c r="A459" s="432"/>
      <c r="B459" s="307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353"/>
      <c r="R459" s="353"/>
      <c r="S459" s="353"/>
      <c r="T459" s="353"/>
      <c r="U459" s="353"/>
      <c r="V459" s="353"/>
      <c r="W459" s="200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  <c r="AQ459" s="200"/>
      <c r="AR459" s="200"/>
      <c r="AS459" s="200"/>
      <c r="AT459" s="200"/>
    </row>
    <row r="460" spans="1:46" ht="16.5" customHeight="1">
      <c r="A460" s="432"/>
      <c r="B460" s="307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353"/>
      <c r="R460" s="353"/>
      <c r="S460" s="353"/>
      <c r="T460" s="353"/>
      <c r="U460" s="353"/>
      <c r="V460" s="353"/>
      <c r="W460" s="200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  <c r="AT460" s="200"/>
    </row>
    <row r="461" spans="1:46" ht="16.5" customHeight="1">
      <c r="A461" s="432"/>
      <c r="B461" s="307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353"/>
      <c r="R461" s="353"/>
      <c r="S461" s="353"/>
      <c r="T461" s="353"/>
      <c r="U461" s="353"/>
      <c r="V461" s="353"/>
      <c r="W461" s="200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  <c r="AQ461" s="200"/>
      <c r="AR461" s="200"/>
      <c r="AS461" s="200"/>
      <c r="AT461" s="200"/>
    </row>
    <row r="462" spans="1:46" ht="16.5" customHeight="1">
      <c r="A462" s="432"/>
      <c r="B462" s="307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353"/>
      <c r="R462" s="353"/>
      <c r="S462" s="353"/>
      <c r="T462" s="353"/>
      <c r="U462" s="353"/>
      <c r="V462" s="353"/>
      <c r="W462" s="200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  <c r="AT462" s="200"/>
    </row>
    <row r="463" spans="1:46" ht="16.5" customHeight="1">
      <c r="A463" s="432"/>
      <c r="B463" s="307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353"/>
      <c r="R463" s="353"/>
      <c r="S463" s="353"/>
      <c r="T463" s="353"/>
      <c r="U463" s="353"/>
      <c r="V463" s="353"/>
      <c r="W463" s="200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  <c r="AQ463" s="200"/>
      <c r="AR463" s="200"/>
      <c r="AS463" s="200"/>
      <c r="AT463" s="200"/>
    </row>
    <row r="464" spans="1:46" ht="16.5" customHeight="1">
      <c r="A464" s="432"/>
      <c r="B464" s="307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353"/>
      <c r="R464" s="353"/>
      <c r="S464" s="353"/>
      <c r="T464" s="353"/>
      <c r="U464" s="353"/>
      <c r="V464" s="353"/>
      <c r="W464" s="200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  <c r="AQ464" s="200"/>
      <c r="AR464" s="200"/>
      <c r="AS464" s="200"/>
      <c r="AT464" s="200"/>
    </row>
    <row r="465" spans="1:46" ht="16.5" customHeight="1">
      <c r="A465" s="432"/>
      <c r="B465" s="307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353"/>
      <c r="R465" s="353"/>
      <c r="S465" s="353"/>
      <c r="T465" s="353"/>
      <c r="U465" s="353"/>
      <c r="V465" s="353"/>
      <c r="W465" s="200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  <c r="AQ465" s="200"/>
      <c r="AR465" s="200"/>
      <c r="AS465" s="200"/>
      <c r="AT465" s="200"/>
    </row>
    <row r="466" spans="1:46" ht="16.5" customHeight="1">
      <c r="A466" s="432"/>
      <c r="B466" s="307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353"/>
      <c r="R466" s="353"/>
      <c r="S466" s="353"/>
      <c r="T466" s="353"/>
      <c r="U466" s="353"/>
      <c r="V466" s="353"/>
      <c r="W466" s="200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  <c r="AT466" s="200"/>
    </row>
    <row r="467" spans="1:46" ht="16.5" customHeight="1">
      <c r="A467" s="432"/>
      <c r="B467" s="307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353"/>
      <c r="R467" s="353"/>
      <c r="S467" s="353"/>
      <c r="T467" s="353"/>
      <c r="U467" s="353"/>
      <c r="V467" s="353"/>
      <c r="W467" s="200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  <c r="AQ467" s="200"/>
      <c r="AR467" s="200"/>
      <c r="AS467" s="200"/>
      <c r="AT467" s="200"/>
    </row>
    <row r="468" spans="1:46" ht="16.5" customHeight="1">
      <c r="A468" s="432"/>
      <c r="B468" s="307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353"/>
      <c r="R468" s="353"/>
      <c r="S468" s="353"/>
      <c r="T468" s="353"/>
      <c r="U468" s="353"/>
      <c r="V468" s="353"/>
      <c r="W468" s="200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  <c r="AQ468" s="200"/>
      <c r="AR468" s="200"/>
      <c r="AS468" s="200"/>
      <c r="AT468" s="200"/>
    </row>
    <row r="469" spans="1:46" ht="16.5" customHeight="1">
      <c r="A469" s="432"/>
      <c r="B469" s="307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353"/>
      <c r="R469" s="353"/>
      <c r="S469" s="353"/>
      <c r="T469" s="353"/>
      <c r="U469" s="353"/>
      <c r="V469" s="353"/>
      <c r="W469" s="200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  <c r="AT469" s="200"/>
    </row>
    <row r="470" spans="1:46" ht="16.5" customHeight="1">
      <c r="A470" s="432"/>
      <c r="B470" s="307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353"/>
      <c r="R470" s="353"/>
      <c r="S470" s="353"/>
      <c r="T470" s="353"/>
      <c r="U470" s="353"/>
      <c r="V470" s="353"/>
      <c r="W470" s="200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  <c r="AQ470" s="200"/>
      <c r="AR470" s="200"/>
      <c r="AS470" s="200"/>
      <c r="AT470" s="200"/>
    </row>
    <row r="471" spans="1:46" ht="16.5" customHeight="1">
      <c r="A471" s="432"/>
      <c r="B471" s="307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353"/>
      <c r="R471" s="353"/>
      <c r="S471" s="353"/>
      <c r="T471" s="353"/>
      <c r="U471" s="353"/>
      <c r="V471" s="353"/>
      <c r="W471" s="200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  <c r="AQ471" s="200"/>
      <c r="AR471" s="200"/>
      <c r="AS471" s="200"/>
      <c r="AT471" s="200"/>
    </row>
    <row r="472" spans="1:46" ht="16.5" customHeight="1">
      <c r="A472" s="432"/>
      <c r="B472" s="307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353"/>
      <c r="R472" s="353"/>
      <c r="S472" s="353"/>
      <c r="T472" s="353"/>
      <c r="U472" s="353"/>
      <c r="V472" s="353"/>
      <c r="W472" s="200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  <c r="AT472" s="200"/>
    </row>
    <row r="473" spans="1:46" ht="16.5" customHeight="1">
      <c r="A473" s="432"/>
      <c r="B473" s="307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353"/>
      <c r="R473" s="353"/>
      <c r="S473" s="353"/>
      <c r="T473" s="353"/>
      <c r="U473" s="353"/>
      <c r="V473" s="353"/>
      <c r="W473" s="200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  <c r="AT473" s="200"/>
    </row>
    <row r="474" spans="1:46" ht="16.5" customHeight="1">
      <c r="A474" s="432"/>
      <c r="B474" s="307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353"/>
      <c r="R474" s="353"/>
      <c r="S474" s="353"/>
      <c r="T474" s="353"/>
      <c r="U474" s="353"/>
      <c r="V474" s="353"/>
      <c r="W474" s="200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  <c r="AQ474" s="200"/>
      <c r="AR474" s="200"/>
      <c r="AS474" s="200"/>
      <c r="AT474" s="200"/>
    </row>
    <row r="475" spans="1:46" ht="16.5" customHeight="1">
      <c r="A475" s="432"/>
      <c r="B475" s="307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353"/>
      <c r="R475" s="353"/>
      <c r="S475" s="353"/>
      <c r="T475" s="353"/>
      <c r="U475" s="353"/>
      <c r="V475" s="353"/>
      <c r="W475" s="200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  <c r="AT475" s="200"/>
    </row>
    <row r="476" spans="1:46" ht="16.5" customHeight="1">
      <c r="A476" s="432"/>
      <c r="B476" s="307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353"/>
      <c r="R476" s="353"/>
      <c r="S476" s="353"/>
      <c r="T476" s="353"/>
      <c r="U476" s="353"/>
      <c r="V476" s="353"/>
      <c r="W476" s="200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  <c r="AQ476" s="200"/>
      <c r="AR476" s="200"/>
      <c r="AS476" s="200"/>
      <c r="AT476" s="200"/>
    </row>
    <row r="477" spans="1:46" ht="16.5" customHeight="1">
      <c r="A477" s="432"/>
      <c r="B477" s="307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353"/>
      <c r="R477" s="353"/>
      <c r="S477" s="353"/>
      <c r="T477" s="353"/>
      <c r="U477" s="353"/>
      <c r="V477" s="353"/>
      <c r="W477" s="200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  <c r="AT477" s="200"/>
    </row>
    <row r="478" spans="1:46" ht="16.5" customHeight="1">
      <c r="A478" s="432"/>
      <c r="B478" s="307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353"/>
      <c r="R478" s="353"/>
      <c r="S478" s="353"/>
      <c r="T478" s="353"/>
      <c r="U478" s="353"/>
      <c r="V478" s="353"/>
      <c r="W478" s="200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  <c r="AT478" s="200"/>
    </row>
    <row r="479" spans="1:46" ht="16.5" customHeight="1">
      <c r="A479" s="432"/>
      <c r="B479" s="307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353"/>
      <c r="R479" s="353"/>
      <c r="S479" s="353"/>
      <c r="T479" s="353"/>
      <c r="U479" s="353"/>
      <c r="V479" s="353"/>
      <c r="W479" s="200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  <c r="AQ479" s="200"/>
      <c r="AR479" s="200"/>
      <c r="AS479" s="200"/>
      <c r="AT479" s="200"/>
    </row>
    <row r="480" spans="1:46" ht="16.5" customHeight="1">
      <c r="A480" s="432"/>
      <c r="B480" s="307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353"/>
      <c r="R480" s="353"/>
      <c r="S480" s="353"/>
      <c r="T480" s="353"/>
      <c r="U480" s="353"/>
      <c r="V480" s="353"/>
      <c r="W480" s="200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  <c r="AQ480" s="200"/>
      <c r="AR480" s="200"/>
      <c r="AS480" s="200"/>
      <c r="AT480" s="200"/>
    </row>
    <row r="481" spans="1:46" ht="16.5" customHeight="1">
      <c r="A481" s="432"/>
      <c r="B481" s="307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353"/>
      <c r="R481" s="353"/>
      <c r="S481" s="353"/>
      <c r="T481" s="353"/>
      <c r="U481" s="353"/>
      <c r="V481" s="353"/>
      <c r="W481" s="200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  <c r="AQ481" s="200"/>
      <c r="AR481" s="200"/>
      <c r="AS481" s="200"/>
      <c r="AT481" s="200"/>
    </row>
    <row r="482" spans="1:46" ht="16.5" customHeight="1">
      <c r="A482" s="432"/>
      <c r="B482" s="307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353"/>
      <c r="R482" s="353"/>
      <c r="S482" s="353"/>
      <c r="T482" s="353"/>
      <c r="U482" s="353"/>
      <c r="V482" s="353"/>
      <c r="W482" s="200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  <c r="AQ482" s="200"/>
      <c r="AR482" s="200"/>
      <c r="AS482" s="200"/>
      <c r="AT482" s="200"/>
    </row>
    <row r="483" spans="1:46" ht="16.5" customHeight="1">
      <c r="A483" s="432"/>
      <c r="B483" s="307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353"/>
      <c r="R483" s="353"/>
      <c r="S483" s="353"/>
      <c r="T483" s="353"/>
      <c r="U483" s="353"/>
      <c r="V483" s="353"/>
      <c r="W483" s="200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  <c r="AQ483" s="200"/>
      <c r="AR483" s="200"/>
      <c r="AS483" s="200"/>
      <c r="AT483" s="200"/>
    </row>
    <row r="484" spans="1:46" ht="16.5" customHeight="1">
      <c r="A484" s="432"/>
      <c r="B484" s="307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353"/>
      <c r="R484" s="353"/>
      <c r="S484" s="353"/>
      <c r="T484" s="353"/>
      <c r="U484" s="353"/>
      <c r="V484" s="353"/>
      <c r="W484" s="200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  <c r="AT484" s="200"/>
    </row>
    <row r="485" spans="1:46" ht="16.5" customHeight="1">
      <c r="A485" s="432"/>
      <c r="B485" s="307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353"/>
      <c r="R485" s="353"/>
      <c r="S485" s="353"/>
      <c r="T485" s="353"/>
      <c r="U485" s="353"/>
      <c r="V485" s="353"/>
      <c r="W485" s="200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  <c r="AQ485" s="200"/>
      <c r="AR485" s="200"/>
      <c r="AS485" s="200"/>
      <c r="AT485" s="200"/>
    </row>
    <row r="486" spans="1:46" ht="16.5" customHeight="1">
      <c r="A486" s="432"/>
      <c r="B486" s="307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353"/>
      <c r="R486" s="353"/>
      <c r="S486" s="353"/>
      <c r="T486" s="353"/>
      <c r="U486" s="353"/>
      <c r="V486" s="353"/>
      <c r="W486" s="200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  <c r="AQ486" s="200"/>
      <c r="AR486" s="200"/>
      <c r="AS486" s="200"/>
      <c r="AT486" s="200"/>
    </row>
    <row r="487" spans="1:46" ht="16.5" customHeight="1">
      <c r="A487" s="432"/>
      <c r="B487" s="307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353"/>
      <c r="R487" s="353"/>
      <c r="S487" s="353"/>
      <c r="T487" s="353"/>
      <c r="U487" s="353"/>
      <c r="V487" s="353"/>
      <c r="W487" s="200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  <c r="AQ487" s="200"/>
      <c r="AR487" s="200"/>
      <c r="AS487" s="200"/>
      <c r="AT487" s="200"/>
    </row>
    <row r="488" spans="1:46" ht="16.5" customHeight="1">
      <c r="A488" s="432"/>
      <c r="B488" s="307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353"/>
      <c r="R488" s="353"/>
      <c r="S488" s="353"/>
      <c r="T488" s="353"/>
      <c r="U488" s="353"/>
      <c r="V488" s="353"/>
      <c r="W488" s="200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  <c r="AQ488" s="200"/>
      <c r="AR488" s="200"/>
      <c r="AS488" s="200"/>
      <c r="AT488" s="200"/>
    </row>
    <row r="489" spans="1:46" ht="16.5" customHeight="1">
      <c r="A489" s="432"/>
      <c r="B489" s="307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353"/>
      <c r="R489" s="353"/>
      <c r="S489" s="353"/>
      <c r="T489" s="353"/>
      <c r="U489" s="353"/>
      <c r="V489" s="353"/>
      <c r="W489" s="200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  <c r="AQ489" s="200"/>
      <c r="AR489" s="200"/>
      <c r="AS489" s="200"/>
      <c r="AT489" s="200"/>
    </row>
    <row r="490" spans="1:46" ht="16.5" customHeight="1">
      <c r="A490" s="432"/>
      <c r="B490" s="307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353"/>
      <c r="R490" s="353"/>
      <c r="S490" s="353"/>
      <c r="T490" s="353"/>
      <c r="U490" s="353"/>
      <c r="V490" s="353"/>
      <c r="W490" s="200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  <c r="AT490" s="200"/>
    </row>
    <row r="491" spans="1:46" ht="16.5" customHeight="1">
      <c r="A491" s="432"/>
      <c r="B491" s="307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353"/>
      <c r="R491" s="353"/>
      <c r="S491" s="353"/>
      <c r="T491" s="353"/>
      <c r="U491" s="353"/>
      <c r="V491" s="353"/>
      <c r="W491" s="200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  <c r="AQ491" s="200"/>
      <c r="AR491" s="200"/>
      <c r="AS491" s="200"/>
      <c r="AT491" s="200"/>
    </row>
    <row r="492" spans="1:46" ht="16.5" customHeight="1">
      <c r="A492" s="432"/>
      <c r="B492" s="307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353"/>
      <c r="R492" s="353"/>
      <c r="S492" s="353"/>
      <c r="T492" s="353"/>
      <c r="U492" s="353"/>
      <c r="V492" s="353"/>
      <c r="W492" s="200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  <c r="AQ492" s="200"/>
      <c r="AR492" s="200"/>
      <c r="AS492" s="200"/>
      <c r="AT492" s="200"/>
    </row>
    <row r="493" spans="1:46" ht="16.5" customHeight="1">
      <c r="A493" s="432"/>
      <c r="B493" s="307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353"/>
      <c r="R493" s="353"/>
      <c r="S493" s="353"/>
      <c r="T493" s="353"/>
      <c r="U493" s="353"/>
      <c r="V493" s="353"/>
      <c r="W493" s="200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  <c r="AQ493" s="200"/>
      <c r="AR493" s="200"/>
      <c r="AS493" s="200"/>
      <c r="AT493" s="200"/>
    </row>
    <row r="494" spans="1:46" ht="16.5" customHeight="1">
      <c r="A494" s="432"/>
      <c r="B494" s="307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353"/>
      <c r="R494" s="353"/>
      <c r="S494" s="353"/>
      <c r="T494" s="353"/>
      <c r="U494" s="353"/>
      <c r="V494" s="353"/>
      <c r="W494" s="200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</row>
    <row r="495" spans="1:46" ht="16.5" customHeight="1">
      <c r="A495" s="432"/>
      <c r="B495" s="307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353"/>
      <c r="R495" s="353"/>
      <c r="S495" s="353"/>
      <c r="T495" s="353"/>
      <c r="U495" s="353"/>
      <c r="V495" s="353"/>
      <c r="W495" s="200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  <c r="AQ495" s="200"/>
      <c r="AR495" s="200"/>
      <c r="AS495" s="200"/>
      <c r="AT495" s="200"/>
    </row>
    <row r="496" spans="1:46" ht="16.5" customHeight="1">
      <c r="A496" s="432"/>
      <c r="B496" s="307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353"/>
      <c r="R496" s="353"/>
      <c r="S496" s="353"/>
      <c r="T496" s="353"/>
      <c r="U496" s="353"/>
      <c r="V496" s="353"/>
      <c r="W496" s="200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  <c r="AQ496" s="200"/>
      <c r="AR496" s="200"/>
      <c r="AS496" s="200"/>
      <c r="AT496" s="200"/>
    </row>
    <row r="497" spans="1:46" ht="16.5" customHeight="1">
      <c r="A497" s="432"/>
      <c r="B497" s="307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353"/>
      <c r="R497" s="353"/>
      <c r="S497" s="353"/>
      <c r="T497" s="353"/>
      <c r="U497" s="353"/>
      <c r="V497" s="353"/>
      <c r="W497" s="200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</row>
    <row r="498" spans="1:46" ht="16.5" customHeight="1">
      <c r="A498" s="432"/>
      <c r="B498" s="307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353"/>
      <c r="R498" s="353"/>
      <c r="S498" s="353"/>
      <c r="T498" s="353"/>
      <c r="U498" s="353"/>
      <c r="V498" s="353"/>
      <c r="W498" s="200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  <c r="AQ498" s="200"/>
      <c r="AR498" s="200"/>
      <c r="AS498" s="200"/>
      <c r="AT498" s="200"/>
    </row>
    <row r="499" spans="1:46" ht="16.5" customHeight="1">
      <c r="A499" s="432"/>
      <c r="B499" s="307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353"/>
      <c r="R499" s="353"/>
      <c r="S499" s="353"/>
      <c r="T499" s="353"/>
      <c r="U499" s="353"/>
      <c r="V499" s="353"/>
      <c r="W499" s="200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  <c r="AQ499" s="200"/>
      <c r="AR499" s="200"/>
      <c r="AS499" s="200"/>
      <c r="AT499" s="200"/>
    </row>
    <row r="500" spans="1:46" ht="16.5" customHeight="1">
      <c r="A500" s="432"/>
      <c r="B500" s="307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353"/>
      <c r="R500" s="353"/>
      <c r="S500" s="353"/>
      <c r="T500" s="353"/>
      <c r="U500" s="353"/>
      <c r="V500" s="353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  <c r="AQ500" s="200"/>
      <c r="AR500" s="200"/>
      <c r="AS500" s="200"/>
      <c r="AT500" s="200"/>
    </row>
    <row r="501" spans="1:46" ht="16.5" customHeight="1">
      <c r="A501" s="432"/>
      <c r="B501" s="307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353"/>
      <c r="R501" s="353"/>
      <c r="S501" s="353"/>
      <c r="T501" s="353"/>
      <c r="U501" s="353"/>
      <c r="V501" s="353"/>
      <c r="W501" s="200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  <c r="AQ501" s="200"/>
      <c r="AR501" s="200"/>
      <c r="AS501" s="200"/>
      <c r="AT501" s="200"/>
    </row>
    <row r="502" spans="1:46" ht="16.5" customHeight="1">
      <c r="A502" s="432"/>
      <c r="B502" s="307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353"/>
      <c r="R502" s="353"/>
      <c r="S502" s="353"/>
      <c r="T502" s="353"/>
      <c r="U502" s="353"/>
      <c r="V502" s="353"/>
      <c r="W502" s="200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  <c r="AQ502" s="200"/>
      <c r="AR502" s="200"/>
      <c r="AS502" s="200"/>
      <c r="AT502" s="200"/>
    </row>
    <row r="503" spans="1:46" ht="16.5" customHeight="1">
      <c r="A503" s="432"/>
      <c r="B503" s="307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353"/>
      <c r="R503" s="353"/>
      <c r="S503" s="353"/>
      <c r="T503" s="353"/>
      <c r="U503" s="353"/>
      <c r="V503" s="353"/>
      <c r="W503" s="200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  <c r="AT503" s="200"/>
    </row>
    <row r="504" spans="1:46" ht="16.5" customHeight="1">
      <c r="A504" s="432"/>
      <c r="B504" s="307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353"/>
      <c r="R504" s="353"/>
      <c r="S504" s="353"/>
      <c r="T504" s="353"/>
      <c r="U504" s="353"/>
      <c r="V504" s="353"/>
      <c r="W504" s="200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  <c r="AT504" s="200"/>
    </row>
    <row r="505" spans="1:46" ht="16.5" customHeight="1">
      <c r="A505" s="432"/>
      <c r="B505" s="307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353"/>
      <c r="R505" s="353"/>
      <c r="S505" s="353"/>
      <c r="T505" s="353"/>
      <c r="U505" s="353"/>
      <c r="V505" s="353"/>
      <c r="W505" s="200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  <c r="AQ505" s="200"/>
      <c r="AR505" s="200"/>
      <c r="AS505" s="200"/>
      <c r="AT505" s="200"/>
    </row>
    <row r="506" spans="1:46" ht="16.5" customHeight="1">
      <c r="A506" s="432"/>
      <c r="B506" s="307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353"/>
      <c r="R506" s="353"/>
      <c r="S506" s="353"/>
      <c r="T506" s="353"/>
      <c r="U506" s="353"/>
      <c r="V506" s="353"/>
      <c r="W506" s="200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  <c r="AQ506" s="200"/>
      <c r="AR506" s="200"/>
      <c r="AS506" s="200"/>
      <c r="AT506" s="200"/>
    </row>
    <row r="507" spans="1:46" ht="16.5" customHeight="1">
      <c r="A507" s="432"/>
      <c r="B507" s="307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353"/>
      <c r="R507" s="353"/>
      <c r="S507" s="353"/>
      <c r="T507" s="353"/>
      <c r="U507" s="353"/>
      <c r="V507" s="353"/>
      <c r="W507" s="200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  <c r="AQ507" s="200"/>
      <c r="AR507" s="200"/>
      <c r="AS507" s="200"/>
      <c r="AT507" s="200"/>
    </row>
    <row r="508" spans="1:46" ht="16.5" customHeight="1">
      <c r="A508" s="432"/>
      <c r="B508" s="307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353"/>
      <c r="R508" s="353"/>
      <c r="S508" s="353"/>
      <c r="T508" s="353"/>
      <c r="U508" s="353"/>
      <c r="V508" s="353"/>
      <c r="W508" s="200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  <c r="AQ508" s="200"/>
      <c r="AR508" s="200"/>
      <c r="AS508" s="200"/>
      <c r="AT508" s="200"/>
    </row>
    <row r="509" spans="1:46" ht="16.5" customHeight="1">
      <c r="A509" s="432"/>
      <c r="B509" s="307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353"/>
      <c r="R509" s="353"/>
      <c r="S509" s="353"/>
      <c r="T509" s="353"/>
      <c r="U509" s="353"/>
      <c r="V509" s="353"/>
      <c r="W509" s="200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  <c r="AQ509" s="200"/>
      <c r="AR509" s="200"/>
      <c r="AS509" s="200"/>
      <c r="AT509" s="200"/>
    </row>
    <row r="510" spans="1:46" ht="16.5" customHeight="1">
      <c r="A510" s="432"/>
      <c r="B510" s="307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353"/>
      <c r="R510" s="353"/>
      <c r="S510" s="353"/>
      <c r="T510" s="353"/>
      <c r="U510" s="353"/>
      <c r="V510" s="353"/>
      <c r="W510" s="200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  <c r="AT510" s="200"/>
    </row>
    <row r="511" spans="1:46" ht="16.5" customHeight="1">
      <c r="A511" s="432"/>
      <c r="B511" s="307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353"/>
      <c r="R511" s="353"/>
      <c r="S511" s="353"/>
      <c r="T511" s="353"/>
      <c r="U511" s="353"/>
      <c r="V511" s="353"/>
      <c r="W511" s="200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  <c r="AQ511" s="200"/>
      <c r="AR511" s="200"/>
      <c r="AS511" s="200"/>
      <c r="AT511" s="200"/>
    </row>
    <row r="512" spans="1:46" ht="16.5" customHeight="1">
      <c r="A512" s="432"/>
      <c r="B512" s="307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353"/>
      <c r="R512" s="353"/>
      <c r="S512" s="353"/>
      <c r="T512" s="353"/>
      <c r="U512" s="353"/>
      <c r="V512" s="353"/>
      <c r="W512" s="200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  <c r="AQ512" s="200"/>
      <c r="AR512" s="200"/>
      <c r="AS512" s="200"/>
      <c r="AT512" s="200"/>
    </row>
    <row r="513" spans="1:46" ht="16.5" customHeight="1">
      <c r="A513" s="432"/>
      <c r="B513" s="307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353"/>
      <c r="R513" s="353"/>
      <c r="S513" s="353"/>
      <c r="T513" s="353"/>
      <c r="U513" s="353"/>
      <c r="V513" s="353"/>
      <c r="W513" s="200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  <c r="AQ513" s="200"/>
      <c r="AR513" s="200"/>
      <c r="AS513" s="200"/>
      <c r="AT513" s="200"/>
    </row>
    <row r="514" spans="1:46" ht="16.5" customHeight="1">
      <c r="A514" s="432"/>
      <c r="B514" s="307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353"/>
      <c r="R514" s="353"/>
      <c r="S514" s="353"/>
      <c r="T514" s="353"/>
      <c r="U514" s="353"/>
      <c r="V514" s="353"/>
      <c r="W514" s="200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  <c r="AQ514" s="200"/>
      <c r="AR514" s="200"/>
      <c r="AS514" s="200"/>
      <c r="AT514" s="200"/>
    </row>
    <row r="515" spans="1:46" ht="16.5" customHeight="1">
      <c r="A515" s="432"/>
      <c r="B515" s="307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353"/>
      <c r="R515" s="353"/>
      <c r="S515" s="353"/>
      <c r="T515" s="353"/>
      <c r="U515" s="353"/>
      <c r="V515" s="353"/>
      <c r="W515" s="200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  <c r="AQ515" s="200"/>
      <c r="AR515" s="200"/>
      <c r="AS515" s="200"/>
      <c r="AT515" s="200"/>
    </row>
    <row r="516" spans="1:46" ht="16.5" customHeight="1">
      <c r="A516" s="432"/>
      <c r="B516" s="307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353"/>
      <c r="R516" s="353"/>
      <c r="S516" s="353"/>
      <c r="T516" s="353"/>
      <c r="U516" s="353"/>
      <c r="V516" s="353"/>
      <c r="W516" s="200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  <c r="AQ516" s="200"/>
      <c r="AR516" s="200"/>
      <c r="AS516" s="200"/>
      <c r="AT516" s="200"/>
    </row>
    <row r="517" spans="1:46" ht="16.5" customHeight="1">
      <c r="A517" s="432"/>
      <c r="B517" s="307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353"/>
      <c r="R517" s="353"/>
      <c r="S517" s="353"/>
      <c r="T517" s="353"/>
      <c r="U517" s="353"/>
      <c r="V517" s="353"/>
      <c r="W517" s="200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  <c r="AQ517" s="200"/>
      <c r="AR517" s="200"/>
      <c r="AS517" s="200"/>
      <c r="AT517" s="200"/>
    </row>
    <row r="518" spans="1:46" ht="16.5" customHeight="1">
      <c r="A518" s="432"/>
      <c r="B518" s="307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353"/>
      <c r="R518" s="353"/>
      <c r="S518" s="353"/>
      <c r="T518" s="353"/>
      <c r="U518" s="353"/>
      <c r="V518" s="353"/>
      <c r="W518" s="200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  <c r="AT518" s="200"/>
    </row>
    <row r="519" spans="1:46" ht="16.5" customHeight="1">
      <c r="A519" s="432"/>
      <c r="B519" s="307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353"/>
      <c r="R519" s="353"/>
      <c r="S519" s="353"/>
      <c r="T519" s="353"/>
      <c r="U519" s="353"/>
      <c r="V519" s="353"/>
      <c r="W519" s="200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  <c r="AT519" s="200"/>
    </row>
    <row r="520" spans="1:46" ht="16.5" customHeight="1">
      <c r="A520" s="432"/>
      <c r="B520" s="307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353"/>
      <c r="R520" s="353"/>
      <c r="S520" s="353"/>
      <c r="T520" s="353"/>
      <c r="U520" s="353"/>
      <c r="V520" s="353"/>
      <c r="W520" s="200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  <c r="AQ520" s="200"/>
      <c r="AR520" s="200"/>
      <c r="AS520" s="200"/>
      <c r="AT520" s="200"/>
    </row>
    <row r="521" spans="1:46" ht="16.5" customHeight="1">
      <c r="A521" s="432"/>
      <c r="B521" s="307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353"/>
      <c r="R521" s="353"/>
      <c r="S521" s="353"/>
      <c r="T521" s="353"/>
      <c r="U521" s="353"/>
      <c r="V521" s="353"/>
      <c r="W521" s="200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  <c r="AQ521" s="200"/>
      <c r="AR521" s="200"/>
      <c r="AS521" s="200"/>
      <c r="AT521" s="200"/>
    </row>
    <row r="522" spans="1:46" ht="16.5" customHeight="1">
      <c r="A522" s="432"/>
      <c r="B522" s="307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353"/>
      <c r="R522" s="353"/>
      <c r="S522" s="353"/>
      <c r="T522" s="353"/>
      <c r="U522" s="353"/>
      <c r="V522" s="353"/>
      <c r="W522" s="200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  <c r="AT522" s="200"/>
    </row>
    <row r="523" spans="1:46" ht="16.5" customHeight="1">
      <c r="A523" s="432"/>
      <c r="B523" s="307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353"/>
      <c r="R523" s="353"/>
      <c r="S523" s="353"/>
      <c r="T523" s="353"/>
      <c r="U523" s="353"/>
      <c r="V523" s="353"/>
      <c r="W523" s="200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  <c r="AQ523" s="200"/>
      <c r="AR523" s="200"/>
      <c r="AS523" s="200"/>
      <c r="AT523" s="200"/>
    </row>
    <row r="524" spans="1:46" ht="16.5" customHeight="1">
      <c r="A524" s="432"/>
      <c r="B524" s="307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353"/>
      <c r="R524" s="353"/>
      <c r="S524" s="353"/>
      <c r="T524" s="353"/>
      <c r="U524" s="353"/>
      <c r="V524" s="353"/>
      <c r="W524" s="200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  <c r="AQ524" s="200"/>
      <c r="AR524" s="200"/>
      <c r="AS524" s="200"/>
      <c r="AT524" s="200"/>
    </row>
    <row r="525" spans="1:46" ht="16.5" customHeight="1">
      <c r="A525" s="432"/>
      <c r="B525" s="307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353"/>
      <c r="R525" s="353"/>
      <c r="S525" s="353"/>
      <c r="T525" s="353"/>
      <c r="U525" s="353"/>
      <c r="V525" s="353"/>
      <c r="W525" s="200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  <c r="AT525" s="200"/>
    </row>
    <row r="526" spans="1:46" ht="16.5" customHeight="1">
      <c r="A526" s="432"/>
      <c r="B526" s="307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353"/>
      <c r="R526" s="353"/>
      <c r="S526" s="353"/>
      <c r="T526" s="353"/>
      <c r="U526" s="353"/>
      <c r="V526" s="353"/>
      <c r="W526" s="200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  <c r="AQ526" s="200"/>
      <c r="AR526" s="200"/>
      <c r="AS526" s="200"/>
      <c r="AT526" s="200"/>
    </row>
    <row r="527" spans="1:46" ht="16.5" customHeight="1">
      <c r="A527" s="432"/>
      <c r="B527" s="307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353"/>
      <c r="R527" s="353"/>
      <c r="S527" s="353"/>
      <c r="T527" s="353"/>
      <c r="U527" s="353"/>
      <c r="V527" s="353"/>
      <c r="W527" s="200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  <c r="AQ527" s="200"/>
      <c r="AR527" s="200"/>
      <c r="AS527" s="200"/>
      <c r="AT527" s="200"/>
    </row>
    <row r="528" spans="1:46" ht="16.5" customHeight="1">
      <c r="A528" s="432"/>
      <c r="B528" s="307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353"/>
      <c r="R528" s="353"/>
      <c r="S528" s="353"/>
      <c r="T528" s="353"/>
      <c r="U528" s="353"/>
      <c r="V528" s="353"/>
      <c r="W528" s="200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  <c r="AQ528" s="200"/>
      <c r="AR528" s="200"/>
      <c r="AS528" s="200"/>
      <c r="AT528" s="200"/>
    </row>
    <row r="529" spans="1:46" ht="16.5" customHeight="1">
      <c r="A529" s="432"/>
      <c r="B529" s="307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353"/>
      <c r="R529" s="353"/>
      <c r="S529" s="353"/>
      <c r="T529" s="353"/>
      <c r="U529" s="353"/>
      <c r="V529" s="353"/>
      <c r="W529" s="200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  <c r="AQ529" s="200"/>
      <c r="AR529" s="200"/>
      <c r="AS529" s="200"/>
      <c r="AT529" s="200"/>
    </row>
    <row r="530" spans="1:46" ht="16.5" customHeight="1">
      <c r="A530" s="432"/>
      <c r="B530" s="307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353"/>
      <c r="R530" s="353"/>
      <c r="S530" s="353"/>
      <c r="T530" s="353"/>
      <c r="U530" s="353"/>
      <c r="V530" s="353"/>
      <c r="W530" s="200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  <c r="AQ530" s="200"/>
      <c r="AR530" s="200"/>
      <c r="AS530" s="200"/>
      <c r="AT530" s="200"/>
    </row>
    <row r="531" spans="1:46" ht="16.5" customHeight="1">
      <c r="A531" s="432"/>
      <c r="B531" s="307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353"/>
      <c r="R531" s="353"/>
      <c r="S531" s="353"/>
      <c r="T531" s="353"/>
      <c r="U531" s="353"/>
      <c r="V531" s="353"/>
      <c r="W531" s="200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  <c r="AQ531" s="200"/>
      <c r="AR531" s="200"/>
      <c r="AS531" s="200"/>
      <c r="AT531" s="200"/>
    </row>
    <row r="532" spans="1:46" ht="16.5" customHeight="1">
      <c r="A532" s="432"/>
      <c r="B532" s="307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353"/>
      <c r="R532" s="353"/>
      <c r="S532" s="353"/>
      <c r="T532" s="353"/>
      <c r="U532" s="353"/>
      <c r="V532" s="353"/>
      <c r="W532" s="200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  <c r="AQ532" s="200"/>
      <c r="AR532" s="200"/>
      <c r="AS532" s="200"/>
      <c r="AT532" s="200"/>
    </row>
    <row r="533" spans="1:46" ht="16.5" customHeight="1">
      <c r="A533" s="432"/>
      <c r="B533" s="307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353"/>
      <c r="R533" s="353"/>
      <c r="S533" s="353"/>
      <c r="T533" s="353"/>
      <c r="U533" s="353"/>
      <c r="V533" s="353"/>
      <c r="W533" s="200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  <c r="AT533" s="200"/>
    </row>
    <row r="534" spans="1:46" ht="16.5" customHeight="1">
      <c r="A534" s="432"/>
      <c r="B534" s="307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353"/>
      <c r="R534" s="353"/>
      <c r="S534" s="353"/>
      <c r="T534" s="353"/>
      <c r="U534" s="353"/>
      <c r="V534" s="353"/>
      <c r="W534" s="200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  <c r="AQ534" s="200"/>
      <c r="AR534" s="200"/>
      <c r="AS534" s="200"/>
      <c r="AT534" s="200"/>
    </row>
    <row r="535" spans="1:46" ht="16.5" customHeight="1">
      <c r="A535" s="432"/>
      <c r="B535" s="307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353"/>
      <c r="R535" s="353"/>
      <c r="S535" s="353"/>
      <c r="T535" s="353"/>
      <c r="U535" s="353"/>
      <c r="V535" s="353"/>
      <c r="W535" s="200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  <c r="AQ535" s="200"/>
      <c r="AR535" s="200"/>
      <c r="AS535" s="200"/>
      <c r="AT535" s="200"/>
    </row>
    <row r="536" spans="1:46" ht="16.5" customHeight="1">
      <c r="A536" s="432"/>
      <c r="B536" s="307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353"/>
      <c r="R536" s="353"/>
      <c r="S536" s="353"/>
      <c r="T536" s="353"/>
      <c r="U536" s="353"/>
      <c r="V536" s="353"/>
      <c r="W536" s="200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  <c r="AQ536" s="200"/>
      <c r="AR536" s="200"/>
      <c r="AS536" s="200"/>
      <c r="AT536" s="200"/>
    </row>
    <row r="537" spans="1:46" ht="16.5" customHeight="1">
      <c r="A537" s="432"/>
      <c r="B537" s="307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353"/>
      <c r="R537" s="353"/>
      <c r="S537" s="353"/>
      <c r="T537" s="353"/>
      <c r="U537" s="353"/>
      <c r="V537" s="353"/>
      <c r="W537" s="200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  <c r="AQ537" s="200"/>
      <c r="AR537" s="200"/>
      <c r="AS537" s="200"/>
      <c r="AT537" s="200"/>
    </row>
    <row r="538" spans="1:46" ht="16.5" customHeight="1">
      <c r="A538" s="432"/>
      <c r="B538" s="307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353"/>
      <c r="R538" s="353"/>
      <c r="S538" s="353"/>
      <c r="T538" s="353"/>
      <c r="U538" s="353"/>
      <c r="V538" s="353"/>
      <c r="W538" s="200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  <c r="AQ538" s="200"/>
      <c r="AR538" s="200"/>
      <c r="AS538" s="200"/>
      <c r="AT538" s="200"/>
    </row>
    <row r="539" spans="1:46" ht="16.5" customHeight="1">
      <c r="A539" s="432"/>
      <c r="B539" s="307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353"/>
      <c r="R539" s="353"/>
      <c r="S539" s="353"/>
      <c r="T539" s="353"/>
      <c r="U539" s="353"/>
      <c r="V539" s="353"/>
      <c r="W539" s="200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  <c r="AT539" s="200"/>
    </row>
    <row r="540" spans="1:46" ht="16.5" customHeight="1">
      <c r="A540" s="432"/>
      <c r="B540" s="307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353"/>
      <c r="R540" s="353"/>
      <c r="S540" s="353"/>
      <c r="T540" s="353"/>
      <c r="U540" s="353"/>
      <c r="V540" s="353"/>
      <c r="W540" s="200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  <c r="AQ540" s="200"/>
      <c r="AR540" s="200"/>
      <c r="AS540" s="200"/>
      <c r="AT540" s="200"/>
    </row>
    <row r="541" spans="1:46" ht="16.5" customHeight="1">
      <c r="A541" s="432"/>
      <c r="B541" s="307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353"/>
      <c r="R541" s="353"/>
      <c r="S541" s="353"/>
      <c r="T541" s="353"/>
      <c r="U541" s="353"/>
      <c r="V541" s="353"/>
      <c r="W541" s="200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  <c r="AQ541" s="200"/>
      <c r="AR541" s="200"/>
      <c r="AS541" s="200"/>
      <c r="AT541" s="200"/>
    </row>
    <row r="542" spans="1:46" ht="16.5" customHeight="1">
      <c r="A542" s="432"/>
      <c r="B542" s="307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353"/>
      <c r="R542" s="353"/>
      <c r="S542" s="353"/>
      <c r="T542" s="353"/>
      <c r="U542" s="353"/>
      <c r="V542" s="353"/>
      <c r="W542" s="200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  <c r="AQ542" s="200"/>
      <c r="AR542" s="200"/>
      <c r="AS542" s="200"/>
      <c r="AT542" s="200"/>
    </row>
    <row r="543" spans="1:46" ht="16.5" customHeight="1">
      <c r="A543" s="432"/>
      <c r="B543" s="307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353"/>
      <c r="R543" s="353"/>
      <c r="S543" s="353"/>
      <c r="T543" s="353"/>
      <c r="U543" s="353"/>
      <c r="V543" s="353"/>
      <c r="W543" s="200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  <c r="AQ543" s="200"/>
      <c r="AR543" s="200"/>
      <c r="AS543" s="200"/>
      <c r="AT543" s="200"/>
    </row>
    <row r="544" spans="1:46" ht="16.5" customHeight="1">
      <c r="A544" s="432"/>
      <c r="B544" s="307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353"/>
      <c r="R544" s="353"/>
      <c r="S544" s="353"/>
      <c r="T544" s="353"/>
      <c r="U544" s="353"/>
      <c r="V544" s="353"/>
      <c r="W544" s="200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  <c r="AQ544" s="200"/>
      <c r="AR544" s="200"/>
      <c r="AS544" s="200"/>
      <c r="AT544" s="200"/>
    </row>
    <row r="545" spans="1:46" ht="16.5" customHeight="1">
      <c r="A545" s="432"/>
      <c r="B545" s="307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353"/>
      <c r="R545" s="353"/>
      <c r="S545" s="353"/>
      <c r="T545" s="353"/>
      <c r="U545" s="353"/>
      <c r="V545" s="353"/>
      <c r="W545" s="200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  <c r="AQ545" s="200"/>
      <c r="AR545" s="200"/>
      <c r="AS545" s="200"/>
      <c r="AT545" s="200"/>
    </row>
    <row r="546" spans="1:46" ht="16.5" customHeight="1">
      <c r="A546" s="432"/>
      <c r="B546" s="307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353"/>
      <c r="R546" s="353"/>
      <c r="S546" s="353"/>
      <c r="T546" s="353"/>
      <c r="U546" s="353"/>
      <c r="V546" s="353"/>
      <c r="W546" s="200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</row>
    <row r="547" spans="1:46" ht="16.5" customHeight="1">
      <c r="A547" s="432"/>
      <c r="B547" s="307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353"/>
      <c r="R547" s="353"/>
      <c r="S547" s="353"/>
      <c r="T547" s="353"/>
      <c r="U547" s="353"/>
      <c r="V547" s="353"/>
      <c r="W547" s="200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  <c r="AQ547" s="200"/>
      <c r="AR547" s="200"/>
      <c r="AS547" s="200"/>
      <c r="AT547" s="200"/>
    </row>
    <row r="548" spans="1:46" ht="16.5" customHeight="1">
      <c r="A548" s="432"/>
      <c r="B548" s="307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353"/>
      <c r="R548" s="353"/>
      <c r="S548" s="353"/>
      <c r="T548" s="353"/>
      <c r="U548" s="353"/>
      <c r="V548" s="353"/>
      <c r="W548" s="200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  <c r="AQ548" s="200"/>
      <c r="AR548" s="200"/>
      <c r="AS548" s="200"/>
      <c r="AT548" s="200"/>
    </row>
    <row r="549" spans="1:46" ht="16.5" customHeight="1">
      <c r="A549" s="432"/>
      <c r="B549" s="307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353"/>
      <c r="R549" s="353"/>
      <c r="S549" s="353"/>
      <c r="T549" s="353"/>
      <c r="U549" s="353"/>
      <c r="V549" s="353"/>
      <c r="W549" s="200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  <c r="AQ549" s="200"/>
      <c r="AR549" s="200"/>
      <c r="AS549" s="200"/>
      <c r="AT549" s="200"/>
    </row>
    <row r="550" spans="1:46" ht="16.5" customHeight="1">
      <c r="A550" s="432"/>
      <c r="B550" s="307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353"/>
      <c r="R550" s="353"/>
      <c r="S550" s="353"/>
      <c r="T550" s="353"/>
      <c r="U550" s="353"/>
      <c r="V550" s="353"/>
      <c r="W550" s="200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  <c r="AT550" s="200"/>
    </row>
    <row r="551" spans="1:46" ht="16.5" customHeight="1">
      <c r="A551" s="432"/>
      <c r="B551" s="307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353"/>
      <c r="R551" s="353"/>
      <c r="S551" s="353"/>
      <c r="T551" s="353"/>
      <c r="U551" s="353"/>
      <c r="V551" s="353"/>
      <c r="W551" s="200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  <c r="AQ551" s="200"/>
      <c r="AR551" s="200"/>
      <c r="AS551" s="200"/>
      <c r="AT551" s="200"/>
    </row>
    <row r="552" spans="1:46" ht="16.5" customHeight="1">
      <c r="A552" s="432"/>
      <c r="B552" s="307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353"/>
      <c r="R552" s="353"/>
      <c r="S552" s="353"/>
      <c r="T552" s="353"/>
      <c r="U552" s="353"/>
      <c r="V552" s="353"/>
      <c r="W552" s="200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  <c r="AQ552" s="200"/>
      <c r="AR552" s="200"/>
      <c r="AS552" s="200"/>
      <c r="AT552" s="200"/>
    </row>
    <row r="553" spans="1:46" ht="16.5" customHeight="1">
      <c r="A553" s="432"/>
      <c r="B553" s="307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353"/>
      <c r="R553" s="353"/>
      <c r="S553" s="353"/>
      <c r="T553" s="353"/>
      <c r="U553" s="353"/>
      <c r="V553" s="353"/>
      <c r="W553" s="200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  <c r="AT553" s="200"/>
    </row>
    <row r="554" spans="1:46" ht="16.5" customHeight="1">
      <c r="A554" s="432"/>
      <c r="B554" s="307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353"/>
      <c r="R554" s="353"/>
      <c r="S554" s="353"/>
      <c r="T554" s="353"/>
      <c r="U554" s="353"/>
      <c r="V554" s="353"/>
      <c r="W554" s="200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</row>
    <row r="555" spans="1:46" ht="16.5" customHeight="1">
      <c r="A555" s="432"/>
      <c r="B555" s="307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353"/>
      <c r="R555" s="353"/>
      <c r="S555" s="353"/>
      <c r="T555" s="353"/>
      <c r="U555" s="353"/>
      <c r="V555" s="353"/>
      <c r="W555" s="200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  <c r="AQ555" s="200"/>
      <c r="AR555" s="200"/>
      <c r="AS555" s="200"/>
      <c r="AT555" s="200"/>
    </row>
    <row r="556" spans="1:46" ht="16.5" customHeight="1">
      <c r="A556" s="432"/>
      <c r="B556" s="307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353"/>
      <c r="R556" s="353"/>
      <c r="S556" s="353"/>
      <c r="T556" s="353"/>
      <c r="U556" s="353"/>
      <c r="V556" s="353"/>
      <c r="W556" s="200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  <c r="AQ556" s="200"/>
      <c r="AR556" s="200"/>
      <c r="AS556" s="200"/>
      <c r="AT556" s="200"/>
    </row>
    <row r="557" spans="1:46" ht="16.5" customHeight="1">
      <c r="A557" s="432"/>
      <c r="B557" s="307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353"/>
      <c r="R557" s="353"/>
      <c r="S557" s="353"/>
      <c r="T557" s="353"/>
      <c r="U557" s="353"/>
      <c r="V557" s="353"/>
      <c r="W557" s="200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  <c r="AT557" s="200"/>
    </row>
    <row r="558" spans="1:46" ht="16.5" customHeight="1">
      <c r="A558" s="432"/>
      <c r="B558" s="307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353"/>
      <c r="R558" s="353"/>
      <c r="S558" s="353"/>
      <c r="T558" s="353"/>
      <c r="U558" s="353"/>
      <c r="V558" s="353"/>
      <c r="W558" s="200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  <c r="AQ558" s="200"/>
      <c r="AR558" s="200"/>
      <c r="AS558" s="200"/>
      <c r="AT558" s="200"/>
    </row>
    <row r="559" spans="1:46" ht="16.5" customHeight="1">
      <c r="A559" s="432"/>
      <c r="B559" s="307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353"/>
      <c r="R559" s="353"/>
      <c r="S559" s="353"/>
      <c r="T559" s="353"/>
      <c r="U559" s="353"/>
      <c r="V559" s="353"/>
      <c r="W559" s="200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  <c r="AQ559" s="200"/>
      <c r="AR559" s="200"/>
      <c r="AS559" s="200"/>
      <c r="AT559" s="200"/>
    </row>
    <row r="560" spans="1:46" ht="16.5" customHeight="1">
      <c r="A560" s="432"/>
      <c r="B560" s="307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353"/>
      <c r="R560" s="353"/>
      <c r="S560" s="353"/>
      <c r="T560" s="353"/>
      <c r="U560" s="353"/>
      <c r="V560" s="353"/>
      <c r="W560" s="200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  <c r="AT560" s="200"/>
    </row>
    <row r="561" spans="1:46" ht="16.5" customHeight="1">
      <c r="A561" s="432"/>
      <c r="B561" s="307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353"/>
      <c r="R561" s="353"/>
      <c r="S561" s="353"/>
      <c r="T561" s="353"/>
      <c r="U561" s="353"/>
      <c r="V561" s="353"/>
      <c r="W561" s="200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  <c r="AQ561" s="200"/>
      <c r="AR561" s="200"/>
      <c r="AS561" s="200"/>
      <c r="AT561" s="200"/>
    </row>
    <row r="562" spans="1:46" ht="16.5" customHeight="1">
      <c r="A562" s="432"/>
      <c r="B562" s="307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353"/>
      <c r="R562" s="353"/>
      <c r="S562" s="353"/>
      <c r="T562" s="353"/>
      <c r="U562" s="353"/>
      <c r="V562" s="353"/>
      <c r="W562" s="200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  <c r="AQ562" s="200"/>
      <c r="AR562" s="200"/>
      <c r="AS562" s="200"/>
      <c r="AT562" s="200"/>
    </row>
    <row r="563" spans="1:46" ht="16.5" customHeight="1">
      <c r="A563" s="432"/>
      <c r="B563" s="307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353"/>
      <c r="R563" s="353"/>
      <c r="S563" s="353"/>
      <c r="T563" s="353"/>
      <c r="U563" s="353"/>
      <c r="V563" s="353"/>
      <c r="W563" s="200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  <c r="AQ563" s="200"/>
      <c r="AR563" s="200"/>
      <c r="AS563" s="200"/>
      <c r="AT563" s="200"/>
    </row>
    <row r="564" spans="1:46" ht="16.5" customHeight="1">
      <c r="A564" s="432"/>
      <c r="B564" s="307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353"/>
      <c r="R564" s="353"/>
      <c r="S564" s="353"/>
      <c r="T564" s="353"/>
      <c r="U564" s="353"/>
      <c r="V564" s="353"/>
      <c r="W564" s="200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  <c r="AQ564" s="200"/>
      <c r="AR564" s="200"/>
      <c r="AS564" s="200"/>
      <c r="AT564" s="200"/>
    </row>
    <row r="565" spans="1:46" ht="16.5" customHeight="1">
      <c r="A565" s="432"/>
      <c r="B565" s="307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353"/>
      <c r="R565" s="353"/>
      <c r="S565" s="353"/>
      <c r="T565" s="353"/>
      <c r="U565" s="353"/>
      <c r="V565" s="353"/>
      <c r="W565" s="200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  <c r="AQ565" s="200"/>
      <c r="AR565" s="200"/>
      <c r="AS565" s="200"/>
      <c r="AT565" s="200"/>
    </row>
    <row r="566" spans="1:46" ht="16.5" customHeight="1">
      <c r="A566" s="432"/>
      <c r="B566" s="307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353"/>
      <c r="R566" s="353"/>
      <c r="S566" s="353"/>
      <c r="T566" s="353"/>
      <c r="U566" s="353"/>
      <c r="V566" s="353"/>
      <c r="W566" s="200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  <c r="AT566" s="200"/>
    </row>
    <row r="567" spans="1:46" ht="16.5" customHeight="1">
      <c r="A567" s="432"/>
      <c r="B567" s="307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353"/>
      <c r="R567" s="353"/>
      <c r="S567" s="353"/>
      <c r="T567" s="353"/>
      <c r="U567" s="353"/>
      <c r="V567" s="353"/>
      <c r="W567" s="200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  <c r="AQ567" s="200"/>
      <c r="AR567" s="200"/>
      <c r="AS567" s="200"/>
      <c r="AT567" s="200"/>
    </row>
    <row r="568" spans="1:46" ht="16.5" customHeight="1">
      <c r="A568" s="432"/>
      <c r="B568" s="307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353"/>
      <c r="R568" s="353"/>
      <c r="S568" s="353"/>
      <c r="T568" s="353"/>
      <c r="U568" s="353"/>
      <c r="V568" s="353"/>
      <c r="W568" s="200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  <c r="AQ568" s="200"/>
      <c r="AR568" s="200"/>
      <c r="AS568" s="200"/>
      <c r="AT568" s="200"/>
    </row>
    <row r="569" spans="1:46" ht="16.5" customHeight="1">
      <c r="A569" s="432"/>
      <c r="B569" s="307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353"/>
      <c r="R569" s="353"/>
      <c r="S569" s="353"/>
      <c r="T569" s="353"/>
      <c r="U569" s="353"/>
      <c r="V569" s="353"/>
      <c r="W569" s="200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  <c r="AQ569" s="200"/>
      <c r="AR569" s="200"/>
      <c r="AS569" s="200"/>
      <c r="AT569" s="200"/>
    </row>
    <row r="570" spans="1:46" ht="16.5" customHeight="1">
      <c r="A570" s="432"/>
      <c r="B570" s="307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353"/>
      <c r="R570" s="353"/>
      <c r="S570" s="353"/>
      <c r="T570" s="353"/>
      <c r="U570" s="353"/>
      <c r="V570" s="353"/>
      <c r="W570" s="200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  <c r="AQ570" s="200"/>
      <c r="AR570" s="200"/>
      <c r="AS570" s="200"/>
      <c r="AT570" s="200"/>
    </row>
    <row r="571" spans="1:46" ht="16.5" customHeight="1">
      <c r="A571" s="432"/>
      <c r="B571" s="307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353"/>
      <c r="R571" s="353"/>
      <c r="S571" s="353"/>
      <c r="T571" s="353"/>
      <c r="U571" s="353"/>
      <c r="V571" s="353"/>
      <c r="W571" s="200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  <c r="AQ571" s="200"/>
      <c r="AR571" s="200"/>
      <c r="AS571" s="200"/>
      <c r="AT571" s="200"/>
    </row>
    <row r="572" spans="1:46" ht="16.5" customHeight="1">
      <c r="A572" s="432"/>
      <c r="B572" s="307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353"/>
      <c r="R572" s="353"/>
      <c r="S572" s="353"/>
      <c r="T572" s="353"/>
      <c r="U572" s="353"/>
      <c r="V572" s="353"/>
      <c r="W572" s="200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  <c r="AQ572" s="200"/>
      <c r="AR572" s="200"/>
      <c r="AS572" s="200"/>
      <c r="AT572" s="200"/>
    </row>
    <row r="573" spans="1:46" ht="16.5" customHeight="1">
      <c r="A573" s="432"/>
      <c r="B573" s="307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353"/>
      <c r="R573" s="353"/>
      <c r="S573" s="353"/>
      <c r="T573" s="353"/>
      <c r="U573" s="353"/>
      <c r="V573" s="353"/>
      <c r="W573" s="200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  <c r="AT573" s="200"/>
    </row>
    <row r="574" spans="1:46" ht="16.5" customHeight="1">
      <c r="A574" s="432"/>
      <c r="B574" s="307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353"/>
      <c r="R574" s="353"/>
      <c r="S574" s="353"/>
      <c r="T574" s="353"/>
      <c r="U574" s="353"/>
      <c r="V574" s="353"/>
      <c r="W574" s="200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  <c r="AQ574" s="200"/>
      <c r="AR574" s="200"/>
      <c r="AS574" s="200"/>
      <c r="AT574" s="200"/>
    </row>
    <row r="575" spans="1:46" ht="16.5" customHeight="1">
      <c r="A575" s="432"/>
      <c r="B575" s="307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353"/>
      <c r="R575" s="353"/>
      <c r="S575" s="353"/>
      <c r="T575" s="353"/>
      <c r="U575" s="353"/>
      <c r="V575" s="353"/>
      <c r="W575" s="200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  <c r="AQ575" s="200"/>
      <c r="AR575" s="200"/>
      <c r="AS575" s="200"/>
      <c r="AT575" s="200"/>
    </row>
    <row r="576" spans="1:46" ht="16.5" customHeight="1">
      <c r="A576" s="432"/>
      <c r="B576" s="307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353"/>
      <c r="R576" s="353"/>
      <c r="S576" s="353"/>
      <c r="T576" s="353"/>
      <c r="U576" s="353"/>
      <c r="V576" s="353"/>
      <c r="W576" s="200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  <c r="AQ576" s="200"/>
      <c r="AR576" s="200"/>
      <c r="AS576" s="200"/>
      <c r="AT576" s="200"/>
    </row>
    <row r="577" spans="1:46" ht="16.5" customHeight="1">
      <c r="A577" s="432"/>
      <c r="B577" s="307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353"/>
      <c r="R577" s="353"/>
      <c r="S577" s="353"/>
      <c r="T577" s="353"/>
      <c r="U577" s="353"/>
      <c r="V577" s="353"/>
      <c r="W577" s="200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  <c r="AQ577" s="200"/>
      <c r="AR577" s="200"/>
      <c r="AS577" s="200"/>
      <c r="AT577" s="200"/>
    </row>
    <row r="578" spans="1:46" ht="16.5" customHeight="1">
      <c r="A578" s="432"/>
      <c r="B578" s="307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353"/>
      <c r="R578" s="353"/>
      <c r="S578" s="353"/>
      <c r="T578" s="353"/>
      <c r="U578" s="353"/>
      <c r="V578" s="353"/>
      <c r="W578" s="200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  <c r="AQ578" s="200"/>
      <c r="AR578" s="200"/>
      <c r="AS578" s="200"/>
      <c r="AT578" s="200"/>
    </row>
    <row r="579" spans="1:46" ht="16.5" customHeight="1">
      <c r="A579" s="432"/>
      <c r="B579" s="307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353"/>
      <c r="R579" s="353"/>
      <c r="S579" s="353"/>
      <c r="T579" s="353"/>
      <c r="U579" s="353"/>
      <c r="V579" s="353"/>
      <c r="W579" s="200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  <c r="AQ579" s="200"/>
      <c r="AR579" s="200"/>
      <c r="AS579" s="200"/>
      <c r="AT579" s="200"/>
    </row>
    <row r="580" spans="1:46" ht="16.5" customHeight="1">
      <c r="A580" s="432"/>
      <c r="B580" s="307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353"/>
      <c r="R580" s="353"/>
      <c r="S580" s="353"/>
      <c r="T580" s="353"/>
      <c r="U580" s="353"/>
      <c r="V580" s="353"/>
      <c r="W580" s="200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  <c r="AQ580" s="200"/>
      <c r="AR580" s="200"/>
      <c r="AS580" s="200"/>
      <c r="AT580" s="200"/>
    </row>
    <row r="581" spans="1:46" ht="16.5" customHeight="1">
      <c r="A581" s="432"/>
      <c r="B581" s="307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353"/>
      <c r="R581" s="353"/>
      <c r="S581" s="353"/>
      <c r="T581" s="353"/>
      <c r="U581" s="353"/>
      <c r="V581" s="353"/>
      <c r="W581" s="200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  <c r="AQ581" s="200"/>
      <c r="AR581" s="200"/>
      <c r="AS581" s="200"/>
      <c r="AT581" s="200"/>
    </row>
    <row r="582" spans="1:46" ht="16.5" customHeight="1">
      <c r="A582" s="432"/>
      <c r="B582" s="307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353"/>
      <c r="R582" s="353"/>
      <c r="S582" s="353"/>
      <c r="T582" s="353"/>
      <c r="U582" s="353"/>
      <c r="V582" s="353"/>
      <c r="W582" s="200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  <c r="AQ582" s="200"/>
      <c r="AR582" s="200"/>
      <c r="AS582" s="200"/>
      <c r="AT582" s="200"/>
    </row>
    <row r="583" spans="1:46" ht="16.5" customHeight="1">
      <c r="A583" s="432"/>
      <c r="B583" s="307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353"/>
      <c r="R583" s="353"/>
      <c r="S583" s="353"/>
      <c r="T583" s="353"/>
      <c r="U583" s="353"/>
      <c r="V583" s="353"/>
      <c r="W583" s="200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  <c r="AQ583" s="200"/>
      <c r="AR583" s="200"/>
      <c r="AS583" s="200"/>
      <c r="AT583" s="200"/>
    </row>
    <row r="584" spans="1:46" ht="16.5" customHeight="1">
      <c r="A584" s="432"/>
      <c r="B584" s="307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353"/>
      <c r="R584" s="353"/>
      <c r="S584" s="353"/>
      <c r="T584" s="353"/>
      <c r="U584" s="353"/>
      <c r="V584" s="353"/>
      <c r="W584" s="200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  <c r="AQ584" s="200"/>
      <c r="AR584" s="200"/>
      <c r="AS584" s="200"/>
      <c r="AT584" s="200"/>
    </row>
    <row r="585" spans="1:46" ht="16.5" customHeight="1">
      <c r="A585" s="432"/>
      <c r="B585" s="307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353"/>
      <c r="R585" s="353"/>
      <c r="S585" s="353"/>
      <c r="T585" s="353"/>
      <c r="U585" s="353"/>
      <c r="V585" s="353"/>
      <c r="W585" s="200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  <c r="AQ585" s="200"/>
      <c r="AR585" s="200"/>
      <c r="AS585" s="200"/>
      <c r="AT585" s="200"/>
    </row>
    <row r="586" spans="1:46" ht="16.5" customHeight="1">
      <c r="A586" s="432"/>
      <c r="B586" s="307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353"/>
      <c r="R586" s="353"/>
      <c r="S586" s="353"/>
      <c r="T586" s="353"/>
      <c r="U586" s="353"/>
      <c r="V586" s="353"/>
      <c r="W586" s="200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  <c r="AQ586" s="200"/>
      <c r="AR586" s="200"/>
      <c r="AS586" s="200"/>
      <c r="AT586" s="200"/>
    </row>
    <row r="587" spans="1:46" ht="16.5" customHeight="1">
      <c r="A587" s="432"/>
      <c r="B587" s="307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353"/>
      <c r="R587" s="353"/>
      <c r="S587" s="353"/>
      <c r="T587" s="353"/>
      <c r="U587" s="353"/>
      <c r="V587" s="353"/>
      <c r="W587" s="200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  <c r="AQ587" s="200"/>
      <c r="AR587" s="200"/>
      <c r="AS587" s="200"/>
      <c r="AT587" s="200"/>
    </row>
    <row r="588" spans="1:46" ht="16.5" customHeight="1">
      <c r="A588" s="432"/>
      <c r="B588" s="307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353"/>
      <c r="R588" s="353"/>
      <c r="S588" s="353"/>
      <c r="T588" s="353"/>
      <c r="U588" s="353"/>
      <c r="V588" s="353"/>
      <c r="W588" s="200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  <c r="AQ588" s="200"/>
      <c r="AR588" s="200"/>
      <c r="AS588" s="200"/>
      <c r="AT588" s="200"/>
    </row>
    <row r="589" spans="1:46" ht="16.5" customHeight="1">
      <c r="A589" s="432"/>
      <c r="B589" s="307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353"/>
      <c r="R589" s="353"/>
      <c r="S589" s="353"/>
      <c r="T589" s="353"/>
      <c r="U589" s="353"/>
      <c r="V589" s="353"/>
      <c r="W589" s="200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  <c r="AQ589" s="200"/>
      <c r="AR589" s="200"/>
      <c r="AS589" s="200"/>
      <c r="AT589" s="200"/>
    </row>
    <row r="590" spans="1:46" ht="16.5" customHeight="1">
      <c r="A590" s="432"/>
      <c r="B590" s="307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353"/>
      <c r="R590" s="353"/>
      <c r="S590" s="353"/>
      <c r="T590" s="353"/>
      <c r="U590" s="353"/>
      <c r="V590" s="353"/>
      <c r="W590" s="200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  <c r="AQ590" s="200"/>
      <c r="AR590" s="200"/>
      <c r="AS590" s="200"/>
      <c r="AT590" s="200"/>
    </row>
    <row r="591" spans="1:46" ht="16.5" customHeight="1">
      <c r="A591" s="432"/>
      <c r="B591" s="307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353"/>
      <c r="R591" s="353"/>
      <c r="S591" s="353"/>
      <c r="T591" s="353"/>
      <c r="U591" s="353"/>
      <c r="V591" s="353"/>
      <c r="W591" s="200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  <c r="AQ591" s="200"/>
      <c r="AR591" s="200"/>
      <c r="AS591" s="200"/>
      <c r="AT591" s="200"/>
    </row>
    <row r="592" spans="1:46" ht="16.5" customHeight="1">
      <c r="A592" s="432"/>
      <c r="B592" s="307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353"/>
      <c r="R592" s="353"/>
      <c r="S592" s="353"/>
      <c r="T592" s="353"/>
      <c r="U592" s="353"/>
      <c r="V592" s="353"/>
      <c r="W592" s="200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  <c r="AQ592" s="200"/>
      <c r="AR592" s="200"/>
      <c r="AS592" s="200"/>
      <c r="AT592" s="200"/>
    </row>
    <row r="593" spans="1:46" ht="16.5" customHeight="1">
      <c r="A593" s="432"/>
      <c r="B593" s="307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353"/>
      <c r="R593" s="353"/>
      <c r="S593" s="353"/>
      <c r="T593" s="353"/>
      <c r="U593" s="353"/>
      <c r="V593" s="353"/>
      <c r="W593" s="200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  <c r="AQ593" s="200"/>
      <c r="AR593" s="200"/>
      <c r="AS593" s="200"/>
      <c r="AT593" s="200"/>
    </row>
    <row r="594" spans="1:46" ht="16.5" customHeight="1">
      <c r="A594" s="432"/>
      <c r="B594" s="307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353"/>
      <c r="R594" s="353"/>
      <c r="S594" s="353"/>
      <c r="T594" s="353"/>
      <c r="U594" s="353"/>
      <c r="V594" s="353"/>
      <c r="W594" s="200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  <c r="AQ594" s="200"/>
      <c r="AR594" s="200"/>
      <c r="AS594" s="200"/>
      <c r="AT594" s="200"/>
    </row>
    <row r="595" spans="1:46" ht="16.5" customHeight="1">
      <c r="A595" s="432"/>
      <c r="B595" s="307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353"/>
      <c r="R595" s="353"/>
      <c r="S595" s="353"/>
      <c r="T595" s="353"/>
      <c r="U595" s="353"/>
      <c r="V595" s="353"/>
      <c r="W595" s="200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  <c r="AQ595" s="200"/>
      <c r="AR595" s="200"/>
      <c r="AS595" s="200"/>
      <c r="AT595" s="200"/>
    </row>
    <row r="596" spans="1:46" ht="16.5" customHeight="1">
      <c r="A596" s="432"/>
      <c r="B596" s="307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353"/>
      <c r="R596" s="353"/>
      <c r="S596" s="353"/>
      <c r="T596" s="353"/>
      <c r="U596" s="353"/>
      <c r="V596" s="353"/>
      <c r="W596" s="200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  <c r="AQ596" s="200"/>
      <c r="AR596" s="200"/>
      <c r="AS596" s="200"/>
      <c r="AT596" s="200"/>
    </row>
    <row r="597" spans="1:46" ht="16.5" customHeight="1">
      <c r="A597" s="432"/>
      <c r="B597" s="307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353"/>
      <c r="R597" s="353"/>
      <c r="S597" s="353"/>
      <c r="T597" s="353"/>
      <c r="U597" s="353"/>
      <c r="V597" s="353"/>
      <c r="W597" s="200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  <c r="AQ597" s="200"/>
      <c r="AR597" s="200"/>
      <c r="AS597" s="200"/>
      <c r="AT597" s="200"/>
    </row>
    <row r="598" spans="1:46" ht="16.5" customHeight="1">
      <c r="A598" s="432"/>
      <c r="B598" s="307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353"/>
      <c r="R598" s="353"/>
      <c r="S598" s="353"/>
      <c r="T598" s="353"/>
      <c r="U598" s="353"/>
      <c r="V598" s="353"/>
      <c r="W598" s="200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  <c r="AQ598" s="200"/>
      <c r="AR598" s="200"/>
      <c r="AS598" s="200"/>
      <c r="AT598" s="200"/>
    </row>
    <row r="599" spans="1:46" ht="16.5" customHeight="1">
      <c r="A599" s="432"/>
      <c r="B599" s="307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353"/>
      <c r="R599" s="353"/>
      <c r="S599" s="353"/>
      <c r="T599" s="353"/>
      <c r="U599" s="353"/>
      <c r="V599" s="353"/>
      <c r="W599" s="200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  <c r="AQ599" s="200"/>
      <c r="AR599" s="200"/>
      <c r="AS599" s="200"/>
      <c r="AT599" s="200"/>
    </row>
    <row r="600" spans="1:46" ht="16.5" customHeight="1">
      <c r="A600" s="432"/>
      <c r="B600" s="307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353"/>
      <c r="R600" s="353"/>
      <c r="S600" s="353"/>
      <c r="T600" s="353"/>
      <c r="U600" s="353"/>
      <c r="V600" s="353"/>
      <c r="W600" s="200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  <c r="AQ600" s="200"/>
      <c r="AR600" s="200"/>
      <c r="AS600" s="200"/>
      <c r="AT600" s="200"/>
    </row>
    <row r="601" spans="1:46" ht="16.5" customHeight="1">
      <c r="A601" s="432"/>
      <c r="B601" s="307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353"/>
      <c r="R601" s="353"/>
      <c r="S601" s="353"/>
      <c r="T601" s="353"/>
      <c r="U601" s="353"/>
      <c r="V601" s="353"/>
      <c r="W601" s="200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  <c r="AQ601" s="200"/>
      <c r="AR601" s="200"/>
      <c r="AS601" s="200"/>
      <c r="AT601" s="200"/>
    </row>
    <row r="602" spans="1:46" ht="16.5" customHeight="1">
      <c r="A602" s="432"/>
      <c r="B602" s="307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353"/>
      <c r="R602" s="353"/>
      <c r="S602" s="353"/>
      <c r="T602" s="353"/>
      <c r="U602" s="353"/>
      <c r="V602" s="353"/>
      <c r="W602" s="200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  <c r="AQ602" s="200"/>
      <c r="AR602" s="200"/>
      <c r="AS602" s="200"/>
      <c r="AT602" s="200"/>
    </row>
    <row r="603" spans="1:46" ht="16.5" customHeight="1">
      <c r="A603" s="432"/>
      <c r="B603" s="307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353"/>
      <c r="R603" s="353"/>
      <c r="S603" s="353"/>
      <c r="T603" s="353"/>
      <c r="U603" s="353"/>
      <c r="V603" s="353"/>
      <c r="W603" s="200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  <c r="AQ603" s="200"/>
      <c r="AR603" s="200"/>
      <c r="AS603" s="200"/>
      <c r="AT603" s="200"/>
    </row>
    <row r="604" spans="1:46" ht="16.5" customHeight="1">
      <c r="A604" s="432"/>
      <c r="B604" s="307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353"/>
      <c r="R604" s="353"/>
      <c r="S604" s="353"/>
      <c r="T604" s="353"/>
      <c r="U604" s="353"/>
      <c r="V604" s="353"/>
      <c r="W604" s="200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  <c r="AQ604" s="200"/>
      <c r="AR604" s="200"/>
      <c r="AS604" s="200"/>
      <c r="AT604" s="200"/>
    </row>
    <row r="605" spans="1:46" ht="16.5" customHeight="1">
      <c r="A605" s="432"/>
      <c r="B605" s="307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353"/>
      <c r="R605" s="353"/>
      <c r="S605" s="353"/>
      <c r="T605" s="353"/>
      <c r="U605" s="353"/>
      <c r="V605" s="353"/>
      <c r="W605" s="200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  <c r="AQ605" s="200"/>
      <c r="AR605" s="200"/>
      <c r="AS605" s="200"/>
      <c r="AT605" s="200"/>
    </row>
    <row r="606" spans="1:46" ht="16.5" customHeight="1">
      <c r="A606" s="432"/>
      <c r="B606" s="307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353"/>
      <c r="R606" s="353"/>
      <c r="S606" s="353"/>
      <c r="T606" s="353"/>
      <c r="U606" s="353"/>
      <c r="V606" s="353"/>
      <c r="W606" s="200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  <c r="AQ606" s="200"/>
      <c r="AR606" s="200"/>
      <c r="AS606" s="200"/>
      <c r="AT606" s="200"/>
    </row>
    <row r="607" spans="1:46" ht="16.5" customHeight="1">
      <c r="A607" s="432"/>
      <c r="B607" s="307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353"/>
      <c r="R607" s="353"/>
      <c r="S607" s="353"/>
      <c r="T607" s="353"/>
      <c r="U607" s="353"/>
      <c r="V607" s="353"/>
      <c r="W607" s="200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  <c r="AQ607" s="200"/>
      <c r="AR607" s="200"/>
      <c r="AS607" s="200"/>
      <c r="AT607" s="200"/>
    </row>
    <row r="608" spans="1:46" ht="16.5" customHeight="1">
      <c r="A608" s="432"/>
      <c r="B608" s="307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353"/>
      <c r="R608" s="353"/>
      <c r="S608" s="353"/>
      <c r="T608" s="353"/>
      <c r="U608" s="353"/>
      <c r="V608" s="353"/>
      <c r="W608" s="200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  <c r="AQ608" s="200"/>
      <c r="AR608" s="200"/>
      <c r="AS608" s="200"/>
      <c r="AT608" s="200"/>
    </row>
    <row r="609" spans="1:46" ht="16.5" customHeight="1">
      <c r="A609" s="432"/>
      <c r="B609" s="307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353"/>
      <c r="R609" s="353"/>
      <c r="S609" s="353"/>
      <c r="T609" s="353"/>
      <c r="U609" s="353"/>
      <c r="V609" s="353"/>
      <c r="W609" s="200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  <c r="AQ609" s="200"/>
      <c r="AR609" s="200"/>
      <c r="AS609" s="200"/>
      <c r="AT609" s="200"/>
    </row>
    <row r="610" spans="1:46" ht="16.5" customHeight="1">
      <c r="A610" s="432"/>
      <c r="B610" s="307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353"/>
      <c r="R610" s="353"/>
      <c r="S610" s="353"/>
      <c r="T610" s="353"/>
      <c r="U610" s="353"/>
      <c r="V610" s="353"/>
      <c r="W610" s="200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  <c r="AQ610" s="200"/>
      <c r="AR610" s="200"/>
      <c r="AS610" s="200"/>
      <c r="AT610" s="200"/>
    </row>
    <row r="611" spans="1:46" ht="16.5" customHeight="1">
      <c r="A611" s="432"/>
      <c r="B611" s="307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353"/>
      <c r="R611" s="353"/>
      <c r="S611" s="353"/>
      <c r="T611" s="353"/>
      <c r="U611" s="353"/>
      <c r="V611" s="353"/>
      <c r="W611" s="200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  <c r="AQ611" s="200"/>
      <c r="AR611" s="200"/>
      <c r="AS611" s="200"/>
      <c r="AT611" s="200"/>
    </row>
    <row r="612" spans="1:46" ht="16.5" customHeight="1">
      <c r="A612" s="432"/>
      <c r="B612" s="307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353"/>
      <c r="R612" s="353"/>
      <c r="S612" s="353"/>
      <c r="T612" s="353"/>
      <c r="U612" s="353"/>
      <c r="V612" s="353"/>
      <c r="W612" s="200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  <c r="AQ612" s="200"/>
      <c r="AR612" s="200"/>
      <c r="AS612" s="200"/>
      <c r="AT612" s="200"/>
    </row>
    <row r="613" spans="1:46" ht="16.5" customHeight="1">
      <c r="A613" s="432"/>
      <c r="B613" s="307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353"/>
      <c r="R613" s="353"/>
      <c r="S613" s="353"/>
      <c r="T613" s="353"/>
      <c r="U613" s="353"/>
      <c r="V613" s="353"/>
      <c r="W613" s="200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  <c r="AQ613" s="200"/>
      <c r="AR613" s="200"/>
      <c r="AS613" s="200"/>
      <c r="AT613" s="200"/>
    </row>
    <row r="614" spans="1:46" ht="16.5" customHeight="1">
      <c r="A614" s="432"/>
      <c r="B614" s="307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353"/>
      <c r="R614" s="353"/>
      <c r="S614" s="353"/>
      <c r="T614" s="353"/>
      <c r="U614" s="353"/>
      <c r="V614" s="353"/>
      <c r="W614" s="200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  <c r="AQ614" s="200"/>
      <c r="AR614" s="200"/>
      <c r="AS614" s="200"/>
      <c r="AT614" s="200"/>
    </row>
    <row r="615" spans="1:46" ht="16.5" customHeight="1">
      <c r="A615" s="432"/>
      <c r="B615" s="307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353"/>
      <c r="R615" s="353"/>
      <c r="S615" s="353"/>
      <c r="T615" s="353"/>
      <c r="U615" s="353"/>
      <c r="V615" s="353"/>
      <c r="W615" s="200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  <c r="AQ615" s="200"/>
      <c r="AR615" s="200"/>
      <c r="AS615" s="200"/>
      <c r="AT615" s="200"/>
    </row>
    <row r="616" spans="1:46" ht="16.5" customHeight="1">
      <c r="A616" s="432"/>
      <c r="B616" s="307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353"/>
      <c r="R616" s="353"/>
      <c r="S616" s="353"/>
      <c r="T616" s="353"/>
      <c r="U616" s="353"/>
      <c r="V616" s="353"/>
      <c r="W616" s="200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  <c r="AQ616" s="200"/>
      <c r="AR616" s="200"/>
      <c r="AS616" s="200"/>
      <c r="AT616" s="200"/>
    </row>
    <row r="617" spans="1:46" ht="16.5" customHeight="1">
      <c r="A617" s="432"/>
      <c r="B617" s="307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353"/>
      <c r="R617" s="353"/>
      <c r="S617" s="353"/>
      <c r="T617" s="353"/>
      <c r="U617" s="353"/>
      <c r="V617" s="353"/>
      <c r="W617" s="200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  <c r="AQ617" s="200"/>
      <c r="AR617" s="200"/>
      <c r="AS617" s="200"/>
      <c r="AT617" s="200"/>
    </row>
    <row r="618" spans="1:46" ht="16.5" customHeight="1">
      <c r="A618" s="432"/>
      <c r="B618" s="307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353"/>
      <c r="R618" s="353"/>
      <c r="S618" s="353"/>
      <c r="T618" s="353"/>
      <c r="U618" s="353"/>
      <c r="V618" s="353"/>
      <c r="W618" s="200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  <c r="AQ618" s="200"/>
      <c r="AR618" s="200"/>
      <c r="AS618" s="200"/>
      <c r="AT618" s="200"/>
    </row>
    <row r="619" spans="1:46" ht="16.5" customHeight="1">
      <c r="A619" s="432"/>
      <c r="B619" s="307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353"/>
      <c r="R619" s="353"/>
      <c r="S619" s="353"/>
      <c r="T619" s="353"/>
      <c r="U619" s="353"/>
      <c r="V619" s="353"/>
      <c r="W619" s="200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  <c r="AQ619" s="200"/>
      <c r="AR619" s="200"/>
      <c r="AS619" s="200"/>
      <c r="AT619" s="200"/>
    </row>
    <row r="620" spans="1:46" ht="16.5" customHeight="1">
      <c r="A620" s="432"/>
      <c r="B620" s="307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353"/>
      <c r="R620" s="353"/>
      <c r="S620" s="353"/>
      <c r="T620" s="353"/>
      <c r="U620" s="353"/>
      <c r="V620" s="353"/>
      <c r="W620" s="200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  <c r="AQ620" s="200"/>
      <c r="AR620" s="200"/>
      <c r="AS620" s="200"/>
      <c r="AT620" s="200"/>
    </row>
    <row r="621" spans="1:46" ht="16.5" customHeight="1">
      <c r="A621" s="432"/>
      <c r="B621" s="307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353"/>
      <c r="R621" s="353"/>
      <c r="S621" s="353"/>
      <c r="T621" s="353"/>
      <c r="U621" s="353"/>
      <c r="V621" s="353"/>
      <c r="W621" s="200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  <c r="AQ621" s="200"/>
      <c r="AR621" s="200"/>
      <c r="AS621" s="200"/>
      <c r="AT621" s="200"/>
    </row>
    <row r="622" spans="1:46" ht="16.5" customHeight="1">
      <c r="A622" s="432"/>
      <c r="B622" s="307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353"/>
      <c r="R622" s="353"/>
      <c r="S622" s="353"/>
      <c r="T622" s="353"/>
      <c r="U622" s="353"/>
      <c r="V622" s="353"/>
      <c r="W622" s="200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  <c r="AQ622" s="200"/>
      <c r="AR622" s="200"/>
      <c r="AS622" s="200"/>
      <c r="AT622" s="200"/>
    </row>
    <row r="623" spans="1:46" ht="16.5" customHeight="1">
      <c r="A623" s="432"/>
      <c r="B623" s="307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353"/>
      <c r="R623" s="353"/>
      <c r="S623" s="353"/>
      <c r="T623" s="353"/>
      <c r="U623" s="353"/>
      <c r="V623" s="353"/>
      <c r="W623" s="200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  <c r="AQ623" s="200"/>
      <c r="AR623" s="200"/>
      <c r="AS623" s="200"/>
      <c r="AT623" s="200"/>
    </row>
    <row r="624" spans="1:46" ht="16.5" customHeight="1">
      <c r="A624" s="432"/>
      <c r="B624" s="307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353"/>
      <c r="R624" s="353"/>
      <c r="S624" s="353"/>
      <c r="T624" s="353"/>
      <c r="U624" s="353"/>
      <c r="V624" s="353"/>
      <c r="W624" s="200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  <c r="AQ624" s="200"/>
      <c r="AR624" s="200"/>
      <c r="AS624" s="200"/>
      <c r="AT624" s="200"/>
    </row>
    <row r="625" spans="1:46" ht="16.5" customHeight="1">
      <c r="A625" s="432"/>
      <c r="B625" s="307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353"/>
      <c r="R625" s="353"/>
      <c r="S625" s="353"/>
      <c r="T625" s="353"/>
      <c r="U625" s="353"/>
      <c r="V625" s="353"/>
      <c r="W625" s="200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  <c r="AQ625" s="200"/>
      <c r="AR625" s="200"/>
      <c r="AS625" s="200"/>
      <c r="AT625" s="200"/>
    </row>
    <row r="626" spans="1:46" ht="16.5" customHeight="1">
      <c r="A626" s="432"/>
      <c r="B626" s="307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353"/>
      <c r="R626" s="353"/>
      <c r="S626" s="353"/>
      <c r="T626" s="353"/>
      <c r="U626" s="353"/>
      <c r="V626" s="353"/>
      <c r="W626" s="200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  <c r="AQ626" s="200"/>
      <c r="AR626" s="200"/>
      <c r="AS626" s="200"/>
      <c r="AT626" s="200"/>
    </row>
    <row r="627" spans="1:46" ht="16.5" customHeight="1">
      <c r="A627" s="432"/>
      <c r="B627" s="307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353"/>
      <c r="R627" s="353"/>
      <c r="S627" s="353"/>
      <c r="T627" s="353"/>
      <c r="U627" s="353"/>
      <c r="V627" s="353"/>
      <c r="W627" s="200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  <c r="AQ627" s="200"/>
      <c r="AR627" s="200"/>
      <c r="AS627" s="200"/>
      <c r="AT627" s="200"/>
    </row>
    <row r="628" spans="1:46" ht="16.5" customHeight="1">
      <c r="A628" s="432"/>
      <c r="B628" s="307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353"/>
      <c r="R628" s="353"/>
      <c r="S628" s="353"/>
      <c r="T628" s="353"/>
      <c r="U628" s="353"/>
      <c r="V628" s="353"/>
      <c r="W628" s="200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  <c r="AQ628" s="200"/>
      <c r="AR628" s="200"/>
      <c r="AS628" s="200"/>
      <c r="AT628" s="200"/>
    </row>
    <row r="629" spans="1:46" ht="16.5" customHeight="1">
      <c r="A629" s="432"/>
      <c r="B629" s="307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353"/>
      <c r="R629" s="353"/>
      <c r="S629" s="353"/>
      <c r="T629" s="353"/>
      <c r="U629" s="353"/>
      <c r="V629" s="353"/>
      <c r="W629" s="200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  <c r="AQ629" s="200"/>
      <c r="AR629" s="200"/>
      <c r="AS629" s="200"/>
      <c r="AT629" s="200"/>
    </row>
    <row r="630" spans="1:46" ht="16.5" customHeight="1">
      <c r="A630" s="432"/>
      <c r="B630" s="307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353"/>
      <c r="R630" s="353"/>
      <c r="S630" s="353"/>
      <c r="T630" s="353"/>
      <c r="U630" s="353"/>
      <c r="V630" s="353"/>
      <c r="W630" s="200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  <c r="AQ630" s="200"/>
      <c r="AR630" s="200"/>
      <c r="AS630" s="200"/>
      <c r="AT630" s="200"/>
    </row>
    <row r="631" spans="1:46" ht="16.5" customHeight="1">
      <c r="A631" s="432"/>
      <c r="B631" s="307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353"/>
      <c r="R631" s="353"/>
      <c r="S631" s="353"/>
      <c r="T631" s="353"/>
      <c r="U631" s="353"/>
      <c r="V631" s="353"/>
      <c r="W631" s="200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  <c r="AQ631" s="200"/>
      <c r="AR631" s="200"/>
      <c r="AS631" s="200"/>
      <c r="AT631" s="200"/>
    </row>
    <row r="632" spans="1:46" ht="16.5" customHeight="1">
      <c r="A632" s="432"/>
      <c r="B632" s="307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353"/>
      <c r="R632" s="353"/>
      <c r="S632" s="353"/>
      <c r="T632" s="353"/>
      <c r="U632" s="353"/>
      <c r="V632" s="353"/>
      <c r="W632" s="200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  <c r="AQ632" s="200"/>
      <c r="AR632" s="200"/>
      <c r="AS632" s="200"/>
      <c r="AT632" s="200"/>
    </row>
    <row r="633" spans="1:46" ht="16.5" customHeight="1">
      <c r="A633" s="432"/>
      <c r="B633" s="307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353"/>
      <c r="R633" s="353"/>
      <c r="S633" s="353"/>
      <c r="T633" s="353"/>
      <c r="U633" s="353"/>
      <c r="V633" s="353"/>
      <c r="W633" s="200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  <c r="AQ633" s="200"/>
      <c r="AR633" s="200"/>
      <c r="AS633" s="200"/>
      <c r="AT633" s="200"/>
    </row>
    <row r="634" spans="1:46" ht="16.5" customHeight="1">
      <c r="A634" s="432"/>
      <c r="B634" s="307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353"/>
      <c r="R634" s="353"/>
      <c r="S634" s="353"/>
      <c r="T634" s="353"/>
      <c r="U634" s="353"/>
      <c r="V634" s="353"/>
      <c r="W634" s="200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  <c r="AQ634" s="200"/>
      <c r="AR634" s="200"/>
      <c r="AS634" s="200"/>
      <c r="AT634" s="200"/>
    </row>
    <row r="635" spans="1:46" ht="16.5" customHeight="1">
      <c r="A635" s="432"/>
      <c r="B635" s="307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353"/>
      <c r="R635" s="353"/>
      <c r="S635" s="353"/>
      <c r="T635" s="353"/>
      <c r="U635" s="353"/>
      <c r="V635" s="353"/>
      <c r="W635" s="200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  <c r="AQ635" s="200"/>
      <c r="AR635" s="200"/>
      <c r="AS635" s="200"/>
      <c r="AT635" s="200"/>
    </row>
    <row r="636" spans="1:46" ht="16.5" customHeight="1">
      <c r="A636" s="432"/>
      <c r="B636" s="307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353"/>
      <c r="R636" s="353"/>
      <c r="S636" s="353"/>
      <c r="T636" s="353"/>
      <c r="U636" s="353"/>
      <c r="V636" s="353"/>
      <c r="W636" s="200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  <c r="AQ636" s="200"/>
      <c r="AR636" s="200"/>
      <c r="AS636" s="200"/>
      <c r="AT636" s="200"/>
    </row>
    <row r="637" spans="1:46" ht="16.5" customHeight="1">
      <c r="A637" s="432"/>
      <c r="B637" s="307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353"/>
      <c r="R637" s="353"/>
      <c r="S637" s="353"/>
      <c r="T637" s="353"/>
      <c r="U637" s="353"/>
      <c r="V637" s="353"/>
      <c r="W637" s="200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  <c r="AQ637" s="200"/>
      <c r="AR637" s="200"/>
      <c r="AS637" s="200"/>
      <c r="AT637" s="200"/>
    </row>
    <row r="638" spans="1:46" ht="16.5" customHeight="1">
      <c r="A638" s="432"/>
      <c r="B638" s="307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353"/>
      <c r="R638" s="353"/>
      <c r="S638" s="353"/>
      <c r="T638" s="353"/>
      <c r="U638" s="353"/>
      <c r="V638" s="353"/>
      <c r="W638" s="200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  <c r="AQ638" s="200"/>
      <c r="AR638" s="200"/>
      <c r="AS638" s="200"/>
      <c r="AT638" s="200"/>
    </row>
    <row r="639" spans="1:46" ht="16.5" customHeight="1">
      <c r="A639" s="432"/>
      <c r="B639" s="307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353"/>
      <c r="R639" s="353"/>
      <c r="S639" s="353"/>
      <c r="T639" s="353"/>
      <c r="U639" s="353"/>
      <c r="V639" s="353"/>
      <c r="W639" s="200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  <c r="AQ639" s="200"/>
      <c r="AR639" s="200"/>
      <c r="AS639" s="200"/>
      <c r="AT639" s="200"/>
    </row>
    <row r="640" spans="1:46" ht="16.5" customHeight="1">
      <c r="A640" s="432"/>
      <c r="B640" s="307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353"/>
      <c r="R640" s="353"/>
      <c r="S640" s="353"/>
      <c r="T640" s="353"/>
      <c r="U640" s="353"/>
      <c r="V640" s="353"/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  <c r="AQ640" s="200"/>
      <c r="AR640" s="200"/>
      <c r="AS640" s="200"/>
      <c r="AT640" s="200"/>
    </row>
    <row r="641" spans="1:46" ht="16.5" customHeight="1">
      <c r="A641" s="432"/>
      <c r="B641" s="307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353"/>
      <c r="R641" s="353"/>
      <c r="S641" s="353"/>
      <c r="T641" s="353"/>
      <c r="U641" s="353"/>
      <c r="V641" s="353"/>
      <c r="W641" s="200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  <c r="AQ641" s="200"/>
      <c r="AR641" s="200"/>
      <c r="AS641" s="200"/>
      <c r="AT641" s="200"/>
    </row>
    <row r="642" spans="1:46" ht="16.5" customHeight="1">
      <c r="A642" s="432"/>
      <c r="B642" s="307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353"/>
      <c r="R642" s="353"/>
      <c r="S642" s="353"/>
      <c r="T642" s="353"/>
      <c r="U642" s="353"/>
      <c r="V642" s="353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  <c r="AQ642" s="200"/>
      <c r="AR642" s="200"/>
      <c r="AS642" s="200"/>
      <c r="AT642" s="200"/>
    </row>
    <row r="643" spans="1:46" ht="16.5" customHeight="1">
      <c r="A643" s="432"/>
      <c r="B643" s="307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353"/>
      <c r="R643" s="353"/>
      <c r="S643" s="353"/>
      <c r="T643" s="353"/>
      <c r="U643" s="353"/>
      <c r="V643" s="353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  <c r="AQ643" s="200"/>
      <c r="AR643" s="200"/>
      <c r="AS643" s="200"/>
      <c r="AT643" s="200"/>
    </row>
    <row r="644" spans="1:46" ht="16.5" customHeight="1">
      <c r="A644" s="432"/>
      <c r="B644" s="307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353"/>
      <c r="R644" s="353"/>
      <c r="S644" s="353"/>
      <c r="T644" s="353"/>
      <c r="U644" s="353"/>
      <c r="V644" s="353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  <c r="AT644" s="200"/>
    </row>
    <row r="645" spans="1:46" ht="16.5" customHeight="1">
      <c r="A645" s="432"/>
      <c r="B645" s="307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353"/>
      <c r="R645" s="353"/>
      <c r="S645" s="353"/>
      <c r="T645" s="353"/>
      <c r="U645" s="353"/>
      <c r="V645" s="353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  <c r="AQ645" s="200"/>
      <c r="AR645" s="200"/>
      <c r="AS645" s="200"/>
      <c r="AT645" s="200"/>
    </row>
    <row r="646" spans="1:46" ht="16.5" customHeight="1">
      <c r="A646" s="432"/>
      <c r="B646" s="307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353"/>
      <c r="R646" s="353"/>
      <c r="S646" s="353"/>
      <c r="T646" s="353"/>
      <c r="U646" s="353"/>
      <c r="V646" s="353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  <c r="AQ646" s="200"/>
      <c r="AR646" s="200"/>
      <c r="AS646" s="200"/>
      <c r="AT646" s="200"/>
    </row>
    <row r="647" spans="1:46" ht="16.5" customHeight="1">
      <c r="A647" s="432"/>
      <c r="B647" s="307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353"/>
      <c r="R647" s="353"/>
      <c r="S647" s="353"/>
      <c r="T647" s="353"/>
      <c r="U647" s="353"/>
      <c r="V647" s="353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  <c r="AQ647" s="200"/>
      <c r="AR647" s="200"/>
      <c r="AS647" s="200"/>
      <c r="AT647" s="200"/>
    </row>
    <row r="648" spans="1:46" ht="16.5" customHeight="1">
      <c r="A648" s="432"/>
      <c r="B648" s="307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353"/>
      <c r="R648" s="353"/>
      <c r="S648" s="353"/>
      <c r="T648" s="353"/>
      <c r="U648" s="353"/>
      <c r="V648" s="353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  <c r="AQ648" s="200"/>
      <c r="AR648" s="200"/>
      <c r="AS648" s="200"/>
      <c r="AT648" s="200"/>
    </row>
    <row r="649" spans="1:46" ht="16.5" customHeight="1">
      <c r="A649" s="432"/>
      <c r="B649" s="307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353"/>
      <c r="R649" s="353"/>
      <c r="S649" s="353"/>
      <c r="T649" s="353"/>
      <c r="U649" s="353"/>
      <c r="V649" s="353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  <c r="AQ649" s="200"/>
      <c r="AR649" s="200"/>
      <c r="AS649" s="200"/>
      <c r="AT649" s="200"/>
    </row>
    <row r="650" spans="1:46" ht="16.5" customHeight="1">
      <c r="A650" s="432"/>
      <c r="B650" s="307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353"/>
      <c r="R650" s="353"/>
      <c r="S650" s="353"/>
      <c r="T650" s="353"/>
      <c r="U650" s="353"/>
      <c r="V650" s="353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  <c r="AQ650" s="200"/>
      <c r="AR650" s="200"/>
      <c r="AS650" s="200"/>
      <c r="AT650" s="200"/>
    </row>
    <row r="651" spans="1:46" ht="16.5" customHeight="1">
      <c r="A651" s="432"/>
      <c r="B651" s="307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353"/>
      <c r="R651" s="353"/>
      <c r="S651" s="353"/>
      <c r="T651" s="353"/>
      <c r="U651" s="353"/>
      <c r="V651" s="353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  <c r="AT651" s="200"/>
    </row>
    <row r="652" spans="1:46" ht="16.5" customHeight="1">
      <c r="A652" s="432"/>
      <c r="B652" s="307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353"/>
      <c r="R652" s="353"/>
      <c r="S652" s="353"/>
      <c r="T652" s="353"/>
      <c r="U652" s="353"/>
      <c r="V652" s="353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  <c r="AQ652" s="200"/>
      <c r="AR652" s="200"/>
      <c r="AS652" s="200"/>
      <c r="AT652" s="200"/>
    </row>
    <row r="653" spans="1:46" ht="16.5" customHeight="1">
      <c r="A653" s="432"/>
      <c r="B653" s="307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353"/>
      <c r="R653" s="353"/>
      <c r="S653" s="353"/>
      <c r="T653" s="353"/>
      <c r="U653" s="353"/>
      <c r="V653" s="353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  <c r="AQ653" s="200"/>
      <c r="AR653" s="200"/>
      <c r="AS653" s="200"/>
      <c r="AT653" s="200"/>
    </row>
    <row r="654" spans="1:46" ht="16.5" customHeight="1">
      <c r="A654" s="432"/>
      <c r="B654" s="307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353"/>
      <c r="R654" s="353"/>
      <c r="S654" s="353"/>
      <c r="T654" s="353"/>
      <c r="U654" s="353"/>
      <c r="V654" s="353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  <c r="AQ654" s="200"/>
      <c r="AR654" s="200"/>
      <c r="AS654" s="200"/>
      <c r="AT654" s="200"/>
    </row>
    <row r="655" spans="1:46" ht="16.5" customHeight="1">
      <c r="A655" s="432"/>
      <c r="B655" s="307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353"/>
      <c r="R655" s="353"/>
      <c r="S655" s="353"/>
      <c r="T655" s="353"/>
      <c r="U655" s="353"/>
      <c r="V655" s="353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  <c r="AQ655" s="200"/>
      <c r="AR655" s="200"/>
      <c r="AS655" s="200"/>
      <c r="AT655" s="200"/>
    </row>
    <row r="656" spans="1:46" ht="16.5" customHeight="1">
      <c r="A656" s="432"/>
      <c r="B656" s="307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353"/>
      <c r="R656" s="353"/>
      <c r="S656" s="353"/>
      <c r="T656" s="353"/>
      <c r="U656" s="353"/>
      <c r="V656" s="353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  <c r="AQ656" s="200"/>
      <c r="AR656" s="200"/>
      <c r="AS656" s="200"/>
      <c r="AT656" s="200"/>
    </row>
    <row r="657" spans="1:46" ht="16.5" customHeight="1">
      <c r="A657" s="432"/>
      <c r="B657" s="307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353"/>
      <c r="R657" s="353"/>
      <c r="S657" s="353"/>
      <c r="T657" s="353"/>
      <c r="U657" s="353"/>
      <c r="V657" s="353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  <c r="AQ657" s="200"/>
      <c r="AR657" s="200"/>
      <c r="AS657" s="200"/>
      <c r="AT657" s="200"/>
    </row>
    <row r="658" spans="1:46" ht="16.5" customHeight="1">
      <c r="A658" s="432"/>
      <c r="B658" s="307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353"/>
      <c r="R658" s="353"/>
      <c r="S658" s="353"/>
      <c r="T658" s="353"/>
      <c r="U658" s="353"/>
      <c r="V658" s="353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  <c r="AQ658" s="200"/>
      <c r="AR658" s="200"/>
      <c r="AS658" s="200"/>
      <c r="AT658" s="200"/>
    </row>
    <row r="659" spans="1:46" ht="16.5" customHeight="1">
      <c r="A659" s="432"/>
      <c r="B659" s="307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353"/>
      <c r="R659" s="353"/>
      <c r="S659" s="353"/>
      <c r="T659" s="353"/>
      <c r="U659" s="353"/>
      <c r="V659" s="353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  <c r="AT659" s="200"/>
    </row>
    <row r="660" spans="1:46" ht="16.5" customHeight="1">
      <c r="A660" s="432"/>
      <c r="B660" s="307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353"/>
      <c r="R660" s="353"/>
      <c r="S660" s="353"/>
      <c r="T660" s="353"/>
      <c r="U660" s="353"/>
      <c r="V660" s="353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  <c r="AQ660" s="200"/>
      <c r="AR660" s="200"/>
      <c r="AS660" s="200"/>
      <c r="AT660" s="200"/>
    </row>
    <row r="661" spans="1:46" ht="16.5" customHeight="1">
      <c r="A661" s="432"/>
      <c r="B661" s="307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353"/>
      <c r="R661" s="353"/>
      <c r="S661" s="353"/>
      <c r="T661" s="353"/>
      <c r="U661" s="353"/>
      <c r="V661" s="353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  <c r="AQ661" s="200"/>
      <c r="AR661" s="200"/>
      <c r="AS661" s="200"/>
      <c r="AT661" s="200"/>
    </row>
    <row r="662" spans="1:46" ht="16.5" customHeight="1">
      <c r="A662" s="432"/>
      <c r="B662" s="307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353"/>
      <c r="R662" s="353"/>
      <c r="S662" s="353"/>
      <c r="T662" s="353"/>
      <c r="U662" s="353"/>
      <c r="V662" s="353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  <c r="AT662" s="200"/>
    </row>
    <row r="663" spans="1:46" ht="16.5" customHeight="1">
      <c r="A663" s="432"/>
      <c r="B663" s="307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353"/>
      <c r="R663" s="353"/>
      <c r="S663" s="353"/>
      <c r="T663" s="353"/>
      <c r="U663" s="353"/>
      <c r="V663" s="353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  <c r="AQ663" s="200"/>
      <c r="AR663" s="200"/>
      <c r="AS663" s="200"/>
      <c r="AT663" s="200"/>
    </row>
    <row r="664" spans="1:46" ht="16.5" customHeight="1">
      <c r="A664" s="432"/>
      <c r="B664" s="307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353"/>
      <c r="R664" s="353"/>
      <c r="S664" s="353"/>
      <c r="T664" s="353"/>
      <c r="U664" s="353"/>
      <c r="V664" s="353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  <c r="AQ664" s="200"/>
      <c r="AR664" s="200"/>
      <c r="AS664" s="200"/>
      <c r="AT664" s="200"/>
    </row>
    <row r="665" spans="1:46" ht="16.5" customHeight="1">
      <c r="A665" s="432"/>
      <c r="B665" s="307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353"/>
      <c r="R665" s="353"/>
      <c r="S665" s="353"/>
      <c r="T665" s="353"/>
      <c r="U665" s="353"/>
      <c r="V665" s="353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  <c r="AT665" s="200"/>
    </row>
    <row r="666" spans="1:46" ht="16.5" customHeight="1">
      <c r="A666" s="432"/>
      <c r="B666" s="307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353"/>
      <c r="R666" s="353"/>
      <c r="S666" s="353"/>
      <c r="T666" s="353"/>
      <c r="U666" s="353"/>
      <c r="V666" s="353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  <c r="AQ666" s="200"/>
      <c r="AR666" s="200"/>
      <c r="AS666" s="200"/>
      <c r="AT666" s="200"/>
    </row>
    <row r="667" spans="1:46" ht="16.5" customHeight="1">
      <c r="A667" s="432"/>
      <c r="B667" s="307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353"/>
      <c r="R667" s="353"/>
      <c r="S667" s="353"/>
      <c r="T667" s="353"/>
      <c r="U667" s="353"/>
      <c r="V667" s="353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  <c r="AQ667" s="200"/>
      <c r="AR667" s="200"/>
      <c r="AS667" s="200"/>
      <c r="AT667" s="200"/>
    </row>
    <row r="668" spans="1:46" ht="16.5" customHeight="1">
      <c r="A668" s="432"/>
      <c r="B668" s="307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353"/>
      <c r="R668" s="353"/>
      <c r="S668" s="353"/>
      <c r="T668" s="353"/>
      <c r="U668" s="353"/>
      <c r="V668" s="353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  <c r="AQ668" s="200"/>
      <c r="AR668" s="200"/>
      <c r="AS668" s="200"/>
      <c r="AT668" s="200"/>
    </row>
    <row r="669" spans="1:46" ht="16.5" customHeight="1">
      <c r="A669" s="432"/>
      <c r="B669" s="307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353"/>
      <c r="R669" s="353"/>
      <c r="S669" s="353"/>
      <c r="T669" s="353"/>
      <c r="U669" s="353"/>
      <c r="V669" s="353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  <c r="AQ669" s="200"/>
      <c r="AR669" s="200"/>
      <c r="AS669" s="200"/>
      <c r="AT669" s="200"/>
    </row>
    <row r="670" spans="1:46" ht="16.5" customHeight="1">
      <c r="A670" s="432"/>
      <c r="B670" s="307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353"/>
      <c r="R670" s="353"/>
      <c r="S670" s="353"/>
      <c r="T670" s="353"/>
      <c r="U670" s="353"/>
      <c r="V670" s="353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  <c r="AQ670" s="200"/>
      <c r="AR670" s="200"/>
      <c r="AS670" s="200"/>
      <c r="AT670" s="200"/>
    </row>
    <row r="671" spans="1:46" ht="16.5" customHeight="1">
      <c r="A671" s="432"/>
      <c r="B671" s="307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353"/>
      <c r="R671" s="353"/>
      <c r="S671" s="353"/>
      <c r="T671" s="353"/>
      <c r="U671" s="353"/>
      <c r="V671" s="353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  <c r="AT671" s="200"/>
    </row>
    <row r="672" spans="1:46" ht="16.5" customHeight="1">
      <c r="A672" s="432"/>
      <c r="B672" s="307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353"/>
      <c r="R672" s="353"/>
      <c r="S672" s="353"/>
      <c r="T672" s="353"/>
      <c r="U672" s="353"/>
      <c r="V672" s="353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  <c r="AQ672" s="200"/>
      <c r="AR672" s="200"/>
      <c r="AS672" s="200"/>
      <c r="AT672" s="200"/>
    </row>
    <row r="673" spans="1:46" ht="16.5" customHeight="1">
      <c r="A673" s="432"/>
      <c r="B673" s="307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353"/>
      <c r="R673" s="353"/>
      <c r="S673" s="353"/>
      <c r="T673" s="353"/>
      <c r="U673" s="353"/>
      <c r="V673" s="353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  <c r="AQ673" s="200"/>
      <c r="AR673" s="200"/>
      <c r="AS673" s="200"/>
      <c r="AT673" s="200"/>
    </row>
    <row r="674" spans="1:46" ht="16.5" customHeight="1">
      <c r="A674" s="432"/>
      <c r="B674" s="307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353"/>
      <c r="R674" s="353"/>
      <c r="S674" s="353"/>
      <c r="T674" s="353"/>
      <c r="U674" s="353"/>
      <c r="V674" s="353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  <c r="AQ674" s="200"/>
      <c r="AR674" s="200"/>
      <c r="AS674" s="200"/>
      <c r="AT674" s="200"/>
    </row>
    <row r="675" spans="1:46" ht="16.5" customHeight="1">
      <c r="A675" s="432"/>
      <c r="B675" s="307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353"/>
      <c r="R675" s="353"/>
      <c r="S675" s="353"/>
      <c r="T675" s="353"/>
      <c r="U675" s="353"/>
      <c r="V675" s="353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  <c r="AQ675" s="200"/>
      <c r="AR675" s="200"/>
      <c r="AS675" s="200"/>
      <c r="AT675" s="200"/>
    </row>
    <row r="676" spans="1:46" ht="16.5" customHeight="1">
      <c r="A676" s="432"/>
      <c r="B676" s="307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353"/>
      <c r="R676" s="353"/>
      <c r="S676" s="353"/>
      <c r="T676" s="353"/>
      <c r="U676" s="353"/>
      <c r="V676" s="353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  <c r="AQ676" s="200"/>
      <c r="AR676" s="200"/>
      <c r="AS676" s="200"/>
      <c r="AT676" s="200"/>
    </row>
    <row r="677" spans="1:46" ht="16.5" customHeight="1">
      <c r="A677" s="432"/>
      <c r="B677" s="307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353"/>
      <c r="R677" s="353"/>
      <c r="S677" s="353"/>
      <c r="T677" s="353"/>
      <c r="U677" s="353"/>
      <c r="V677" s="353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  <c r="AQ677" s="200"/>
      <c r="AR677" s="200"/>
      <c r="AS677" s="200"/>
      <c r="AT677" s="200"/>
    </row>
    <row r="678" spans="1:46" ht="16.5" customHeight="1">
      <c r="A678" s="432"/>
      <c r="B678" s="307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353"/>
      <c r="R678" s="353"/>
      <c r="S678" s="353"/>
      <c r="T678" s="353"/>
      <c r="U678" s="353"/>
      <c r="V678" s="353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  <c r="AQ678" s="200"/>
      <c r="AR678" s="200"/>
      <c r="AS678" s="200"/>
      <c r="AT678" s="200"/>
    </row>
    <row r="679" spans="1:46" ht="16.5" customHeight="1">
      <c r="A679" s="432"/>
      <c r="B679" s="307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353"/>
      <c r="R679" s="353"/>
      <c r="S679" s="353"/>
      <c r="T679" s="353"/>
      <c r="U679" s="353"/>
      <c r="V679" s="353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  <c r="AQ679" s="200"/>
      <c r="AR679" s="200"/>
      <c r="AS679" s="200"/>
      <c r="AT679" s="200"/>
    </row>
    <row r="680" spans="1:46" ht="16.5" customHeight="1">
      <c r="A680" s="432"/>
      <c r="B680" s="307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353"/>
      <c r="R680" s="353"/>
      <c r="S680" s="353"/>
      <c r="T680" s="353"/>
      <c r="U680" s="353"/>
      <c r="V680" s="353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  <c r="AQ680" s="200"/>
      <c r="AR680" s="200"/>
      <c r="AS680" s="200"/>
      <c r="AT680" s="200"/>
    </row>
    <row r="681" spans="1:46" ht="16.5" customHeight="1">
      <c r="A681" s="432"/>
      <c r="B681" s="307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353"/>
      <c r="R681" s="353"/>
      <c r="S681" s="353"/>
      <c r="T681" s="353"/>
      <c r="U681" s="353"/>
      <c r="V681" s="353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  <c r="AT681" s="200"/>
    </row>
    <row r="682" spans="1:46" ht="16.5" customHeight="1">
      <c r="A682" s="432"/>
      <c r="B682" s="307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353"/>
      <c r="R682" s="353"/>
      <c r="S682" s="353"/>
      <c r="T682" s="353"/>
      <c r="U682" s="353"/>
      <c r="V682" s="353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  <c r="AQ682" s="200"/>
      <c r="AR682" s="200"/>
      <c r="AS682" s="200"/>
      <c r="AT682" s="200"/>
    </row>
    <row r="683" spans="1:46" ht="16.5" customHeight="1">
      <c r="A683" s="432"/>
      <c r="B683" s="307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353"/>
      <c r="R683" s="353"/>
      <c r="S683" s="353"/>
      <c r="T683" s="353"/>
      <c r="U683" s="353"/>
      <c r="V683" s="353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  <c r="AQ683" s="200"/>
      <c r="AR683" s="200"/>
      <c r="AS683" s="200"/>
      <c r="AT683" s="200"/>
    </row>
    <row r="684" spans="1:46" ht="16.5" customHeight="1">
      <c r="A684" s="432"/>
      <c r="B684" s="307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353"/>
      <c r="R684" s="353"/>
      <c r="S684" s="353"/>
      <c r="T684" s="353"/>
      <c r="U684" s="353"/>
      <c r="V684" s="353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  <c r="AQ684" s="200"/>
      <c r="AR684" s="200"/>
      <c r="AS684" s="200"/>
      <c r="AT684" s="200"/>
    </row>
    <row r="685" spans="1:46" ht="16.5" customHeight="1">
      <c r="A685" s="432"/>
      <c r="B685" s="307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353"/>
      <c r="R685" s="353"/>
      <c r="S685" s="353"/>
      <c r="T685" s="353"/>
      <c r="U685" s="353"/>
      <c r="V685" s="353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  <c r="AQ685" s="200"/>
      <c r="AR685" s="200"/>
      <c r="AS685" s="200"/>
      <c r="AT685" s="200"/>
    </row>
    <row r="686" spans="1:46" ht="16.5" customHeight="1">
      <c r="A686" s="432"/>
      <c r="B686" s="307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353"/>
      <c r="R686" s="353"/>
      <c r="S686" s="353"/>
      <c r="T686" s="353"/>
      <c r="U686" s="353"/>
      <c r="V686" s="353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  <c r="AQ686" s="200"/>
      <c r="AR686" s="200"/>
      <c r="AS686" s="200"/>
      <c r="AT686" s="200"/>
    </row>
    <row r="687" spans="1:46" ht="16.5" customHeight="1">
      <c r="A687" s="432"/>
      <c r="B687" s="307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353"/>
      <c r="R687" s="353"/>
      <c r="S687" s="353"/>
      <c r="T687" s="353"/>
      <c r="U687" s="353"/>
      <c r="V687" s="353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  <c r="AQ687" s="200"/>
      <c r="AR687" s="200"/>
      <c r="AS687" s="200"/>
      <c r="AT687" s="200"/>
    </row>
    <row r="688" spans="1:46" ht="16.5" customHeight="1">
      <c r="A688" s="432"/>
      <c r="B688" s="307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353"/>
      <c r="R688" s="353"/>
      <c r="S688" s="353"/>
      <c r="T688" s="353"/>
      <c r="U688" s="353"/>
      <c r="V688" s="353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  <c r="AQ688" s="200"/>
      <c r="AR688" s="200"/>
      <c r="AS688" s="200"/>
      <c r="AT688" s="200"/>
    </row>
    <row r="689" spans="1:46" ht="16.5" customHeight="1">
      <c r="A689" s="432"/>
      <c r="B689" s="307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353"/>
      <c r="R689" s="353"/>
      <c r="S689" s="353"/>
      <c r="T689" s="353"/>
      <c r="U689" s="353"/>
      <c r="V689" s="353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  <c r="AQ689" s="200"/>
      <c r="AR689" s="200"/>
      <c r="AS689" s="200"/>
      <c r="AT689" s="200"/>
    </row>
    <row r="690" spans="1:46" ht="16.5" customHeight="1">
      <c r="A690" s="432"/>
      <c r="B690" s="307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353"/>
      <c r="R690" s="353"/>
      <c r="S690" s="353"/>
      <c r="T690" s="353"/>
      <c r="U690" s="353"/>
      <c r="V690" s="353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  <c r="AQ690" s="200"/>
      <c r="AR690" s="200"/>
      <c r="AS690" s="200"/>
      <c r="AT690" s="200"/>
    </row>
    <row r="691" spans="1:46" ht="16.5" customHeight="1">
      <c r="A691" s="432"/>
      <c r="B691" s="307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353"/>
      <c r="R691" s="353"/>
      <c r="S691" s="353"/>
      <c r="T691" s="353"/>
      <c r="U691" s="353"/>
      <c r="V691" s="353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  <c r="AQ691" s="200"/>
      <c r="AR691" s="200"/>
      <c r="AS691" s="200"/>
      <c r="AT691" s="200"/>
    </row>
    <row r="692" spans="1:46" ht="16.5" customHeight="1">
      <c r="A692" s="432"/>
      <c r="B692" s="307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353"/>
      <c r="R692" s="353"/>
      <c r="S692" s="353"/>
      <c r="T692" s="353"/>
      <c r="U692" s="353"/>
      <c r="V692" s="353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  <c r="AQ692" s="200"/>
      <c r="AR692" s="200"/>
      <c r="AS692" s="200"/>
      <c r="AT692" s="200"/>
    </row>
    <row r="693" spans="1:46" ht="16.5" customHeight="1">
      <c r="A693" s="432"/>
      <c r="B693" s="307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353"/>
      <c r="R693" s="353"/>
      <c r="S693" s="353"/>
      <c r="T693" s="353"/>
      <c r="U693" s="353"/>
      <c r="V693" s="353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  <c r="AQ693" s="200"/>
      <c r="AR693" s="200"/>
      <c r="AS693" s="200"/>
      <c r="AT693" s="200"/>
    </row>
    <row r="694" spans="1:46" ht="16.5" customHeight="1">
      <c r="A694" s="432"/>
      <c r="B694" s="307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353"/>
      <c r="R694" s="353"/>
      <c r="S694" s="353"/>
      <c r="T694" s="353"/>
      <c r="U694" s="353"/>
      <c r="V694" s="353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  <c r="AQ694" s="200"/>
      <c r="AR694" s="200"/>
      <c r="AS694" s="200"/>
      <c r="AT694" s="200"/>
    </row>
    <row r="695" spans="1:46" ht="16.5" customHeight="1">
      <c r="A695" s="432"/>
      <c r="B695" s="307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353"/>
      <c r="R695" s="353"/>
      <c r="S695" s="353"/>
      <c r="T695" s="353"/>
      <c r="U695" s="353"/>
      <c r="V695" s="353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  <c r="AQ695" s="200"/>
      <c r="AR695" s="200"/>
      <c r="AS695" s="200"/>
      <c r="AT695" s="200"/>
    </row>
    <row r="696" spans="1:46" ht="16.5" customHeight="1">
      <c r="A696" s="432"/>
      <c r="B696" s="307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353"/>
      <c r="R696" s="353"/>
      <c r="S696" s="353"/>
      <c r="T696" s="353"/>
      <c r="U696" s="353"/>
      <c r="V696" s="353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  <c r="AQ696" s="200"/>
      <c r="AR696" s="200"/>
      <c r="AS696" s="200"/>
      <c r="AT696" s="200"/>
    </row>
    <row r="697" spans="1:46" ht="16.5" customHeight="1">
      <c r="A697" s="432"/>
      <c r="B697" s="307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353"/>
      <c r="R697" s="353"/>
      <c r="S697" s="353"/>
      <c r="T697" s="353"/>
      <c r="U697" s="353"/>
      <c r="V697" s="353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  <c r="AQ697" s="200"/>
      <c r="AR697" s="200"/>
      <c r="AS697" s="200"/>
      <c r="AT697" s="200"/>
    </row>
    <row r="698" spans="1:46" ht="16.5" customHeight="1">
      <c r="A698" s="432"/>
      <c r="B698" s="307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353"/>
      <c r="R698" s="353"/>
      <c r="S698" s="353"/>
      <c r="T698" s="353"/>
      <c r="U698" s="353"/>
      <c r="V698" s="353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  <c r="AQ698" s="200"/>
      <c r="AR698" s="200"/>
      <c r="AS698" s="200"/>
      <c r="AT698" s="200"/>
    </row>
    <row r="699" spans="1:46" ht="16.5" customHeight="1">
      <c r="A699" s="432"/>
      <c r="B699" s="307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353"/>
      <c r="R699" s="353"/>
      <c r="S699" s="353"/>
      <c r="T699" s="353"/>
      <c r="U699" s="353"/>
      <c r="V699" s="353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  <c r="AQ699" s="200"/>
      <c r="AR699" s="200"/>
      <c r="AS699" s="200"/>
      <c r="AT699" s="200"/>
    </row>
    <row r="700" spans="1:46" ht="16.5" customHeight="1">
      <c r="A700" s="432"/>
      <c r="B700" s="307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353"/>
      <c r="R700" s="353"/>
      <c r="S700" s="353"/>
      <c r="T700" s="353"/>
      <c r="U700" s="353"/>
      <c r="V700" s="353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  <c r="AQ700" s="200"/>
      <c r="AR700" s="200"/>
      <c r="AS700" s="200"/>
      <c r="AT700" s="200"/>
    </row>
    <row r="701" spans="1:46" ht="16.5" customHeight="1">
      <c r="A701" s="432"/>
      <c r="B701" s="307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353"/>
      <c r="R701" s="353"/>
      <c r="S701" s="353"/>
      <c r="T701" s="353"/>
      <c r="U701" s="353"/>
      <c r="V701" s="353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  <c r="AQ701" s="200"/>
      <c r="AR701" s="200"/>
      <c r="AS701" s="200"/>
      <c r="AT701" s="200"/>
    </row>
    <row r="702" spans="1:46" ht="16.5" customHeight="1">
      <c r="A702" s="432"/>
      <c r="B702" s="307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353"/>
      <c r="R702" s="353"/>
      <c r="S702" s="353"/>
      <c r="T702" s="353"/>
      <c r="U702" s="353"/>
      <c r="V702" s="353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  <c r="AQ702" s="200"/>
      <c r="AR702" s="200"/>
      <c r="AS702" s="200"/>
      <c r="AT702" s="200"/>
    </row>
    <row r="703" spans="1:46" ht="16.5" customHeight="1">
      <c r="A703" s="432"/>
      <c r="B703" s="307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353"/>
      <c r="R703" s="353"/>
      <c r="S703" s="353"/>
      <c r="T703" s="353"/>
      <c r="U703" s="353"/>
      <c r="V703" s="353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  <c r="AQ703" s="200"/>
      <c r="AR703" s="200"/>
      <c r="AS703" s="200"/>
      <c r="AT703" s="200"/>
    </row>
    <row r="704" spans="1:46" ht="16.5" customHeight="1">
      <c r="A704" s="432"/>
      <c r="B704" s="307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353"/>
      <c r="R704" s="353"/>
      <c r="S704" s="353"/>
      <c r="T704" s="353"/>
      <c r="U704" s="353"/>
      <c r="V704" s="353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  <c r="AQ704" s="200"/>
      <c r="AR704" s="200"/>
      <c r="AS704" s="200"/>
      <c r="AT704" s="200"/>
    </row>
    <row r="705" spans="1:46" ht="16.5" customHeight="1">
      <c r="A705" s="432"/>
      <c r="B705" s="307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353"/>
      <c r="R705" s="353"/>
      <c r="S705" s="353"/>
      <c r="T705" s="353"/>
      <c r="U705" s="353"/>
      <c r="V705" s="353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  <c r="AQ705" s="200"/>
      <c r="AR705" s="200"/>
      <c r="AS705" s="200"/>
      <c r="AT705" s="200"/>
    </row>
    <row r="706" spans="1:46" ht="16.5" customHeight="1">
      <c r="A706" s="432"/>
      <c r="B706" s="307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353"/>
      <c r="R706" s="353"/>
      <c r="S706" s="353"/>
      <c r="T706" s="353"/>
      <c r="U706" s="353"/>
      <c r="V706" s="353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  <c r="AQ706" s="200"/>
      <c r="AR706" s="200"/>
      <c r="AS706" s="200"/>
      <c r="AT706" s="200"/>
    </row>
    <row r="707" spans="1:46" ht="16.5" customHeight="1">
      <c r="A707" s="432"/>
      <c r="B707" s="307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353"/>
      <c r="R707" s="353"/>
      <c r="S707" s="353"/>
      <c r="T707" s="353"/>
      <c r="U707" s="353"/>
      <c r="V707" s="353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  <c r="AQ707" s="200"/>
      <c r="AR707" s="200"/>
      <c r="AS707" s="200"/>
      <c r="AT707" s="200"/>
    </row>
    <row r="708" spans="1:46" ht="16.5" customHeight="1">
      <c r="A708" s="432"/>
      <c r="B708" s="307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353"/>
      <c r="R708" s="353"/>
      <c r="S708" s="353"/>
      <c r="T708" s="353"/>
      <c r="U708" s="353"/>
      <c r="V708" s="353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  <c r="AQ708" s="200"/>
      <c r="AR708" s="200"/>
      <c r="AS708" s="200"/>
      <c r="AT708" s="200"/>
    </row>
    <row r="709" spans="1:46" ht="16.5" customHeight="1">
      <c r="A709" s="432"/>
      <c r="B709" s="307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353"/>
      <c r="R709" s="353"/>
      <c r="S709" s="353"/>
      <c r="T709" s="353"/>
      <c r="U709" s="353"/>
      <c r="V709" s="353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  <c r="AQ709" s="200"/>
      <c r="AR709" s="200"/>
      <c r="AS709" s="200"/>
      <c r="AT709" s="200"/>
    </row>
    <row r="710" spans="1:46" ht="16.5" customHeight="1">
      <c r="A710" s="432"/>
      <c r="B710" s="307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353"/>
      <c r="R710" s="353"/>
      <c r="S710" s="353"/>
      <c r="T710" s="353"/>
      <c r="U710" s="353"/>
      <c r="V710" s="353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  <c r="AQ710" s="200"/>
      <c r="AR710" s="200"/>
      <c r="AS710" s="200"/>
      <c r="AT710" s="200"/>
    </row>
    <row r="711" spans="1:46" ht="16.5" customHeight="1">
      <c r="A711" s="432"/>
      <c r="B711" s="307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353"/>
      <c r="R711" s="353"/>
      <c r="S711" s="353"/>
      <c r="T711" s="353"/>
      <c r="U711" s="353"/>
      <c r="V711" s="353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  <c r="AQ711" s="200"/>
      <c r="AR711" s="200"/>
      <c r="AS711" s="200"/>
      <c r="AT711" s="200"/>
    </row>
    <row r="712" spans="1:46" ht="16.5" customHeight="1">
      <c r="A712" s="432"/>
      <c r="B712" s="307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353"/>
      <c r="R712" s="353"/>
      <c r="S712" s="353"/>
      <c r="T712" s="353"/>
      <c r="U712" s="353"/>
      <c r="V712" s="353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  <c r="AQ712" s="200"/>
      <c r="AR712" s="200"/>
      <c r="AS712" s="200"/>
      <c r="AT712" s="200"/>
    </row>
    <row r="713" spans="1:46" ht="16.5" customHeight="1">
      <c r="A713" s="432"/>
      <c r="B713" s="307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353"/>
      <c r="R713" s="353"/>
      <c r="S713" s="353"/>
      <c r="T713" s="353"/>
      <c r="U713" s="353"/>
      <c r="V713" s="353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  <c r="AQ713" s="200"/>
      <c r="AR713" s="200"/>
      <c r="AS713" s="200"/>
      <c r="AT713" s="200"/>
    </row>
    <row r="714" spans="1:46" ht="16.5" customHeight="1">
      <c r="A714" s="432"/>
      <c r="B714" s="307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353"/>
      <c r="R714" s="353"/>
      <c r="S714" s="353"/>
      <c r="T714" s="353"/>
      <c r="U714" s="353"/>
      <c r="V714" s="353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  <c r="AQ714" s="200"/>
      <c r="AR714" s="200"/>
      <c r="AS714" s="200"/>
      <c r="AT714" s="200"/>
    </row>
    <row r="715" spans="1:46" ht="16.5" customHeight="1">
      <c r="A715" s="432"/>
      <c r="B715" s="307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353"/>
      <c r="R715" s="353"/>
      <c r="S715" s="353"/>
      <c r="T715" s="353"/>
      <c r="U715" s="353"/>
      <c r="V715" s="353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  <c r="AQ715" s="200"/>
      <c r="AR715" s="200"/>
      <c r="AS715" s="200"/>
      <c r="AT715" s="200"/>
    </row>
    <row r="716" spans="1:46" ht="16.5" customHeight="1">
      <c r="A716" s="432"/>
      <c r="B716" s="307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353"/>
      <c r="R716" s="353"/>
      <c r="S716" s="353"/>
      <c r="T716" s="353"/>
      <c r="U716" s="353"/>
      <c r="V716" s="353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  <c r="AQ716" s="200"/>
      <c r="AR716" s="200"/>
      <c r="AS716" s="200"/>
      <c r="AT716" s="200"/>
    </row>
    <row r="717" spans="1:46" ht="16.5" customHeight="1">
      <c r="A717" s="432"/>
      <c r="B717" s="307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353"/>
      <c r="R717" s="353"/>
      <c r="S717" s="353"/>
      <c r="T717" s="353"/>
      <c r="U717" s="353"/>
      <c r="V717" s="353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  <c r="AQ717" s="200"/>
      <c r="AR717" s="200"/>
      <c r="AS717" s="200"/>
      <c r="AT717" s="200"/>
    </row>
    <row r="718" spans="1:46" ht="16.5" customHeight="1">
      <c r="A718" s="432"/>
      <c r="B718" s="307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353"/>
      <c r="R718" s="353"/>
      <c r="S718" s="353"/>
      <c r="T718" s="353"/>
      <c r="U718" s="353"/>
      <c r="V718" s="353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  <c r="AQ718" s="200"/>
      <c r="AR718" s="200"/>
      <c r="AS718" s="200"/>
      <c r="AT718" s="200"/>
    </row>
    <row r="719" spans="1:46" ht="16.5" customHeight="1">
      <c r="A719" s="432"/>
      <c r="B719" s="307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353"/>
      <c r="R719" s="353"/>
      <c r="S719" s="353"/>
      <c r="T719" s="353"/>
      <c r="U719" s="353"/>
      <c r="V719" s="353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  <c r="AQ719" s="200"/>
      <c r="AR719" s="200"/>
      <c r="AS719" s="200"/>
      <c r="AT719" s="200"/>
    </row>
    <row r="720" spans="1:46" ht="16.5" customHeight="1">
      <c r="A720" s="432"/>
      <c r="B720" s="307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353"/>
      <c r="R720" s="353"/>
      <c r="S720" s="353"/>
      <c r="T720" s="353"/>
      <c r="U720" s="353"/>
      <c r="V720" s="353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  <c r="AQ720" s="200"/>
      <c r="AR720" s="200"/>
      <c r="AS720" s="200"/>
      <c r="AT720" s="200"/>
    </row>
    <row r="721" spans="1:46" ht="16.5" customHeight="1">
      <c r="A721" s="432"/>
      <c r="B721" s="307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353"/>
      <c r="R721" s="353"/>
      <c r="S721" s="353"/>
      <c r="T721" s="353"/>
      <c r="U721" s="353"/>
      <c r="V721" s="353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  <c r="AQ721" s="200"/>
      <c r="AR721" s="200"/>
      <c r="AS721" s="200"/>
      <c r="AT721" s="200"/>
    </row>
    <row r="722" spans="1:46" ht="16.5" customHeight="1">
      <c r="A722" s="432"/>
      <c r="B722" s="307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353"/>
      <c r="R722" s="353"/>
      <c r="S722" s="353"/>
      <c r="T722" s="353"/>
      <c r="U722" s="353"/>
      <c r="V722" s="353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  <c r="AQ722" s="200"/>
      <c r="AR722" s="200"/>
      <c r="AS722" s="200"/>
      <c r="AT722" s="200"/>
    </row>
    <row r="723" spans="1:46" ht="16.5" customHeight="1">
      <c r="A723" s="432"/>
      <c r="B723" s="307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353"/>
      <c r="R723" s="353"/>
      <c r="S723" s="353"/>
      <c r="T723" s="353"/>
      <c r="U723" s="353"/>
      <c r="V723" s="353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  <c r="AQ723" s="200"/>
      <c r="AR723" s="200"/>
      <c r="AS723" s="200"/>
      <c r="AT723" s="200"/>
    </row>
    <row r="724" spans="1:46" ht="16.5" customHeight="1">
      <c r="A724" s="432"/>
      <c r="B724" s="307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353"/>
      <c r="R724" s="353"/>
      <c r="S724" s="353"/>
      <c r="T724" s="353"/>
      <c r="U724" s="353"/>
      <c r="V724" s="353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  <c r="AQ724" s="200"/>
      <c r="AR724" s="200"/>
      <c r="AS724" s="200"/>
      <c r="AT724" s="200"/>
    </row>
    <row r="725" spans="1:46" ht="16.5" customHeight="1">
      <c r="A725" s="432"/>
      <c r="B725" s="307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353"/>
      <c r="R725" s="353"/>
      <c r="S725" s="353"/>
      <c r="T725" s="353"/>
      <c r="U725" s="353"/>
      <c r="V725" s="353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  <c r="AQ725" s="200"/>
      <c r="AR725" s="200"/>
      <c r="AS725" s="200"/>
      <c r="AT725" s="200"/>
    </row>
    <row r="726" spans="1:46" ht="16.5" customHeight="1">
      <c r="A726" s="432"/>
      <c r="B726" s="307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353"/>
      <c r="R726" s="353"/>
      <c r="S726" s="353"/>
      <c r="T726" s="353"/>
      <c r="U726" s="353"/>
      <c r="V726" s="353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  <c r="AQ726" s="200"/>
      <c r="AR726" s="200"/>
      <c r="AS726" s="200"/>
      <c r="AT726" s="200"/>
    </row>
    <row r="727" spans="1:46" ht="16.5" customHeight="1">
      <c r="A727" s="432"/>
      <c r="B727" s="307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353"/>
      <c r="R727" s="353"/>
      <c r="S727" s="353"/>
      <c r="T727" s="353"/>
      <c r="U727" s="353"/>
      <c r="V727" s="353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  <c r="AQ727" s="200"/>
      <c r="AR727" s="200"/>
      <c r="AS727" s="200"/>
      <c r="AT727" s="200"/>
    </row>
    <row r="728" spans="1:46" ht="16.5" customHeight="1">
      <c r="A728" s="432"/>
      <c r="B728" s="307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353"/>
      <c r="R728" s="353"/>
      <c r="S728" s="353"/>
      <c r="T728" s="353"/>
      <c r="U728" s="353"/>
      <c r="V728" s="353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  <c r="AQ728" s="200"/>
      <c r="AR728" s="200"/>
      <c r="AS728" s="200"/>
      <c r="AT728" s="200"/>
    </row>
    <row r="729" spans="1:46" ht="16.5" customHeight="1">
      <c r="A729" s="432"/>
      <c r="B729" s="307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353"/>
      <c r="R729" s="353"/>
      <c r="S729" s="353"/>
      <c r="T729" s="353"/>
      <c r="U729" s="353"/>
      <c r="V729" s="353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  <c r="AQ729" s="200"/>
      <c r="AR729" s="200"/>
      <c r="AS729" s="200"/>
      <c r="AT729" s="200"/>
    </row>
    <row r="730" spans="1:46" ht="16.5" customHeight="1">
      <c r="A730" s="432"/>
      <c r="B730" s="307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353"/>
      <c r="R730" s="353"/>
      <c r="S730" s="353"/>
      <c r="T730" s="353"/>
      <c r="U730" s="353"/>
      <c r="V730" s="353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  <c r="AQ730" s="200"/>
      <c r="AR730" s="200"/>
      <c r="AS730" s="200"/>
      <c r="AT730" s="200"/>
    </row>
    <row r="731" spans="1:46" ht="16.5" customHeight="1">
      <c r="A731" s="432"/>
      <c r="B731" s="307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353"/>
      <c r="R731" s="353"/>
      <c r="S731" s="353"/>
      <c r="T731" s="353"/>
      <c r="U731" s="353"/>
      <c r="V731" s="353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  <c r="AQ731" s="200"/>
      <c r="AR731" s="200"/>
      <c r="AS731" s="200"/>
      <c r="AT731" s="200"/>
    </row>
    <row r="732" spans="1:46" ht="16.5" customHeight="1">
      <c r="A732" s="432"/>
      <c r="B732" s="307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353"/>
      <c r="R732" s="353"/>
      <c r="S732" s="353"/>
      <c r="T732" s="353"/>
      <c r="U732" s="353"/>
      <c r="V732" s="353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  <c r="AQ732" s="200"/>
      <c r="AR732" s="200"/>
      <c r="AS732" s="200"/>
      <c r="AT732" s="200"/>
    </row>
    <row r="733" spans="1:46" ht="16.5" customHeight="1">
      <c r="A733" s="432"/>
      <c r="B733" s="307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353"/>
      <c r="R733" s="353"/>
      <c r="S733" s="353"/>
      <c r="T733" s="353"/>
      <c r="U733" s="353"/>
      <c r="V733" s="353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  <c r="AQ733" s="200"/>
      <c r="AR733" s="200"/>
      <c r="AS733" s="200"/>
      <c r="AT733" s="200"/>
    </row>
    <row r="734" spans="1:46" ht="16.5" customHeight="1">
      <c r="A734" s="432"/>
      <c r="B734" s="307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353"/>
      <c r="R734" s="353"/>
      <c r="S734" s="353"/>
      <c r="T734" s="353"/>
      <c r="U734" s="353"/>
      <c r="V734" s="353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  <c r="AQ734" s="200"/>
      <c r="AR734" s="200"/>
      <c r="AS734" s="200"/>
      <c r="AT734" s="200"/>
    </row>
    <row r="735" spans="1:46" ht="16.5" customHeight="1">
      <c r="A735" s="432"/>
      <c r="B735" s="307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353"/>
      <c r="R735" s="353"/>
      <c r="S735" s="353"/>
      <c r="T735" s="353"/>
      <c r="U735" s="353"/>
      <c r="V735" s="353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  <c r="AQ735" s="200"/>
      <c r="AR735" s="200"/>
      <c r="AS735" s="200"/>
      <c r="AT735" s="200"/>
    </row>
    <row r="736" spans="1:46" ht="16.5" customHeight="1">
      <c r="A736" s="432"/>
      <c r="B736" s="307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353"/>
      <c r="R736" s="353"/>
      <c r="S736" s="353"/>
      <c r="T736" s="353"/>
      <c r="U736" s="353"/>
      <c r="V736" s="353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  <c r="AQ736" s="200"/>
      <c r="AR736" s="200"/>
      <c r="AS736" s="200"/>
      <c r="AT736" s="200"/>
    </row>
    <row r="737" spans="1:46" ht="16.5" customHeight="1">
      <c r="A737" s="432"/>
      <c r="B737" s="307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353"/>
      <c r="R737" s="353"/>
      <c r="S737" s="353"/>
      <c r="T737" s="353"/>
      <c r="U737" s="353"/>
      <c r="V737" s="353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  <c r="AQ737" s="200"/>
      <c r="AR737" s="200"/>
      <c r="AS737" s="200"/>
      <c r="AT737" s="200"/>
    </row>
    <row r="738" spans="1:46" ht="16.5" customHeight="1">
      <c r="A738" s="432"/>
      <c r="B738" s="307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353"/>
      <c r="R738" s="353"/>
      <c r="S738" s="353"/>
      <c r="T738" s="353"/>
      <c r="U738" s="353"/>
      <c r="V738" s="353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  <c r="AQ738" s="200"/>
      <c r="AR738" s="200"/>
      <c r="AS738" s="200"/>
      <c r="AT738" s="200"/>
    </row>
    <row r="739" spans="1:46" ht="16.5" customHeight="1">
      <c r="A739" s="432"/>
      <c r="B739" s="307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353"/>
      <c r="R739" s="353"/>
      <c r="S739" s="353"/>
      <c r="T739" s="353"/>
      <c r="U739" s="353"/>
      <c r="V739" s="353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  <c r="AQ739" s="200"/>
      <c r="AR739" s="200"/>
      <c r="AS739" s="200"/>
      <c r="AT739" s="200"/>
    </row>
    <row r="740" spans="1:46" ht="16.5" customHeight="1">
      <c r="A740" s="432"/>
      <c r="B740" s="307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353"/>
      <c r="R740" s="353"/>
      <c r="S740" s="353"/>
      <c r="T740" s="353"/>
      <c r="U740" s="353"/>
      <c r="V740" s="353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  <c r="AQ740" s="200"/>
      <c r="AR740" s="200"/>
      <c r="AS740" s="200"/>
      <c r="AT740" s="200"/>
    </row>
    <row r="741" spans="1:46" ht="16.5" customHeight="1">
      <c r="A741" s="432"/>
      <c r="B741" s="307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353"/>
      <c r="R741" s="353"/>
      <c r="S741" s="353"/>
      <c r="T741" s="353"/>
      <c r="U741" s="353"/>
      <c r="V741" s="353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  <c r="AQ741" s="200"/>
      <c r="AR741" s="200"/>
      <c r="AS741" s="200"/>
      <c r="AT741" s="200"/>
    </row>
    <row r="742" spans="1:46" ht="16.5" customHeight="1">
      <c r="A742" s="432"/>
      <c r="B742" s="307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353"/>
      <c r="R742" s="353"/>
      <c r="S742" s="353"/>
      <c r="T742" s="353"/>
      <c r="U742" s="353"/>
      <c r="V742" s="353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  <c r="AQ742" s="200"/>
      <c r="AR742" s="200"/>
      <c r="AS742" s="200"/>
      <c r="AT742" s="200"/>
    </row>
    <row r="743" spans="1:46" ht="16.5" customHeight="1">
      <c r="A743" s="432"/>
      <c r="B743" s="307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353"/>
      <c r="R743" s="353"/>
      <c r="S743" s="353"/>
      <c r="T743" s="353"/>
      <c r="U743" s="353"/>
      <c r="V743" s="353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  <c r="AQ743" s="200"/>
      <c r="AR743" s="200"/>
      <c r="AS743" s="200"/>
      <c r="AT743" s="200"/>
    </row>
    <row r="744" spans="1:46" ht="16.5" customHeight="1">
      <c r="A744" s="432"/>
      <c r="B744" s="307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353"/>
      <c r="R744" s="353"/>
      <c r="S744" s="353"/>
      <c r="T744" s="353"/>
      <c r="U744" s="353"/>
      <c r="V744" s="353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  <c r="AQ744" s="200"/>
      <c r="AR744" s="200"/>
      <c r="AS744" s="200"/>
      <c r="AT744" s="200"/>
    </row>
    <row r="745" spans="1:46" ht="16.5" customHeight="1">
      <c r="A745" s="432"/>
      <c r="B745" s="307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353"/>
      <c r="R745" s="353"/>
      <c r="S745" s="353"/>
      <c r="T745" s="353"/>
      <c r="U745" s="353"/>
      <c r="V745" s="353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  <c r="AQ745" s="200"/>
      <c r="AR745" s="200"/>
      <c r="AS745" s="200"/>
      <c r="AT745" s="200"/>
    </row>
    <row r="746" spans="1:46" ht="16.5" customHeight="1">
      <c r="A746" s="432"/>
      <c r="B746" s="307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353"/>
      <c r="R746" s="353"/>
      <c r="S746" s="353"/>
      <c r="T746" s="353"/>
      <c r="U746" s="353"/>
      <c r="V746" s="353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  <c r="AQ746" s="200"/>
      <c r="AR746" s="200"/>
      <c r="AS746" s="200"/>
      <c r="AT746" s="200"/>
    </row>
    <row r="747" spans="1:46" ht="16.5" customHeight="1">
      <c r="A747" s="432"/>
      <c r="B747" s="307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353"/>
      <c r="R747" s="353"/>
      <c r="S747" s="353"/>
      <c r="T747" s="353"/>
      <c r="U747" s="353"/>
      <c r="V747" s="353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  <c r="AQ747" s="200"/>
      <c r="AR747" s="200"/>
      <c r="AS747" s="200"/>
      <c r="AT747" s="200"/>
    </row>
    <row r="748" spans="1:46" ht="16.5" customHeight="1">
      <c r="A748" s="432"/>
      <c r="B748" s="307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353"/>
      <c r="R748" s="353"/>
      <c r="S748" s="353"/>
      <c r="T748" s="353"/>
      <c r="U748" s="353"/>
      <c r="V748" s="353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  <c r="AQ748" s="200"/>
      <c r="AR748" s="200"/>
      <c r="AS748" s="200"/>
      <c r="AT748" s="200"/>
    </row>
    <row r="749" spans="1:46" ht="16.5" customHeight="1">
      <c r="A749" s="432"/>
      <c r="B749" s="307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353"/>
      <c r="R749" s="353"/>
      <c r="S749" s="353"/>
      <c r="T749" s="353"/>
      <c r="U749" s="353"/>
      <c r="V749" s="353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  <c r="AQ749" s="200"/>
      <c r="AR749" s="200"/>
      <c r="AS749" s="200"/>
      <c r="AT749" s="200"/>
    </row>
    <row r="750" spans="1:46" ht="16.5" customHeight="1">
      <c r="A750" s="432"/>
      <c r="B750" s="307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353"/>
      <c r="R750" s="353"/>
      <c r="S750" s="353"/>
      <c r="T750" s="353"/>
      <c r="U750" s="353"/>
      <c r="V750" s="353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  <c r="AQ750" s="200"/>
      <c r="AR750" s="200"/>
      <c r="AS750" s="200"/>
      <c r="AT750" s="200"/>
    </row>
    <row r="751" spans="1:46" ht="16.5" customHeight="1">
      <c r="A751" s="432"/>
      <c r="B751" s="307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353"/>
      <c r="R751" s="353"/>
      <c r="S751" s="353"/>
      <c r="T751" s="353"/>
      <c r="U751" s="353"/>
      <c r="V751" s="353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  <c r="AQ751" s="200"/>
      <c r="AR751" s="200"/>
      <c r="AS751" s="200"/>
      <c r="AT751" s="200"/>
    </row>
    <row r="752" spans="1:46" ht="16.5" customHeight="1">
      <c r="A752" s="432"/>
      <c r="B752" s="307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353"/>
      <c r="R752" s="353"/>
      <c r="S752" s="353"/>
      <c r="T752" s="353"/>
      <c r="U752" s="353"/>
      <c r="V752" s="353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  <c r="AQ752" s="200"/>
      <c r="AR752" s="200"/>
      <c r="AS752" s="200"/>
      <c r="AT752" s="200"/>
    </row>
    <row r="753" spans="1:46" ht="16.5" customHeight="1">
      <c r="A753" s="432"/>
      <c r="B753" s="307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353"/>
      <c r="R753" s="353"/>
      <c r="S753" s="353"/>
      <c r="T753" s="353"/>
      <c r="U753" s="353"/>
      <c r="V753" s="353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  <c r="AT753" s="200"/>
    </row>
    <row r="754" spans="1:46" ht="16.5" customHeight="1">
      <c r="A754" s="432"/>
      <c r="B754" s="307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353"/>
      <c r="R754" s="353"/>
      <c r="S754" s="353"/>
      <c r="T754" s="353"/>
      <c r="U754" s="353"/>
      <c r="V754" s="353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  <c r="AQ754" s="200"/>
      <c r="AR754" s="200"/>
      <c r="AS754" s="200"/>
      <c r="AT754" s="200"/>
    </row>
    <row r="755" spans="1:46" ht="16.5" customHeight="1">
      <c r="A755" s="432"/>
      <c r="B755" s="307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353"/>
      <c r="R755" s="353"/>
      <c r="S755" s="353"/>
      <c r="T755" s="353"/>
      <c r="U755" s="353"/>
      <c r="V755" s="353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  <c r="AQ755" s="200"/>
      <c r="AR755" s="200"/>
      <c r="AS755" s="200"/>
      <c r="AT755" s="200"/>
    </row>
    <row r="756" spans="1:46" ht="16.5" customHeight="1">
      <c r="A756" s="432"/>
      <c r="B756" s="307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353"/>
      <c r="R756" s="353"/>
      <c r="S756" s="353"/>
      <c r="T756" s="353"/>
      <c r="U756" s="353"/>
      <c r="V756" s="353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  <c r="AQ756" s="200"/>
      <c r="AR756" s="200"/>
      <c r="AS756" s="200"/>
      <c r="AT756" s="200"/>
    </row>
    <row r="757" spans="1:46" ht="16.5" customHeight="1">
      <c r="A757" s="432"/>
      <c r="B757" s="307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353"/>
      <c r="R757" s="353"/>
      <c r="S757" s="353"/>
      <c r="T757" s="353"/>
      <c r="U757" s="353"/>
      <c r="V757" s="353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  <c r="AQ757" s="200"/>
      <c r="AR757" s="200"/>
      <c r="AS757" s="200"/>
      <c r="AT757" s="200"/>
    </row>
    <row r="758" spans="1:46" ht="16.5" customHeight="1">
      <c r="A758" s="432"/>
      <c r="B758" s="307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353"/>
      <c r="R758" s="353"/>
      <c r="S758" s="353"/>
      <c r="T758" s="353"/>
      <c r="U758" s="353"/>
      <c r="V758" s="353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  <c r="AQ758" s="200"/>
      <c r="AR758" s="200"/>
      <c r="AS758" s="200"/>
      <c r="AT758" s="200"/>
    </row>
    <row r="759" spans="1:46" ht="16.5" customHeight="1">
      <c r="A759" s="432"/>
      <c r="B759" s="307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353"/>
      <c r="R759" s="353"/>
      <c r="S759" s="353"/>
      <c r="T759" s="353"/>
      <c r="U759" s="353"/>
      <c r="V759" s="353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  <c r="AQ759" s="200"/>
      <c r="AR759" s="200"/>
      <c r="AS759" s="200"/>
      <c r="AT759" s="200"/>
    </row>
    <row r="760" spans="1:46" ht="16.5" customHeight="1">
      <c r="A760" s="432"/>
      <c r="B760" s="307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353"/>
      <c r="R760" s="353"/>
      <c r="S760" s="353"/>
      <c r="T760" s="353"/>
      <c r="U760" s="353"/>
      <c r="V760" s="353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  <c r="AT760" s="200"/>
    </row>
    <row r="761" spans="1:46" ht="16.5" customHeight="1">
      <c r="A761" s="432"/>
      <c r="B761" s="307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353"/>
      <c r="R761" s="353"/>
      <c r="S761" s="353"/>
      <c r="T761" s="353"/>
      <c r="U761" s="353"/>
      <c r="V761" s="353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  <c r="AQ761" s="200"/>
      <c r="AR761" s="200"/>
      <c r="AS761" s="200"/>
      <c r="AT761" s="200"/>
    </row>
    <row r="762" spans="1:46" ht="16.5" customHeight="1">
      <c r="A762" s="432"/>
      <c r="B762" s="307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353"/>
      <c r="R762" s="353"/>
      <c r="S762" s="353"/>
      <c r="T762" s="353"/>
      <c r="U762" s="353"/>
      <c r="V762" s="353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  <c r="AQ762" s="200"/>
      <c r="AR762" s="200"/>
      <c r="AS762" s="200"/>
      <c r="AT762" s="200"/>
    </row>
    <row r="763" spans="1:46" ht="16.5" customHeight="1">
      <c r="A763" s="432"/>
      <c r="B763" s="307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353"/>
      <c r="R763" s="353"/>
      <c r="S763" s="353"/>
      <c r="T763" s="353"/>
      <c r="U763" s="353"/>
      <c r="V763" s="353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  <c r="AQ763" s="200"/>
      <c r="AR763" s="200"/>
      <c r="AS763" s="200"/>
      <c r="AT763" s="200"/>
    </row>
    <row r="764" spans="1:46" ht="16.5" customHeight="1">
      <c r="A764" s="432"/>
      <c r="B764" s="307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353"/>
      <c r="R764" s="353"/>
      <c r="S764" s="353"/>
      <c r="T764" s="353"/>
      <c r="U764" s="353"/>
      <c r="V764" s="353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  <c r="AQ764" s="200"/>
      <c r="AR764" s="200"/>
      <c r="AS764" s="200"/>
      <c r="AT764" s="200"/>
    </row>
    <row r="765" spans="1:46" ht="16.5" customHeight="1">
      <c r="A765" s="432"/>
      <c r="B765" s="307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353"/>
      <c r="R765" s="353"/>
      <c r="S765" s="353"/>
      <c r="T765" s="353"/>
      <c r="U765" s="353"/>
      <c r="V765" s="353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  <c r="AQ765" s="200"/>
      <c r="AR765" s="200"/>
      <c r="AS765" s="200"/>
      <c r="AT765" s="200"/>
    </row>
    <row r="766" spans="1:46" ht="16.5" customHeight="1">
      <c r="A766" s="432"/>
      <c r="B766" s="307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353"/>
      <c r="R766" s="353"/>
      <c r="S766" s="353"/>
      <c r="T766" s="353"/>
      <c r="U766" s="353"/>
      <c r="V766" s="353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  <c r="AQ766" s="200"/>
      <c r="AR766" s="200"/>
      <c r="AS766" s="200"/>
      <c r="AT766" s="200"/>
    </row>
    <row r="767" spans="1:46" ht="16.5" customHeight="1">
      <c r="A767" s="432"/>
      <c r="B767" s="307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353"/>
      <c r="R767" s="353"/>
      <c r="S767" s="353"/>
      <c r="T767" s="353"/>
      <c r="U767" s="353"/>
      <c r="V767" s="353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  <c r="AQ767" s="200"/>
      <c r="AR767" s="200"/>
      <c r="AS767" s="200"/>
      <c r="AT767" s="200"/>
    </row>
    <row r="768" spans="1:46" ht="16.5" customHeight="1">
      <c r="A768" s="432"/>
      <c r="B768" s="307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353"/>
      <c r="R768" s="353"/>
      <c r="S768" s="353"/>
      <c r="T768" s="353"/>
      <c r="U768" s="353"/>
      <c r="V768" s="353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  <c r="AT768" s="200"/>
    </row>
    <row r="769" spans="1:46" ht="16.5" customHeight="1">
      <c r="A769" s="432"/>
      <c r="B769" s="307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353"/>
      <c r="R769" s="353"/>
      <c r="S769" s="353"/>
      <c r="T769" s="353"/>
      <c r="U769" s="353"/>
      <c r="V769" s="353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  <c r="AQ769" s="200"/>
      <c r="AR769" s="200"/>
      <c r="AS769" s="200"/>
      <c r="AT769" s="200"/>
    </row>
    <row r="770" spans="1:46" ht="16.5" customHeight="1">
      <c r="A770" s="432"/>
      <c r="B770" s="307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353"/>
      <c r="R770" s="353"/>
      <c r="S770" s="353"/>
      <c r="T770" s="353"/>
      <c r="U770" s="353"/>
      <c r="V770" s="353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  <c r="AT770" s="200"/>
    </row>
    <row r="771" spans="1:46" ht="16.5" customHeight="1">
      <c r="A771" s="432"/>
      <c r="B771" s="307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353"/>
      <c r="R771" s="353"/>
      <c r="S771" s="353"/>
      <c r="T771" s="353"/>
      <c r="U771" s="353"/>
      <c r="V771" s="353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  <c r="AT771" s="200"/>
    </row>
    <row r="772" spans="1:46" ht="16.5" customHeight="1">
      <c r="A772" s="432"/>
      <c r="B772" s="307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353"/>
      <c r="R772" s="353"/>
      <c r="S772" s="353"/>
      <c r="T772" s="353"/>
      <c r="U772" s="353"/>
      <c r="V772" s="353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  <c r="AQ772" s="200"/>
      <c r="AR772" s="200"/>
      <c r="AS772" s="200"/>
      <c r="AT772" s="200"/>
    </row>
    <row r="773" spans="1:46" ht="16.5" customHeight="1">
      <c r="A773" s="432"/>
      <c r="B773" s="307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353"/>
      <c r="R773" s="353"/>
      <c r="S773" s="353"/>
      <c r="T773" s="353"/>
      <c r="U773" s="353"/>
      <c r="V773" s="353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  <c r="AQ773" s="200"/>
      <c r="AR773" s="200"/>
      <c r="AS773" s="200"/>
      <c r="AT773" s="200"/>
    </row>
    <row r="774" spans="1:46" ht="16.5" customHeight="1">
      <c r="A774" s="432"/>
      <c r="B774" s="307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353"/>
      <c r="R774" s="353"/>
      <c r="S774" s="353"/>
      <c r="T774" s="353"/>
      <c r="U774" s="353"/>
      <c r="V774" s="353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  <c r="AT774" s="200"/>
    </row>
    <row r="775" spans="1:46" ht="16.5" customHeight="1">
      <c r="A775" s="432"/>
      <c r="B775" s="307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353"/>
      <c r="R775" s="353"/>
      <c r="S775" s="353"/>
      <c r="T775" s="353"/>
      <c r="U775" s="353"/>
      <c r="V775" s="353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  <c r="AQ775" s="200"/>
      <c r="AR775" s="200"/>
      <c r="AS775" s="200"/>
      <c r="AT775" s="200"/>
    </row>
    <row r="776" spans="1:46" ht="16.5" customHeight="1">
      <c r="A776" s="432"/>
      <c r="B776" s="307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353"/>
      <c r="R776" s="353"/>
      <c r="S776" s="353"/>
      <c r="T776" s="353"/>
      <c r="U776" s="353"/>
      <c r="V776" s="353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  <c r="AT776" s="200"/>
    </row>
    <row r="777" spans="1:46" ht="16.5" customHeight="1">
      <c r="A777" s="432"/>
      <c r="B777" s="307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353"/>
      <c r="R777" s="353"/>
      <c r="S777" s="353"/>
      <c r="T777" s="353"/>
      <c r="U777" s="353"/>
      <c r="V777" s="353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  <c r="AQ777" s="200"/>
      <c r="AR777" s="200"/>
      <c r="AS777" s="200"/>
      <c r="AT777" s="200"/>
    </row>
    <row r="778" spans="1:46" ht="16.5" customHeight="1">
      <c r="A778" s="432"/>
      <c r="B778" s="307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353"/>
      <c r="R778" s="353"/>
      <c r="S778" s="353"/>
      <c r="T778" s="353"/>
      <c r="U778" s="353"/>
      <c r="V778" s="353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  <c r="AQ778" s="200"/>
      <c r="AR778" s="200"/>
      <c r="AS778" s="200"/>
      <c r="AT778" s="200"/>
    </row>
    <row r="779" spans="1:46" ht="16.5" customHeight="1">
      <c r="A779" s="432"/>
      <c r="B779" s="307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353"/>
      <c r="R779" s="353"/>
      <c r="S779" s="353"/>
      <c r="T779" s="353"/>
      <c r="U779" s="353"/>
      <c r="V779" s="353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  <c r="AQ779" s="200"/>
      <c r="AR779" s="200"/>
      <c r="AS779" s="200"/>
      <c r="AT779" s="200"/>
    </row>
    <row r="780" spans="1:46" ht="16.5" customHeight="1">
      <c r="A780" s="432"/>
      <c r="B780" s="307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353"/>
      <c r="R780" s="353"/>
      <c r="S780" s="353"/>
      <c r="T780" s="353"/>
      <c r="U780" s="353"/>
      <c r="V780" s="353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  <c r="AT780" s="200"/>
    </row>
    <row r="781" spans="1:46" ht="16.5" customHeight="1">
      <c r="A781" s="432"/>
      <c r="B781" s="307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353"/>
      <c r="R781" s="353"/>
      <c r="S781" s="353"/>
      <c r="T781" s="353"/>
      <c r="U781" s="353"/>
      <c r="V781" s="353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  <c r="AQ781" s="200"/>
      <c r="AR781" s="200"/>
      <c r="AS781" s="200"/>
      <c r="AT781" s="200"/>
    </row>
    <row r="782" spans="1:46" ht="16.5" customHeight="1">
      <c r="A782" s="432"/>
      <c r="B782" s="307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353"/>
      <c r="R782" s="353"/>
      <c r="S782" s="353"/>
      <c r="T782" s="353"/>
      <c r="U782" s="353"/>
      <c r="V782" s="353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  <c r="AQ782" s="200"/>
      <c r="AR782" s="200"/>
      <c r="AS782" s="200"/>
      <c r="AT782" s="200"/>
    </row>
    <row r="783" spans="1:46" ht="16.5" customHeight="1">
      <c r="A783" s="432"/>
      <c r="B783" s="307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353"/>
      <c r="R783" s="353"/>
      <c r="S783" s="353"/>
      <c r="T783" s="353"/>
      <c r="U783" s="353"/>
      <c r="V783" s="353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  <c r="AQ783" s="200"/>
      <c r="AR783" s="200"/>
      <c r="AS783" s="200"/>
      <c r="AT783" s="200"/>
    </row>
    <row r="784" spans="1:46" ht="16.5" customHeight="1">
      <c r="A784" s="432"/>
      <c r="B784" s="307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353"/>
      <c r="R784" s="353"/>
      <c r="S784" s="353"/>
      <c r="T784" s="353"/>
      <c r="U784" s="353"/>
      <c r="V784" s="353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  <c r="AQ784" s="200"/>
      <c r="AR784" s="200"/>
      <c r="AS784" s="200"/>
      <c r="AT784" s="200"/>
    </row>
    <row r="785" spans="1:46" ht="16.5" customHeight="1">
      <c r="A785" s="432"/>
      <c r="B785" s="307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353"/>
      <c r="R785" s="353"/>
      <c r="S785" s="353"/>
      <c r="T785" s="353"/>
      <c r="U785" s="353"/>
      <c r="V785" s="353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  <c r="AQ785" s="200"/>
      <c r="AR785" s="200"/>
      <c r="AS785" s="200"/>
      <c r="AT785" s="200"/>
    </row>
    <row r="786" spans="1:46" ht="16.5" customHeight="1">
      <c r="A786" s="432"/>
      <c r="B786" s="307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353"/>
      <c r="R786" s="353"/>
      <c r="S786" s="353"/>
      <c r="T786" s="353"/>
      <c r="U786" s="353"/>
      <c r="V786" s="353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  <c r="AT786" s="200"/>
    </row>
    <row r="787" spans="1:46" ht="16.5" customHeight="1">
      <c r="A787" s="432"/>
      <c r="B787" s="307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353"/>
      <c r="R787" s="353"/>
      <c r="S787" s="353"/>
      <c r="T787" s="353"/>
      <c r="U787" s="353"/>
      <c r="V787" s="353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  <c r="AQ787" s="200"/>
      <c r="AR787" s="200"/>
      <c r="AS787" s="200"/>
      <c r="AT787" s="200"/>
    </row>
    <row r="788" spans="1:46" ht="16.5" customHeight="1">
      <c r="A788" s="432"/>
      <c r="B788" s="307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353"/>
      <c r="R788" s="353"/>
      <c r="S788" s="353"/>
      <c r="T788" s="353"/>
      <c r="U788" s="353"/>
      <c r="V788" s="353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  <c r="AQ788" s="200"/>
      <c r="AR788" s="200"/>
      <c r="AS788" s="200"/>
      <c r="AT788" s="200"/>
    </row>
    <row r="789" spans="1:46" ht="16.5" customHeight="1">
      <c r="A789" s="432"/>
      <c r="B789" s="307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353"/>
      <c r="R789" s="353"/>
      <c r="S789" s="353"/>
      <c r="T789" s="353"/>
      <c r="U789" s="353"/>
      <c r="V789" s="353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  <c r="AT789" s="200"/>
    </row>
    <row r="790" spans="1:46" ht="16.5" customHeight="1">
      <c r="A790" s="432"/>
      <c r="B790" s="307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353"/>
      <c r="R790" s="353"/>
      <c r="S790" s="353"/>
      <c r="T790" s="353"/>
      <c r="U790" s="353"/>
      <c r="V790" s="353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  <c r="AQ790" s="200"/>
      <c r="AR790" s="200"/>
      <c r="AS790" s="200"/>
      <c r="AT790" s="200"/>
    </row>
    <row r="791" spans="1:46" ht="16.5" customHeight="1">
      <c r="A791" s="432"/>
      <c r="B791" s="307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353"/>
      <c r="R791" s="353"/>
      <c r="S791" s="353"/>
      <c r="T791" s="353"/>
      <c r="U791" s="353"/>
      <c r="V791" s="353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  <c r="AQ791" s="200"/>
      <c r="AR791" s="200"/>
      <c r="AS791" s="200"/>
      <c r="AT791" s="200"/>
    </row>
    <row r="792" spans="1:46" ht="16.5" customHeight="1">
      <c r="A792" s="432"/>
      <c r="B792" s="307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353"/>
      <c r="R792" s="353"/>
      <c r="S792" s="353"/>
      <c r="T792" s="353"/>
      <c r="U792" s="353"/>
      <c r="V792" s="353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  <c r="AQ792" s="200"/>
      <c r="AR792" s="200"/>
      <c r="AS792" s="200"/>
      <c r="AT792" s="200"/>
    </row>
    <row r="793" spans="1:46" ht="16.5" customHeight="1">
      <c r="A793" s="432"/>
      <c r="B793" s="307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353"/>
      <c r="R793" s="353"/>
      <c r="S793" s="353"/>
      <c r="T793" s="353"/>
      <c r="U793" s="353"/>
      <c r="V793" s="353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  <c r="AT793" s="200"/>
    </row>
    <row r="794" spans="1:46" ht="16.5" customHeight="1">
      <c r="A794" s="432"/>
      <c r="B794" s="307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353"/>
      <c r="R794" s="353"/>
      <c r="S794" s="353"/>
      <c r="T794" s="353"/>
      <c r="U794" s="353"/>
      <c r="V794" s="353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  <c r="AQ794" s="200"/>
      <c r="AR794" s="200"/>
      <c r="AS794" s="200"/>
      <c r="AT794" s="200"/>
    </row>
    <row r="795" spans="1:46" ht="16.5" customHeight="1">
      <c r="A795" s="432"/>
      <c r="B795" s="307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353"/>
      <c r="R795" s="353"/>
      <c r="S795" s="353"/>
      <c r="T795" s="353"/>
      <c r="U795" s="353"/>
      <c r="V795" s="353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  <c r="AQ795" s="200"/>
      <c r="AR795" s="200"/>
      <c r="AS795" s="200"/>
      <c r="AT795" s="200"/>
    </row>
    <row r="796" spans="1:46" ht="16.5" customHeight="1">
      <c r="A796" s="432"/>
      <c r="B796" s="307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353"/>
      <c r="R796" s="353"/>
      <c r="S796" s="353"/>
      <c r="T796" s="353"/>
      <c r="U796" s="353"/>
      <c r="V796" s="353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  <c r="AQ796" s="200"/>
      <c r="AR796" s="200"/>
      <c r="AS796" s="200"/>
      <c r="AT796" s="200"/>
    </row>
    <row r="797" spans="1:46" ht="16.5" customHeight="1">
      <c r="A797" s="432"/>
      <c r="B797" s="307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353"/>
      <c r="R797" s="353"/>
      <c r="S797" s="353"/>
      <c r="T797" s="353"/>
      <c r="U797" s="353"/>
      <c r="V797" s="353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  <c r="AT797" s="200"/>
    </row>
    <row r="798" spans="1:46" ht="16.5" customHeight="1">
      <c r="A798" s="432"/>
      <c r="B798" s="307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353"/>
      <c r="R798" s="353"/>
      <c r="S798" s="353"/>
      <c r="T798" s="353"/>
      <c r="U798" s="353"/>
      <c r="V798" s="353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  <c r="AQ798" s="200"/>
      <c r="AR798" s="200"/>
      <c r="AS798" s="200"/>
      <c r="AT798" s="200"/>
    </row>
    <row r="799" spans="1:46" ht="16.5" customHeight="1">
      <c r="A799" s="432"/>
      <c r="B799" s="307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353"/>
      <c r="R799" s="353"/>
      <c r="S799" s="353"/>
      <c r="T799" s="353"/>
      <c r="U799" s="353"/>
      <c r="V799" s="353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  <c r="AQ799" s="200"/>
      <c r="AR799" s="200"/>
      <c r="AS799" s="200"/>
      <c r="AT799" s="200"/>
    </row>
    <row r="800" spans="1:46" ht="16.5" customHeight="1">
      <c r="A800" s="432"/>
      <c r="B800" s="307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353"/>
      <c r="R800" s="353"/>
      <c r="S800" s="353"/>
      <c r="T800" s="353"/>
      <c r="U800" s="353"/>
      <c r="V800" s="353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  <c r="AT800" s="200"/>
    </row>
    <row r="801" spans="1:46" ht="16.5" customHeight="1">
      <c r="A801" s="432"/>
      <c r="B801" s="307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353"/>
      <c r="R801" s="353"/>
      <c r="S801" s="353"/>
      <c r="T801" s="353"/>
      <c r="U801" s="353"/>
      <c r="V801" s="353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  <c r="AQ801" s="200"/>
      <c r="AR801" s="200"/>
      <c r="AS801" s="200"/>
      <c r="AT801" s="200"/>
    </row>
    <row r="802" spans="1:46" ht="16.5" customHeight="1">
      <c r="A802" s="432"/>
      <c r="B802" s="307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353"/>
      <c r="R802" s="353"/>
      <c r="S802" s="353"/>
      <c r="T802" s="353"/>
      <c r="U802" s="353"/>
      <c r="V802" s="353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  <c r="AQ802" s="200"/>
      <c r="AR802" s="200"/>
      <c r="AS802" s="200"/>
      <c r="AT802" s="200"/>
    </row>
    <row r="803" spans="1:46" ht="16.5" customHeight="1">
      <c r="A803" s="432"/>
      <c r="B803" s="307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353"/>
      <c r="R803" s="353"/>
      <c r="S803" s="353"/>
      <c r="T803" s="353"/>
      <c r="U803" s="353"/>
      <c r="V803" s="353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  <c r="AQ803" s="200"/>
      <c r="AR803" s="200"/>
      <c r="AS803" s="200"/>
      <c r="AT803" s="200"/>
    </row>
    <row r="804" spans="1:46" ht="16.5" customHeight="1">
      <c r="A804" s="432"/>
      <c r="B804" s="307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353"/>
      <c r="R804" s="353"/>
      <c r="S804" s="353"/>
      <c r="T804" s="353"/>
      <c r="U804" s="353"/>
      <c r="V804" s="353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  <c r="AQ804" s="200"/>
      <c r="AR804" s="200"/>
      <c r="AS804" s="200"/>
      <c r="AT804" s="200"/>
    </row>
    <row r="805" spans="1:46" ht="16.5" customHeight="1">
      <c r="A805" s="432"/>
      <c r="B805" s="307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353"/>
      <c r="R805" s="353"/>
      <c r="S805" s="353"/>
      <c r="T805" s="353"/>
      <c r="U805" s="353"/>
      <c r="V805" s="353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  <c r="AQ805" s="200"/>
      <c r="AR805" s="200"/>
      <c r="AS805" s="200"/>
      <c r="AT805" s="200"/>
    </row>
    <row r="806" spans="1:46" ht="16.5" customHeight="1">
      <c r="A806" s="432"/>
      <c r="B806" s="307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353"/>
      <c r="R806" s="353"/>
      <c r="S806" s="353"/>
      <c r="T806" s="353"/>
      <c r="U806" s="353"/>
      <c r="V806" s="353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  <c r="AQ806" s="200"/>
      <c r="AR806" s="200"/>
      <c r="AS806" s="200"/>
      <c r="AT806" s="200"/>
    </row>
    <row r="807" spans="1:46" ht="16.5" customHeight="1">
      <c r="A807" s="432"/>
      <c r="B807" s="307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353"/>
      <c r="R807" s="353"/>
      <c r="S807" s="353"/>
      <c r="T807" s="353"/>
      <c r="U807" s="353"/>
      <c r="V807" s="353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  <c r="AQ807" s="200"/>
      <c r="AR807" s="200"/>
      <c r="AS807" s="200"/>
      <c r="AT807" s="200"/>
    </row>
    <row r="808" spans="1:46" ht="16.5" customHeight="1">
      <c r="A808" s="432"/>
      <c r="B808" s="307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353"/>
      <c r="R808" s="353"/>
      <c r="S808" s="353"/>
      <c r="T808" s="353"/>
      <c r="U808" s="353"/>
      <c r="V808" s="353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  <c r="AQ808" s="200"/>
      <c r="AR808" s="200"/>
      <c r="AS808" s="200"/>
      <c r="AT808" s="200"/>
    </row>
    <row r="809" spans="1:46" ht="16.5" customHeight="1">
      <c r="A809" s="432"/>
      <c r="B809" s="307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353"/>
      <c r="R809" s="353"/>
      <c r="S809" s="353"/>
      <c r="T809" s="353"/>
      <c r="U809" s="353"/>
      <c r="V809" s="353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  <c r="AQ809" s="200"/>
      <c r="AR809" s="200"/>
      <c r="AS809" s="200"/>
      <c r="AT809" s="200"/>
    </row>
    <row r="810" spans="1:46" ht="16.5" customHeight="1">
      <c r="A810" s="432"/>
      <c r="B810" s="307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353"/>
      <c r="R810" s="353"/>
      <c r="S810" s="353"/>
      <c r="T810" s="353"/>
      <c r="U810" s="353"/>
      <c r="V810" s="353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  <c r="AQ810" s="200"/>
      <c r="AR810" s="200"/>
      <c r="AS810" s="200"/>
      <c r="AT810" s="200"/>
    </row>
    <row r="811" spans="1:46" ht="16.5" customHeight="1">
      <c r="A811" s="432"/>
      <c r="B811" s="307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353"/>
      <c r="R811" s="353"/>
      <c r="S811" s="353"/>
      <c r="T811" s="353"/>
      <c r="U811" s="353"/>
      <c r="V811" s="353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  <c r="AQ811" s="200"/>
      <c r="AR811" s="200"/>
      <c r="AS811" s="200"/>
      <c r="AT811" s="200"/>
    </row>
    <row r="812" spans="1:46" ht="16.5" customHeight="1">
      <c r="A812" s="432"/>
      <c r="B812" s="307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353"/>
      <c r="R812" s="353"/>
      <c r="S812" s="353"/>
      <c r="T812" s="353"/>
      <c r="U812" s="353"/>
      <c r="V812" s="353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  <c r="AQ812" s="200"/>
      <c r="AR812" s="200"/>
      <c r="AS812" s="200"/>
      <c r="AT812" s="200"/>
    </row>
    <row r="813" spans="1:46" ht="16.5" customHeight="1">
      <c r="A813" s="432"/>
      <c r="B813" s="307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353"/>
      <c r="R813" s="353"/>
      <c r="S813" s="353"/>
      <c r="T813" s="353"/>
      <c r="U813" s="353"/>
      <c r="V813" s="353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  <c r="AT813" s="200"/>
    </row>
    <row r="814" spans="1:46" ht="16.5" customHeight="1">
      <c r="A814" s="432"/>
      <c r="B814" s="307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353"/>
      <c r="R814" s="353"/>
      <c r="S814" s="353"/>
      <c r="T814" s="353"/>
      <c r="U814" s="353"/>
      <c r="V814" s="353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  <c r="AQ814" s="200"/>
      <c r="AR814" s="200"/>
      <c r="AS814" s="200"/>
      <c r="AT814" s="200"/>
    </row>
    <row r="815" spans="1:46" ht="16.5" customHeight="1">
      <c r="A815" s="432"/>
      <c r="B815" s="307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353"/>
      <c r="R815" s="353"/>
      <c r="S815" s="353"/>
      <c r="T815" s="353"/>
      <c r="U815" s="353"/>
      <c r="V815" s="353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  <c r="AQ815" s="200"/>
      <c r="AR815" s="200"/>
      <c r="AS815" s="200"/>
      <c r="AT815" s="200"/>
    </row>
    <row r="816" spans="1:46" ht="16.5" customHeight="1">
      <c r="A816" s="432"/>
      <c r="B816" s="307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353"/>
      <c r="R816" s="353"/>
      <c r="S816" s="353"/>
      <c r="T816" s="353"/>
      <c r="U816" s="353"/>
      <c r="V816" s="353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  <c r="AQ816" s="200"/>
      <c r="AR816" s="200"/>
      <c r="AS816" s="200"/>
      <c r="AT816" s="200"/>
    </row>
    <row r="817" spans="1:46" ht="16.5" customHeight="1">
      <c r="A817" s="432"/>
      <c r="B817" s="307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353"/>
      <c r="R817" s="353"/>
      <c r="S817" s="353"/>
      <c r="T817" s="353"/>
      <c r="U817" s="353"/>
      <c r="V817" s="353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  <c r="AQ817" s="200"/>
      <c r="AR817" s="200"/>
      <c r="AS817" s="200"/>
      <c r="AT817" s="200"/>
    </row>
    <row r="818" spans="1:46" ht="16.5" customHeight="1">
      <c r="A818" s="432"/>
      <c r="B818" s="307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353"/>
      <c r="R818" s="353"/>
      <c r="S818" s="353"/>
      <c r="T818" s="353"/>
      <c r="U818" s="353"/>
      <c r="V818" s="353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  <c r="AQ818" s="200"/>
      <c r="AR818" s="200"/>
      <c r="AS818" s="200"/>
      <c r="AT818" s="200"/>
    </row>
    <row r="819" spans="1:46" ht="16.5" customHeight="1">
      <c r="A819" s="432"/>
      <c r="B819" s="307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353"/>
      <c r="R819" s="353"/>
      <c r="S819" s="353"/>
      <c r="T819" s="353"/>
      <c r="U819" s="353"/>
      <c r="V819" s="353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  <c r="AT819" s="200"/>
    </row>
    <row r="820" spans="1:46" ht="16.5" customHeight="1">
      <c r="A820" s="432"/>
      <c r="B820" s="307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353"/>
      <c r="R820" s="353"/>
      <c r="S820" s="353"/>
      <c r="T820" s="353"/>
      <c r="U820" s="353"/>
      <c r="V820" s="353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  <c r="AQ820" s="200"/>
      <c r="AR820" s="200"/>
      <c r="AS820" s="200"/>
      <c r="AT820" s="200"/>
    </row>
    <row r="821" spans="1:46" ht="16.5" customHeight="1">
      <c r="A821" s="432"/>
      <c r="B821" s="307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353"/>
      <c r="R821" s="353"/>
      <c r="S821" s="353"/>
      <c r="T821" s="353"/>
      <c r="U821" s="353"/>
      <c r="V821" s="353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  <c r="AQ821" s="200"/>
      <c r="AR821" s="200"/>
      <c r="AS821" s="200"/>
      <c r="AT821" s="200"/>
    </row>
    <row r="822" spans="1:46" ht="16.5" customHeight="1">
      <c r="A822" s="432"/>
      <c r="B822" s="307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353"/>
      <c r="R822" s="353"/>
      <c r="S822" s="353"/>
      <c r="T822" s="353"/>
      <c r="U822" s="353"/>
      <c r="V822" s="353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  <c r="AQ822" s="200"/>
      <c r="AR822" s="200"/>
      <c r="AS822" s="200"/>
      <c r="AT822" s="200"/>
    </row>
    <row r="823" spans="1:46" ht="16.5" customHeight="1">
      <c r="A823" s="432"/>
      <c r="B823" s="307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353"/>
      <c r="R823" s="353"/>
      <c r="S823" s="353"/>
      <c r="T823" s="353"/>
      <c r="U823" s="353"/>
      <c r="V823" s="353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  <c r="AQ823" s="200"/>
      <c r="AR823" s="200"/>
      <c r="AS823" s="200"/>
      <c r="AT823" s="200"/>
    </row>
    <row r="824" spans="1:46" ht="16.5" customHeight="1">
      <c r="A824" s="432"/>
      <c r="B824" s="307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353"/>
      <c r="R824" s="353"/>
      <c r="S824" s="353"/>
      <c r="T824" s="353"/>
      <c r="U824" s="353"/>
      <c r="V824" s="353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  <c r="AQ824" s="200"/>
      <c r="AR824" s="200"/>
      <c r="AS824" s="200"/>
      <c r="AT824" s="200"/>
    </row>
    <row r="825" spans="1:46" ht="16.5" customHeight="1">
      <c r="A825" s="432"/>
      <c r="B825" s="307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353"/>
      <c r="R825" s="353"/>
      <c r="S825" s="353"/>
      <c r="T825" s="353"/>
      <c r="U825" s="353"/>
      <c r="V825" s="353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  <c r="AQ825" s="200"/>
      <c r="AR825" s="200"/>
      <c r="AS825" s="200"/>
      <c r="AT825" s="200"/>
    </row>
    <row r="826" spans="1:46" ht="16.5" customHeight="1">
      <c r="A826" s="432"/>
      <c r="B826" s="307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353"/>
      <c r="R826" s="353"/>
      <c r="S826" s="353"/>
      <c r="T826" s="353"/>
      <c r="U826" s="353"/>
      <c r="V826" s="353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  <c r="AQ826" s="200"/>
      <c r="AR826" s="200"/>
      <c r="AS826" s="200"/>
      <c r="AT826" s="200"/>
    </row>
    <row r="827" spans="1:46" ht="16.5" customHeight="1">
      <c r="A827" s="432"/>
      <c r="B827" s="307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353"/>
      <c r="R827" s="353"/>
      <c r="S827" s="353"/>
      <c r="T827" s="353"/>
      <c r="U827" s="353"/>
      <c r="V827" s="353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  <c r="AQ827" s="200"/>
      <c r="AR827" s="200"/>
      <c r="AS827" s="200"/>
      <c r="AT827" s="200"/>
    </row>
    <row r="828" spans="1:46" ht="16.5" customHeight="1">
      <c r="A828" s="432"/>
      <c r="B828" s="307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353"/>
      <c r="R828" s="353"/>
      <c r="S828" s="353"/>
      <c r="T828" s="353"/>
      <c r="U828" s="353"/>
      <c r="V828" s="353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  <c r="AQ828" s="200"/>
      <c r="AR828" s="200"/>
      <c r="AS828" s="200"/>
      <c r="AT828" s="200"/>
    </row>
    <row r="829" spans="1:46" ht="16.5" customHeight="1">
      <c r="A829" s="432"/>
      <c r="B829" s="307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353"/>
      <c r="R829" s="353"/>
      <c r="S829" s="353"/>
      <c r="T829" s="353"/>
      <c r="U829" s="353"/>
      <c r="V829" s="353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  <c r="AQ829" s="200"/>
      <c r="AR829" s="200"/>
      <c r="AS829" s="200"/>
      <c r="AT829" s="200"/>
    </row>
    <row r="830" spans="1:46" ht="16.5" customHeight="1">
      <c r="A830" s="432"/>
      <c r="B830" s="307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353"/>
      <c r="R830" s="353"/>
      <c r="S830" s="353"/>
      <c r="T830" s="353"/>
      <c r="U830" s="353"/>
      <c r="V830" s="353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  <c r="AQ830" s="200"/>
      <c r="AR830" s="200"/>
      <c r="AS830" s="200"/>
      <c r="AT830" s="200"/>
    </row>
    <row r="831" spans="1:46" ht="16.5" customHeight="1">
      <c r="A831" s="432"/>
      <c r="B831" s="307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353"/>
      <c r="R831" s="353"/>
      <c r="S831" s="353"/>
      <c r="T831" s="353"/>
      <c r="U831" s="353"/>
      <c r="V831" s="353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  <c r="AQ831" s="200"/>
      <c r="AR831" s="200"/>
      <c r="AS831" s="200"/>
      <c r="AT831" s="200"/>
    </row>
    <row r="832" spans="1:46" ht="16.5" customHeight="1">
      <c r="A832" s="432"/>
      <c r="B832" s="307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353"/>
      <c r="R832" s="353"/>
      <c r="S832" s="353"/>
      <c r="T832" s="353"/>
      <c r="U832" s="353"/>
      <c r="V832" s="353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  <c r="AQ832" s="200"/>
      <c r="AR832" s="200"/>
      <c r="AS832" s="200"/>
      <c r="AT832" s="200"/>
    </row>
    <row r="833" spans="1:46" ht="16.5" customHeight="1">
      <c r="A833" s="432"/>
      <c r="B833" s="307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353"/>
      <c r="R833" s="353"/>
      <c r="S833" s="353"/>
      <c r="T833" s="353"/>
      <c r="U833" s="353"/>
      <c r="V833" s="353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  <c r="AQ833" s="200"/>
      <c r="AR833" s="200"/>
      <c r="AS833" s="200"/>
      <c r="AT833" s="200"/>
    </row>
    <row r="834" spans="1:46" ht="16.5" customHeight="1">
      <c r="A834" s="432"/>
      <c r="B834" s="307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353"/>
      <c r="R834" s="353"/>
      <c r="S834" s="353"/>
      <c r="T834" s="353"/>
      <c r="U834" s="353"/>
      <c r="V834" s="353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  <c r="AT834" s="200"/>
    </row>
    <row r="835" spans="1:46" ht="16.5" customHeight="1">
      <c r="A835" s="432"/>
      <c r="B835" s="307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353"/>
      <c r="R835" s="353"/>
      <c r="S835" s="353"/>
      <c r="T835" s="353"/>
      <c r="U835" s="353"/>
      <c r="V835" s="353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  <c r="AQ835" s="200"/>
      <c r="AR835" s="200"/>
      <c r="AS835" s="200"/>
      <c r="AT835" s="200"/>
    </row>
    <row r="836" spans="1:46" ht="16.5" customHeight="1">
      <c r="A836" s="432"/>
      <c r="B836" s="307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353"/>
      <c r="R836" s="353"/>
      <c r="S836" s="353"/>
      <c r="T836" s="353"/>
      <c r="U836" s="353"/>
      <c r="V836" s="353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  <c r="AQ836" s="200"/>
      <c r="AR836" s="200"/>
      <c r="AS836" s="200"/>
      <c r="AT836" s="200"/>
    </row>
    <row r="837" spans="1:46" ht="16.5" customHeight="1">
      <c r="A837" s="432"/>
      <c r="B837" s="307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353"/>
      <c r="R837" s="353"/>
      <c r="S837" s="353"/>
      <c r="T837" s="353"/>
      <c r="U837" s="353"/>
      <c r="V837" s="353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  <c r="AT837" s="200"/>
    </row>
    <row r="838" spans="1:46" ht="16.5" customHeight="1">
      <c r="A838" s="432"/>
      <c r="B838" s="307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353"/>
      <c r="R838" s="353"/>
      <c r="S838" s="353"/>
      <c r="T838" s="353"/>
      <c r="U838" s="353"/>
      <c r="V838" s="353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  <c r="AQ838" s="200"/>
      <c r="AR838" s="200"/>
      <c r="AS838" s="200"/>
      <c r="AT838" s="200"/>
    </row>
    <row r="839" spans="1:46" ht="16.5" customHeight="1">
      <c r="A839" s="432"/>
      <c r="B839" s="307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353"/>
      <c r="R839" s="353"/>
      <c r="S839" s="353"/>
      <c r="T839" s="353"/>
      <c r="U839" s="353"/>
      <c r="V839" s="353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  <c r="AQ839" s="200"/>
      <c r="AR839" s="200"/>
      <c r="AS839" s="200"/>
      <c r="AT839" s="200"/>
    </row>
    <row r="840" spans="1:46" ht="16.5" customHeight="1">
      <c r="A840" s="432"/>
      <c r="B840" s="307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353"/>
      <c r="R840" s="353"/>
      <c r="S840" s="353"/>
      <c r="T840" s="353"/>
      <c r="U840" s="353"/>
      <c r="V840" s="353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  <c r="AQ840" s="200"/>
      <c r="AR840" s="200"/>
      <c r="AS840" s="200"/>
      <c r="AT840" s="200"/>
    </row>
    <row r="841" spans="1:46" ht="16.5" customHeight="1">
      <c r="A841" s="432"/>
      <c r="B841" s="307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353"/>
      <c r="R841" s="353"/>
      <c r="S841" s="353"/>
      <c r="T841" s="353"/>
      <c r="U841" s="353"/>
      <c r="V841" s="353"/>
      <c r="W841" s="200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  <c r="AQ841" s="200"/>
      <c r="AR841" s="200"/>
      <c r="AS841" s="200"/>
      <c r="AT841" s="200"/>
    </row>
    <row r="842" spans="1:46" ht="16.5" customHeight="1">
      <c r="A842" s="432"/>
      <c r="B842" s="307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353"/>
      <c r="R842" s="353"/>
      <c r="S842" s="353"/>
      <c r="T842" s="353"/>
      <c r="U842" s="353"/>
      <c r="V842" s="353"/>
      <c r="W842" s="200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  <c r="AQ842" s="200"/>
      <c r="AR842" s="200"/>
      <c r="AS842" s="200"/>
      <c r="AT842" s="200"/>
    </row>
    <row r="843" spans="1:46" ht="16.5" customHeight="1">
      <c r="A843" s="432"/>
      <c r="B843" s="307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353"/>
      <c r="R843" s="353"/>
      <c r="S843" s="353"/>
      <c r="T843" s="353"/>
      <c r="U843" s="353"/>
      <c r="V843" s="353"/>
      <c r="W843" s="200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  <c r="AQ843" s="200"/>
      <c r="AR843" s="200"/>
      <c r="AS843" s="200"/>
      <c r="AT843" s="200"/>
    </row>
    <row r="844" spans="1:46" ht="16.5" customHeight="1">
      <c r="A844" s="432"/>
      <c r="B844" s="307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353"/>
      <c r="R844" s="353"/>
      <c r="S844" s="353"/>
      <c r="T844" s="353"/>
      <c r="U844" s="353"/>
      <c r="V844" s="353"/>
      <c r="W844" s="200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  <c r="AQ844" s="200"/>
      <c r="AR844" s="200"/>
      <c r="AS844" s="200"/>
      <c r="AT844" s="200"/>
    </row>
    <row r="845" spans="1:46" ht="16.5" customHeight="1">
      <c r="A845" s="432"/>
      <c r="B845" s="307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353"/>
      <c r="R845" s="353"/>
      <c r="S845" s="353"/>
      <c r="T845" s="353"/>
      <c r="U845" s="353"/>
      <c r="V845" s="353"/>
      <c r="W845" s="200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  <c r="AQ845" s="200"/>
      <c r="AR845" s="200"/>
      <c r="AS845" s="200"/>
      <c r="AT845" s="200"/>
    </row>
    <row r="846" spans="1:46" ht="16.5" customHeight="1">
      <c r="A846" s="432"/>
      <c r="B846" s="307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353"/>
      <c r="R846" s="353"/>
      <c r="S846" s="353"/>
      <c r="T846" s="353"/>
      <c r="U846" s="353"/>
      <c r="V846" s="353"/>
      <c r="W846" s="200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  <c r="AQ846" s="200"/>
      <c r="AR846" s="200"/>
      <c r="AS846" s="200"/>
      <c r="AT846" s="200"/>
    </row>
    <row r="847" spans="1:46" ht="16.5" customHeight="1">
      <c r="A847" s="432"/>
      <c r="B847" s="307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353"/>
      <c r="R847" s="353"/>
      <c r="S847" s="353"/>
      <c r="T847" s="353"/>
      <c r="U847" s="353"/>
      <c r="V847" s="353"/>
      <c r="W847" s="200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  <c r="AQ847" s="200"/>
      <c r="AR847" s="200"/>
      <c r="AS847" s="200"/>
      <c r="AT847" s="200"/>
    </row>
    <row r="848" spans="1:46" ht="16.5" customHeight="1">
      <c r="A848" s="432"/>
      <c r="B848" s="307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353"/>
      <c r="R848" s="353"/>
      <c r="S848" s="353"/>
      <c r="T848" s="353"/>
      <c r="U848" s="353"/>
      <c r="V848" s="353"/>
      <c r="W848" s="200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  <c r="AQ848" s="200"/>
      <c r="AR848" s="200"/>
      <c r="AS848" s="200"/>
      <c r="AT848" s="200"/>
    </row>
    <row r="849" spans="1:46" ht="16.5" customHeight="1">
      <c r="A849" s="432"/>
      <c r="B849" s="307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353"/>
      <c r="R849" s="353"/>
      <c r="S849" s="353"/>
      <c r="T849" s="353"/>
      <c r="U849" s="353"/>
      <c r="V849" s="353"/>
      <c r="W849" s="200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  <c r="AQ849" s="200"/>
      <c r="AR849" s="200"/>
      <c r="AS849" s="200"/>
      <c r="AT849" s="200"/>
    </row>
    <row r="850" spans="1:46" ht="16.5" customHeight="1">
      <c r="A850" s="432"/>
      <c r="B850" s="307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353"/>
      <c r="R850" s="353"/>
      <c r="S850" s="353"/>
      <c r="T850" s="353"/>
      <c r="U850" s="353"/>
      <c r="V850" s="353"/>
      <c r="W850" s="200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  <c r="AQ850" s="200"/>
      <c r="AR850" s="200"/>
      <c r="AS850" s="200"/>
      <c r="AT850" s="200"/>
    </row>
    <row r="851" spans="1:46" ht="16.5" customHeight="1">
      <c r="A851" s="432"/>
      <c r="B851" s="307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353"/>
      <c r="R851" s="353"/>
      <c r="S851" s="353"/>
      <c r="T851" s="353"/>
      <c r="U851" s="353"/>
      <c r="V851" s="353"/>
      <c r="W851" s="200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  <c r="AQ851" s="200"/>
      <c r="AR851" s="200"/>
      <c r="AS851" s="200"/>
      <c r="AT851" s="200"/>
    </row>
    <row r="852" spans="1:46" ht="16.5" customHeight="1">
      <c r="A852" s="432"/>
      <c r="B852" s="307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353"/>
      <c r="R852" s="353"/>
      <c r="S852" s="353"/>
      <c r="T852" s="353"/>
      <c r="U852" s="353"/>
      <c r="V852" s="353"/>
      <c r="W852" s="200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  <c r="AQ852" s="200"/>
      <c r="AR852" s="200"/>
      <c r="AS852" s="200"/>
      <c r="AT852" s="200"/>
    </row>
    <row r="853" spans="1:46" ht="16.5" customHeight="1">
      <c r="A853" s="432"/>
      <c r="B853" s="307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353"/>
      <c r="R853" s="353"/>
      <c r="S853" s="353"/>
      <c r="T853" s="353"/>
      <c r="U853" s="353"/>
      <c r="V853" s="353"/>
      <c r="W853" s="200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  <c r="AQ853" s="200"/>
      <c r="AR853" s="200"/>
      <c r="AS853" s="200"/>
      <c r="AT853" s="200"/>
    </row>
    <row r="854" spans="1:46" ht="16.5" customHeight="1">
      <c r="A854" s="432"/>
      <c r="B854" s="307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353"/>
      <c r="R854" s="353"/>
      <c r="S854" s="353"/>
      <c r="T854" s="353"/>
      <c r="U854" s="353"/>
      <c r="V854" s="353"/>
      <c r="W854" s="200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  <c r="AQ854" s="200"/>
      <c r="AR854" s="200"/>
      <c r="AS854" s="200"/>
      <c r="AT854" s="200"/>
    </row>
    <row r="855" spans="1:46" ht="16.5" customHeight="1">
      <c r="A855" s="432"/>
      <c r="B855" s="307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353"/>
      <c r="R855" s="353"/>
      <c r="S855" s="353"/>
      <c r="T855" s="353"/>
      <c r="U855" s="353"/>
      <c r="V855" s="353"/>
      <c r="W855" s="200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  <c r="AT855" s="200"/>
    </row>
    <row r="856" spans="1:46" ht="16.5" customHeight="1">
      <c r="A856" s="432"/>
      <c r="B856" s="307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353"/>
      <c r="R856" s="353"/>
      <c r="S856" s="353"/>
      <c r="T856" s="353"/>
      <c r="U856" s="353"/>
      <c r="V856" s="353"/>
      <c r="W856" s="200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  <c r="AQ856" s="200"/>
      <c r="AR856" s="200"/>
      <c r="AS856" s="200"/>
      <c r="AT856" s="200"/>
    </row>
    <row r="857" spans="1:46" ht="16.5" customHeight="1">
      <c r="A857" s="432"/>
      <c r="B857" s="307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353"/>
      <c r="R857" s="353"/>
      <c r="S857" s="353"/>
      <c r="T857" s="353"/>
      <c r="U857" s="353"/>
      <c r="V857" s="353"/>
      <c r="W857" s="200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  <c r="AQ857" s="200"/>
      <c r="AR857" s="200"/>
      <c r="AS857" s="200"/>
      <c r="AT857" s="200"/>
    </row>
    <row r="858" spans="1:46" ht="16.5" customHeight="1">
      <c r="A858" s="432"/>
      <c r="B858" s="307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353"/>
      <c r="R858" s="353"/>
      <c r="S858" s="353"/>
      <c r="T858" s="353"/>
      <c r="U858" s="353"/>
      <c r="V858" s="353"/>
      <c r="W858" s="200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  <c r="AQ858" s="200"/>
      <c r="AR858" s="200"/>
      <c r="AS858" s="200"/>
      <c r="AT858" s="200"/>
    </row>
    <row r="859" spans="1:46" ht="16.5" customHeight="1">
      <c r="A859" s="432"/>
      <c r="B859" s="307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353"/>
      <c r="R859" s="353"/>
      <c r="S859" s="353"/>
      <c r="T859" s="353"/>
      <c r="U859" s="353"/>
      <c r="V859" s="353"/>
      <c r="W859" s="200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  <c r="AQ859" s="200"/>
      <c r="AR859" s="200"/>
      <c r="AS859" s="200"/>
      <c r="AT859" s="200"/>
    </row>
    <row r="860" spans="1:46" ht="16.5" customHeight="1">
      <c r="A860" s="432"/>
      <c r="B860" s="307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353"/>
      <c r="R860" s="353"/>
      <c r="S860" s="353"/>
      <c r="T860" s="353"/>
      <c r="U860" s="353"/>
      <c r="V860" s="353"/>
      <c r="W860" s="200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  <c r="AQ860" s="200"/>
      <c r="AR860" s="200"/>
      <c r="AS860" s="200"/>
      <c r="AT860" s="200"/>
    </row>
    <row r="861" spans="1:46" ht="16.5" customHeight="1">
      <c r="A861" s="432"/>
      <c r="B861" s="307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353"/>
      <c r="R861" s="353"/>
      <c r="S861" s="353"/>
      <c r="T861" s="353"/>
      <c r="U861" s="353"/>
      <c r="V861" s="353"/>
      <c r="W861" s="200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  <c r="AT861" s="200"/>
    </row>
    <row r="862" spans="1:46" ht="16.5" customHeight="1">
      <c r="A862" s="432"/>
      <c r="B862" s="307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353"/>
      <c r="R862" s="353"/>
      <c r="S862" s="353"/>
      <c r="T862" s="353"/>
      <c r="U862" s="353"/>
      <c r="V862" s="353"/>
      <c r="W862" s="200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  <c r="AQ862" s="200"/>
      <c r="AR862" s="200"/>
      <c r="AS862" s="200"/>
      <c r="AT862" s="200"/>
    </row>
    <row r="863" spans="1:46" ht="16.5" customHeight="1">
      <c r="A863" s="432"/>
      <c r="B863" s="307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353"/>
      <c r="R863" s="353"/>
      <c r="S863" s="353"/>
      <c r="T863" s="353"/>
      <c r="U863" s="353"/>
      <c r="V863" s="353"/>
      <c r="W863" s="200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  <c r="AQ863" s="200"/>
      <c r="AR863" s="200"/>
      <c r="AS863" s="200"/>
      <c r="AT863" s="200"/>
    </row>
    <row r="864" spans="1:46" ht="16.5" customHeight="1">
      <c r="A864" s="432"/>
      <c r="B864" s="307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353"/>
      <c r="R864" s="353"/>
      <c r="S864" s="353"/>
      <c r="T864" s="353"/>
      <c r="U864" s="353"/>
      <c r="V864" s="353"/>
      <c r="W864" s="200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  <c r="AQ864" s="200"/>
      <c r="AR864" s="200"/>
      <c r="AS864" s="200"/>
      <c r="AT864" s="200"/>
    </row>
    <row r="865" spans="1:46" ht="16.5" customHeight="1">
      <c r="A865" s="432"/>
      <c r="B865" s="307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353"/>
      <c r="R865" s="353"/>
      <c r="S865" s="353"/>
      <c r="T865" s="353"/>
      <c r="U865" s="353"/>
      <c r="V865" s="353"/>
      <c r="W865" s="200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  <c r="AQ865" s="200"/>
      <c r="AR865" s="200"/>
      <c r="AS865" s="200"/>
      <c r="AT865" s="200"/>
    </row>
    <row r="866" spans="1:46" ht="16.5" customHeight="1">
      <c r="A866" s="432"/>
      <c r="B866" s="307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353"/>
      <c r="R866" s="353"/>
      <c r="S866" s="353"/>
      <c r="T866" s="353"/>
      <c r="U866" s="353"/>
      <c r="V866" s="353"/>
      <c r="W866" s="200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  <c r="AT866" s="200"/>
    </row>
    <row r="867" spans="1:46" ht="16.5" customHeight="1">
      <c r="A867" s="432"/>
      <c r="B867" s="307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353"/>
      <c r="R867" s="353"/>
      <c r="S867" s="353"/>
      <c r="T867" s="353"/>
      <c r="U867" s="353"/>
      <c r="V867" s="353"/>
      <c r="W867" s="200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  <c r="AQ867" s="200"/>
      <c r="AR867" s="200"/>
      <c r="AS867" s="200"/>
      <c r="AT867" s="200"/>
    </row>
    <row r="868" spans="1:46" ht="16.5" customHeight="1">
      <c r="A868" s="432"/>
      <c r="B868" s="307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353"/>
      <c r="R868" s="353"/>
      <c r="S868" s="353"/>
      <c r="T868" s="353"/>
      <c r="U868" s="353"/>
      <c r="V868" s="353"/>
      <c r="W868" s="200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  <c r="AQ868" s="200"/>
      <c r="AR868" s="200"/>
      <c r="AS868" s="200"/>
      <c r="AT868" s="200"/>
    </row>
    <row r="869" spans="1:46" ht="16.5" customHeight="1">
      <c r="A869" s="432"/>
      <c r="B869" s="307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353"/>
      <c r="R869" s="353"/>
      <c r="S869" s="353"/>
      <c r="T869" s="353"/>
      <c r="U869" s="353"/>
      <c r="V869" s="353"/>
      <c r="W869" s="200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  <c r="AQ869" s="200"/>
      <c r="AR869" s="200"/>
      <c r="AS869" s="200"/>
      <c r="AT869" s="200"/>
    </row>
    <row r="870" spans="1:46" ht="16.5" customHeight="1">
      <c r="A870" s="432"/>
      <c r="B870" s="307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353"/>
      <c r="R870" s="353"/>
      <c r="S870" s="353"/>
      <c r="T870" s="353"/>
      <c r="U870" s="353"/>
      <c r="V870" s="353"/>
      <c r="W870" s="200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  <c r="AQ870" s="200"/>
      <c r="AR870" s="200"/>
      <c r="AS870" s="200"/>
      <c r="AT870" s="200"/>
    </row>
    <row r="871" spans="1:46" ht="16.5" customHeight="1">
      <c r="A871" s="432"/>
      <c r="B871" s="307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353"/>
      <c r="R871" s="353"/>
      <c r="S871" s="353"/>
      <c r="T871" s="353"/>
      <c r="U871" s="353"/>
      <c r="V871" s="353"/>
      <c r="W871" s="200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  <c r="AQ871" s="200"/>
      <c r="AR871" s="200"/>
      <c r="AS871" s="200"/>
      <c r="AT871" s="200"/>
    </row>
    <row r="872" spans="1:46" ht="16.5" customHeight="1">
      <c r="A872" s="432"/>
      <c r="B872" s="307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353"/>
      <c r="R872" s="353"/>
      <c r="S872" s="353"/>
      <c r="T872" s="353"/>
      <c r="U872" s="353"/>
      <c r="V872" s="353"/>
      <c r="W872" s="200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  <c r="AT872" s="200"/>
    </row>
    <row r="873" spans="1:46" ht="16.5" customHeight="1">
      <c r="A873" s="432"/>
      <c r="B873" s="307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353"/>
      <c r="R873" s="353"/>
      <c r="S873" s="353"/>
      <c r="T873" s="353"/>
      <c r="U873" s="353"/>
      <c r="V873" s="353"/>
      <c r="W873" s="200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  <c r="AQ873" s="200"/>
      <c r="AR873" s="200"/>
      <c r="AS873" s="200"/>
      <c r="AT873" s="200"/>
    </row>
    <row r="874" spans="1:46" ht="16.5" customHeight="1">
      <c r="A874" s="432"/>
      <c r="B874" s="307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353"/>
      <c r="R874" s="353"/>
      <c r="S874" s="353"/>
      <c r="T874" s="353"/>
      <c r="U874" s="353"/>
      <c r="V874" s="353"/>
      <c r="W874" s="200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  <c r="AQ874" s="200"/>
      <c r="AR874" s="200"/>
      <c r="AS874" s="200"/>
      <c r="AT874" s="200"/>
    </row>
    <row r="875" spans="1:46" ht="16.5" customHeight="1">
      <c r="A875" s="432"/>
      <c r="B875" s="307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353"/>
      <c r="R875" s="353"/>
      <c r="S875" s="353"/>
      <c r="T875" s="353"/>
      <c r="U875" s="353"/>
      <c r="V875" s="353"/>
      <c r="W875" s="200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  <c r="AQ875" s="200"/>
      <c r="AR875" s="200"/>
      <c r="AS875" s="200"/>
      <c r="AT875" s="200"/>
    </row>
    <row r="876" spans="1:46" ht="16.5" customHeight="1">
      <c r="A876" s="432"/>
      <c r="B876" s="307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353"/>
      <c r="R876" s="353"/>
      <c r="S876" s="353"/>
      <c r="T876" s="353"/>
      <c r="U876" s="353"/>
      <c r="V876" s="353"/>
      <c r="W876" s="200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  <c r="AQ876" s="200"/>
      <c r="AR876" s="200"/>
      <c r="AS876" s="200"/>
      <c r="AT876" s="200"/>
    </row>
    <row r="877" spans="1:46" ht="16.5" customHeight="1">
      <c r="A877" s="432"/>
      <c r="B877" s="307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353"/>
      <c r="R877" s="353"/>
      <c r="S877" s="353"/>
      <c r="T877" s="353"/>
      <c r="U877" s="353"/>
      <c r="V877" s="353"/>
      <c r="W877" s="200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  <c r="AT877" s="200"/>
    </row>
    <row r="878" spans="1:46" ht="16.5" customHeight="1">
      <c r="A878" s="432"/>
      <c r="B878" s="307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353"/>
      <c r="R878" s="353"/>
      <c r="S878" s="353"/>
      <c r="T878" s="353"/>
      <c r="U878" s="353"/>
      <c r="V878" s="353"/>
      <c r="W878" s="200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  <c r="AQ878" s="200"/>
      <c r="AR878" s="200"/>
      <c r="AS878" s="200"/>
      <c r="AT878" s="200"/>
    </row>
    <row r="879" spans="1:46" ht="16.5" customHeight="1">
      <c r="A879" s="432"/>
      <c r="B879" s="307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353"/>
      <c r="R879" s="353"/>
      <c r="S879" s="353"/>
      <c r="T879" s="353"/>
      <c r="U879" s="353"/>
      <c r="V879" s="353"/>
      <c r="W879" s="200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  <c r="AQ879" s="200"/>
      <c r="AR879" s="200"/>
      <c r="AS879" s="200"/>
      <c r="AT879" s="200"/>
    </row>
    <row r="880" spans="1:46" ht="16.5" customHeight="1">
      <c r="A880" s="432"/>
      <c r="B880" s="307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353"/>
      <c r="R880" s="353"/>
      <c r="S880" s="353"/>
      <c r="T880" s="353"/>
      <c r="U880" s="353"/>
      <c r="V880" s="353"/>
      <c r="W880" s="200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  <c r="AQ880" s="200"/>
      <c r="AR880" s="200"/>
      <c r="AS880" s="200"/>
      <c r="AT880" s="200"/>
    </row>
    <row r="881" spans="1:46" ht="16.5" customHeight="1">
      <c r="A881" s="432"/>
      <c r="B881" s="307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353"/>
      <c r="R881" s="353"/>
      <c r="S881" s="353"/>
      <c r="T881" s="353"/>
      <c r="U881" s="353"/>
      <c r="V881" s="353"/>
      <c r="W881" s="200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  <c r="AQ881" s="200"/>
      <c r="AR881" s="200"/>
      <c r="AS881" s="200"/>
      <c r="AT881" s="200"/>
    </row>
    <row r="882" spans="1:46" ht="16.5" customHeight="1">
      <c r="A882" s="432"/>
      <c r="B882" s="307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353"/>
      <c r="R882" s="353"/>
      <c r="S882" s="353"/>
      <c r="T882" s="353"/>
      <c r="U882" s="353"/>
      <c r="V882" s="353"/>
      <c r="W882" s="200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  <c r="AQ882" s="200"/>
      <c r="AR882" s="200"/>
      <c r="AS882" s="200"/>
      <c r="AT882" s="200"/>
    </row>
    <row r="883" spans="1:46" ht="16.5" customHeight="1">
      <c r="A883" s="432"/>
      <c r="B883" s="307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353"/>
      <c r="R883" s="353"/>
      <c r="S883" s="353"/>
      <c r="T883" s="353"/>
      <c r="U883" s="353"/>
      <c r="V883" s="353"/>
      <c r="W883" s="200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</row>
    <row r="884" spans="1:46" ht="16.5" customHeight="1">
      <c r="A884" s="432"/>
      <c r="B884" s="307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353"/>
      <c r="R884" s="353"/>
      <c r="S884" s="353"/>
      <c r="T884" s="353"/>
      <c r="U884" s="353"/>
      <c r="V884" s="353"/>
      <c r="W884" s="200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  <c r="AQ884" s="200"/>
      <c r="AR884" s="200"/>
      <c r="AS884" s="200"/>
      <c r="AT884" s="200"/>
    </row>
    <row r="885" spans="1:46" ht="16.5" customHeight="1">
      <c r="A885" s="432"/>
      <c r="B885" s="307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353"/>
      <c r="R885" s="353"/>
      <c r="S885" s="353"/>
      <c r="T885" s="353"/>
      <c r="U885" s="353"/>
      <c r="V885" s="353"/>
      <c r="W885" s="200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  <c r="AQ885" s="200"/>
      <c r="AR885" s="200"/>
      <c r="AS885" s="200"/>
      <c r="AT885" s="200"/>
    </row>
    <row r="886" spans="1:46" ht="16.5" customHeight="1">
      <c r="A886" s="432"/>
      <c r="B886" s="307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353"/>
      <c r="R886" s="353"/>
      <c r="S886" s="353"/>
      <c r="T886" s="353"/>
      <c r="U886" s="353"/>
      <c r="V886" s="353"/>
      <c r="W886" s="200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  <c r="AQ886" s="200"/>
      <c r="AR886" s="200"/>
      <c r="AS886" s="200"/>
      <c r="AT886" s="200"/>
    </row>
    <row r="887" spans="1:46" ht="16.5" customHeight="1">
      <c r="A887" s="432"/>
      <c r="B887" s="307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353"/>
      <c r="R887" s="353"/>
      <c r="S887" s="353"/>
      <c r="T887" s="353"/>
      <c r="U887" s="353"/>
      <c r="V887" s="353"/>
      <c r="W887" s="200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  <c r="AQ887" s="200"/>
      <c r="AR887" s="200"/>
      <c r="AS887" s="200"/>
      <c r="AT887" s="200"/>
    </row>
    <row r="888" spans="1:46" ht="16.5" customHeight="1">
      <c r="A888" s="432"/>
      <c r="B888" s="307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353"/>
      <c r="R888" s="353"/>
      <c r="S888" s="353"/>
      <c r="T888" s="353"/>
      <c r="U888" s="353"/>
      <c r="V888" s="353"/>
      <c r="W888" s="200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  <c r="AT888" s="200"/>
    </row>
    <row r="889" spans="1:46" ht="16.5" customHeight="1">
      <c r="A889" s="432"/>
      <c r="B889" s="307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353"/>
      <c r="R889" s="353"/>
      <c r="S889" s="353"/>
      <c r="T889" s="353"/>
      <c r="U889" s="353"/>
      <c r="V889" s="353"/>
      <c r="W889" s="200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  <c r="AQ889" s="200"/>
      <c r="AR889" s="200"/>
      <c r="AS889" s="200"/>
      <c r="AT889" s="200"/>
    </row>
    <row r="890" spans="1:46" ht="16.5" customHeight="1">
      <c r="A890" s="432"/>
      <c r="B890" s="307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353"/>
      <c r="R890" s="353"/>
      <c r="S890" s="353"/>
      <c r="T890" s="353"/>
      <c r="U890" s="353"/>
      <c r="V890" s="353"/>
      <c r="W890" s="200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  <c r="AT890" s="200"/>
    </row>
    <row r="891" spans="1:46" ht="16.5" customHeight="1">
      <c r="A891" s="432"/>
      <c r="B891" s="307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353"/>
      <c r="R891" s="353"/>
      <c r="S891" s="353"/>
      <c r="T891" s="353"/>
      <c r="U891" s="353"/>
      <c r="V891" s="353"/>
      <c r="W891" s="200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  <c r="AQ891" s="200"/>
      <c r="AR891" s="200"/>
      <c r="AS891" s="200"/>
      <c r="AT891" s="200"/>
    </row>
    <row r="892" spans="1:46" ht="16.5" customHeight="1">
      <c r="A892" s="432"/>
      <c r="B892" s="307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353"/>
      <c r="R892" s="353"/>
      <c r="S892" s="353"/>
      <c r="T892" s="353"/>
      <c r="U892" s="353"/>
      <c r="V892" s="353"/>
      <c r="W892" s="200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  <c r="AQ892" s="200"/>
      <c r="AR892" s="200"/>
      <c r="AS892" s="200"/>
      <c r="AT892" s="200"/>
    </row>
    <row r="893" spans="1:46" ht="16.5" customHeight="1">
      <c r="A893" s="432"/>
      <c r="B893" s="307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353"/>
      <c r="R893" s="353"/>
      <c r="S893" s="353"/>
      <c r="T893" s="353"/>
      <c r="U893" s="353"/>
      <c r="V893" s="353"/>
      <c r="W893" s="200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  <c r="AQ893" s="200"/>
      <c r="AR893" s="200"/>
      <c r="AS893" s="200"/>
      <c r="AT893" s="200"/>
    </row>
    <row r="894" spans="1:46" ht="16.5" customHeight="1">
      <c r="A894" s="432"/>
      <c r="B894" s="307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353"/>
      <c r="R894" s="353"/>
      <c r="S894" s="353"/>
      <c r="T894" s="353"/>
      <c r="U894" s="353"/>
      <c r="V894" s="353"/>
      <c r="W894" s="200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  <c r="AT894" s="200"/>
    </row>
    <row r="895" spans="1:46" ht="16.5" customHeight="1">
      <c r="A895" s="432"/>
      <c r="B895" s="307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353"/>
      <c r="R895" s="353"/>
      <c r="S895" s="353"/>
      <c r="T895" s="353"/>
      <c r="U895" s="353"/>
      <c r="V895" s="353"/>
      <c r="W895" s="200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  <c r="AQ895" s="200"/>
      <c r="AR895" s="200"/>
      <c r="AS895" s="200"/>
      <c r="AT895" s="200"/>
    </row>
    <row r="896" spans="1:46" ht="16.5" customHeight="1">
      <c r="A896" s="432"/>
      <c r="B896" s="307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353"/>
      <c r="R896" s="353"/>
      <c r="S896" s="353"/>
      <c r="T896" s="353"/>
      <c r="U896" s="353"/>
      <c r="V896" s="353"/>
      <c r="W896" s="200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  <c r="AQ896" s="200"/>
      <c r="AR896" s="200"/>
      <c r="AS896" s="200"/>
      <c r="AT896" s="200"/>
    </row>
    <row r="897" spans="1:46" ht="16.5" customHeight="1">
      <c r="A897" s="432"/>
      <c r="B897" s="307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353"/>
      <c r="R897" s="353"/>
      <c r="S897" s="353"/>
      <c r="T897" s="353"/>
      <c r="U897" s="353"/>
      <c r="V897" s="353"/>
      <c r="W897" s="200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  <c r="AQ897" s="200"/>
      <c r="AR897" s="200"/>
      <c r="AS897" s="200"/>
      <c r="AT897" s="200"/>
    </row>
    <row r="898" spans="1:46" ht="16.5" customHeight="1">
      <c r="A898" s="432"/>
      <c r="B898" s="307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353"/>
      <c r="R898" s="353"/>
      <c r="S898" s="353"/>
      <c r="T898" s="353"/>
      <c r="U898" s="353"/>
      <c r="V898" s="353"/>
      <c r="W898" s="200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  <c r="AT898" s="200"/>
    </row>
    <row r="899" spans="1:46" ht="16.5" customHeight="1">
      <c r="A899" s="432"/>
      <c r="B899" s="307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353"/>
      <c r="R899" s="353"/>
      <c r="S899" s="353"/>
      <c r="T899" s="353"/>
      <c r="U899" s="353"/>
      <c r="V899" s="353"/>
      <c r="W899" s="200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  <c r="AT899" s="200"/>
    </row>
    <row r="900" spans="1:46" ht="16.5" customHeight="1">
      <c r="A900" s="432"/>
      <c r="B900" s="307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353"/>
      <c r="R900" s="353"/>
      <c r="S900" s="353"/>
      <c r="T900" s="353"/>
      <c r="U900" s="353"/>
      <c r="V900" s="353"/>
      <c r="W900" s="200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  <c r="AQ900" s="200"/>
      <c r="AR900" s="200"/>
      <c r="AS900" s="200"/>
      <c r="AT900" s="200"/>
    </row>
    <row r="901" spans="1:46" ht="16.5" customHeight="1">
      <c r="A901" s="432"/>
      <c r="B901" s="307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353"/>
      <c r="R901" s="353"/>
      <c r="S901" s="353"/>
      <c r="T901" s="353"/>
      <c r="U901" s="353"/>
      <c r="V901" s="353"/>
      <c r="W901" s="200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  <c r="AT901" s="200"/>
    </row>
    <row r="902" spans="1:46" ht="16.5" customHeight="1">
      <c r="A902" s="432"/>
      <c r="B902" s="307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353"/>
      <c r="R902" s="353"/>
      <c r="S902" s="353"/>
      <c r="T902" s="353"/>
      <c r="U902" s="353"/>
      <c r="V902" s="353"/>
      <c r="W902" s="200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  <c r="AQ902" s="200"/>
      <c r="AR902" s="200"/>
      <c r="AS902" s="200"/>
      <c r="AT902" s="200"/>
    </row>
    <row r="903" spans="1:46" ht="16.5" customHeight="1">
      <c r="A903" s="432"/>
      <c r="B903" s="307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353"/>
      <c r="R903" s="353"/>
      <c r="S903" s="353"/>
      <c r="T903" s="353"/>
      <c r="U903" s="353"/>
      <c r="V903" s="353"/>
      <c r="W903" s="200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  <c r="AQ903" s="200"/>
      <c r="AR903" s="200"/>
      <c r="AS903" s="200"/>
      <c r="AT903" s="200"/>
    </row>
    <row r="904" spans="1:46" ht="16.5" customHeight="1">
      <c r="A904" s="432"/>
      <c r="B904" s="307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353"/>
      <c r="R904" s="353"/>
      <c r="S904" s="353"/>
      <c r="T904" s="353"/>
      <c r="U904" s="353"/>
      <c r="V904" s="353"/>
      <c r="W904" s="200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  <c r="AT904" s="200"/>
    </row>
    <row r="905" spans="1:46" ht="16.5" customHeight="1">
      <c r="A905" s="432"/>
      <c r="B905" s="307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353"/>
      <c r="R905" s="353"/>
      <c r="S905" s="353"/>
      <c r="T905" s="353"/>
      <c r="U905" s="353"/>
      <c r="V905" s="353"/>
      <c r="W905" s="200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  <c r="AT905" s="200"/>
    </row>
    <row r="906" spans="1:46" ht="16.5" customHeight="1">
      <c r="A906" s="432"/>
      <c r="B906" s="307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353"/>
      <c r="R906" s="353"/>
      <c r="S906" s="353"/>
      <c r="T906" s="353"/>
      <c r="U906" s="353"/>
      <c r="V906" s="353"/>
      <c r="W906" s="200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  <c r="AQ906" s="200"/>
      <c r="AR906" s="200"/>
      <c r="AS906" s="200"/>
      <c r="AT906" s="200"/>
    </row>
    <row r="907" spans="1:46" ht="16.5" customHeight="1">
      <c r="A907" s="432"/>
      <c r="B907" s="307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353"/>
      <c r="R907" s="353"/>
      <c r="S907" s="353"/>
      <c r="T907" s="353"/>
      <c r="U907" s="353"/>
      <c r="V907" s="353"/>
      <c r="W907" s="200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  <c r="AQ907" s="200"/>
      <c r="AR907" s="200"/>
      <c r="AS907" s="200"/>
      <c r="AT907" s="200"/>
    </row>
    <row r="908" spans="1:46" ht="16.5" customHeight="1">
      <c r="A908" s="432"/>
      <c r="B908" s="307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353"/>
      <c r="R908" s="353"/>
      <c r="S908" s="353"/>
      <c r="T908" s="353"/>
      <c r="U908" s="353"/>
      <c r="V908" s="353"/>
      <c r="W908" s="200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  <c r="AQ908" s="200"/>
      <c r="AR908" s="200"/>
      <c r="AS908" s="200"/>
      <c r="AT908" s="200"/>
    </row>
    <row r="909" spans="1:46" ht="16.5" customHeight="1">
      <c r="A909" s="432"/>
      <c r="B909" s="307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353"/>
      <c r="R909" s="353"/>
      <c r="S909" s="353"/>
      <c r="T909" s="353"/>
      <c r="U909" s="353"/>
      <c r="V909" s="353"/>
      <c r="W909" s="200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  <c r="AQ909" s="200"/>
      <c r="AR909" s="200"/>
      <c r="AS909" s="200"/>
      <c r="AT909" s="200"/>
    </row>
    <row r="910" spans="1:46" ht="16.5" customHeight="1">
      <c r="A910" s="432"/>
      <c r="B910" s="307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353"/>
      <c r="R910" s="353"/>
      <c r="S910" s="353"/>
      <c r="T910" s="353"/>
      <c r="U910" s="353"/>
      <c r="V910" s="353"/>
      <c r="W910" s="200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</row>
    <row r="911" spans="1:46" ht="16.5" customHeight="1">
      <c r="A911" s="432"/>
      <c r="B911" s="307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353"/>
      <c r="R911" s="353"/>
      <c r="S911" s="353"/>
      <c r="T911" s="353"/>
      <c r="U911" s="353"/>
      <c r="V911" s="353"/>
      <c r="W911" s="200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  <c r="AQ911" s="200"/>
      <c r="AR911" s="200"/>
      <c r="AS911" s="200"/>
      <c r="AT911" s="200"/>
    </row>
    <row r="912" spans="1:46" ht="16.5" customHeight="1">
      <c r="A912" s="432"/>
      <c r="B912" s="307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353"/>
      <c r="R912" s="353"/>
      <c r="S912" s="353"/>
      <c r="T912" s="353"/>
      <c r="U912" s="353"/>
      <c r="V912" s="353"/>
      <c r="W912" s="200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  <c r="AQ912" s="200"/>
      <c r="AR912" s="200"/>
      <c r="AS912" s="200"/>
      <c r="AT912" s="200"/>
    </row>
    <row r="913" spans="1:46" ht="16.5" customHeight="1">
      <c r="A913" s="432"/>
      <c r="B913" s="307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353"/>
      <c r="R913" s="353"/>
      <c r="S913" s="353"/>
      <c r="T913" s="353"/>
      <c r="U913" s="353"/>
      <c r="V913" s="353"/>
      <c r="W913" s="200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  <c r="AQ913" s="200"/>
      <c r="AR913" s="200"/>
      <c r="AS913" s="200"/>
      <c r="AT913" s="200"/>
    </row>
    <row r="914" spans="1:46" ht="16.5" customHeight="1">
      <c r="A914" s="432"/>
      <c r="B914" s="307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353"/>
      <c r="R914" s="353"/>
      <c r="S914" s="353"/>
      <c r="T914" s="353"/>
      <c r="U914" s="353"/>
      <c r="V914" s="353"/>
      <c r="W914" s="200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  <c r="AQ914" s="200"/>
      <c r="AR914" s="200"/>
      <c r="AS914" s="200"/>
      <c r="AT914" s="200"/>
    </row>
    <row r="915" spans="1:46" ht="16.5" customHeight="1">
      <c r="A915" s="432"/>
      <c r="B915" s="307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353"/>
      <c r="R915" s="353"/>
      <c r="S915" s="353"/>
      <c r="T915" s="353"/>
      <c r="U915" s="353"/>
      <c r="V915" s="353"/>
      <c r="W915" s="200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  <c r="AQ915" s="200"/>
      <c r="AR915" s="200"/>
      <c r="AS915" s="200"/>
      <c r="AT915" s="200"/>
    </row>
    <row r="916" spans="1:46" ht="16.5" customHeight="1">
      <c r="A916" s="432"/>
      <c r="B916" s="307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353"/>
      <c r="R916" s="353"/>
      <c r="S916" s="353"/>
      <c r="T916" s="353"/>
      <c r="U916" s="353"/>
      <c r="V916" s="353"/>
      <c r="W916" s="200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  <c r="AT916" s="200"/>
    </row>
    <row r="917" spans="1:46" ht="16.5" customHeight="1">
      <c r="A917" s="432"/>
      <c r="B917" s="307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353"/>
      <c r="R917" s="353"/>
      <c r="S917" s="353"/>
      <c r="T917" s="353"/>
      <c r="U917" s="353"/>
      <c r="V917" s="353"/>
      <c r="W917" s="200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  <c r="AQ917" s="200"/>
      <c r="AR917" s="200"/>
      <c r="AS917" s="200"/>
      <c r="AT917" s="200"/>
    </row>
    <row r="918" spans="1:46" ht="16.5" customHeight="1">
      <c r="A918" s="432"/>
      <c r="B918" s="307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353"/>
      <c r="R918" s="353"/>
      <c r="S918" s="353"/>
      <c r="T918" s="353"/>
      <c r="U918" s="353"/>
      <c r="V918" s="353"/>
      <c r="W918" s="200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  <c r="AQ918" s="200"/>
      <c r="AR918" s="200"/>
      <c r="AS918" s="200"/>
      <c r="AT918" s="200"/>
    </row>
    <row r="919" spans="1:46" ht="16.5" customHeight="1">
      <c r="A919" s="432"/>
      <c r="B919" s="307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353"/>
      <c r="R919" s="353"/>
      <c r="S919" s="353"/>
      <c r="T919" s="353"/>
      <c r="U919" s="353"/>
      <c r="V919" s="353"/>
      <c r="W919" s="200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  <c r="AQ919" s="200"/>
      <c r="AR919" s="200"/>
      <c r="AS919" s="200"/>
      <c r="AT919" s="200"/>
    </row>
    <row r="920" spans="1:46" ht="16.5" customHeight="1">
      <c r="A920" s="432"/>
      <c r="B920" s="307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353"/>
      <c r="R920" s="353"/>
      <c r="S920" s="353"/>
      <c r="T920" s="353"/>
      <c r="U920" s="353"/>
      <c r="V920" s="353"/>
      <c r="W920" s="200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Q920" s="200"/>
      <c r="AR920" s="200"/>
      <c r="AS920" s="200"/>
      <c r="AT920" s="200"/>
    </row>
    <row r="921" spans="1:46" ht="16.5" customHeight="1">
      <c r="A921" s="432"/>
      <c r="B921" s="307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353"/>
      <c r="R921" s="353"/>
      <c r="S921" s="353"/>
      <c r="T921" s="353"/>
      <c r="U921" s="353"/>
      <c r="V921" s="353"/>
      <c r="W921" s="200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  <c r="AQ921" s="200"/>
      <c r="AR921" s="200"/>
      <c r="AS921" s="200"/>
      <c r="AT921" s="200"/>
    </row>
    <row r="922" spans="1:46" ht="16.5" customHeight="1">
      <c r="A922" s="432"/>
      <c r="B922" s="307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353"/>
      <c r="R922" s="353"/>
      <c r="S922" s="353"/>
      <c r="T922" s="353"/>
      <c r="U922" s="353"/>
      <c r="V922" s="353"/>
      <c r="W922" s="200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Q922" s="200"/>
      <c r="AR922" s="200"/>
      <c r="AS922" s="200"/>
      <c r="AT922" s="200"/>
    </row>
    <row r="923" spans="1:46" ht="16.5" customHeight="1">
      <c r="A923" s="432"/>
      <c r="B923" s="307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353"/>
      <c r="R923" s="353"/>
      <c r="S923" s="353"/>
      <c r="T923" s="353"/>
      <c r="U923" s="353"/>
      <c r="V923" s="353"/>
      <c r="W923" s="200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  <c r="AQ923" s="200"/>
      <c r="AR923" s="200"/>
      <c r="AS923" s="200"/>
      <c r="AT923" s="200"/>
    </row>
    <row r="924" spans="1:46" ht="16.5" customHeight="1">
      <c r="A924" s="432"/>
      <c r="B924" s="307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353"/>
      <c r="R924" s="353"/>
      <c r="S924" s="353"/>
      <c r="T924" s="353"/>
      <c r="U924" s="353"/>
      <c r="V924" s="353"/>
      <c r="W924" s="200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  <c r="AQ924" s="200"/>
      <c r="AR924" s="200"/>
      <c r="AS924" s="200"/>
      <c r="AT924" s="200"/>
    </row>
    <row r="925" spans="1:46" ht="16.5" customHeight="1">
      <c r="A925" s="432"/>
      <c r="B925" s="307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353"/>
      <c r="R925" s="353"/>
      <c r="S925" s="353"/>
      <c r="T925" s="353"/>
      <c r="U925" s="353"/>
      <c r="V925" s="353"/>
      <c r="W925" s="200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  <c r="AQ925" s="200"/>
      <c r="AR925" s="200"/>
      <c r="AS925" s="200"/>
      <c r="AT925" s="200"/>
    </row>
    <row r="926" spans="1:46" ht="16.5" customHeight="1">
      <c r="A926" s="432"/>
      <c r="B926" s="307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353"/>
      <c r="R926" s="353"/>
      <c r="S926" s="353"/>
      <c r="T926" s="353"/>
      <c r="U926" s="353"/>
      <c r="V926" s="353"/>
      <c r="W926" s="200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</row>
    <row r="927" spans="1:46" ht="16.5" customHeight="1">
      <c r="A927" s="432"/>
      <c r="B927" s="307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353"/>
      <c r="R927" s="353"/>
      <c r="S927" s="353"/>
      <c r="T927" s="353"/>
      <c r="U927" s="353"/>
      <c r="V927" s="353"/>
      <c r="W927" s="200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  <c r="AQ927" s="200"/>
      <c r="AR927" s="200"/>
      <c r="AS927" s="200"/>
      <c r="AT927" s="200"/>
    </row>
    <row r="928" spans="1:46" ht="16.5" customHeight="1">
      <c r="A928" s="432"/>
      <c r="B928" s="307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353"/>
      <c r="R928" s="353"/>
      <c r="S928" s="353"/>
      <c r="T928" s="353"/>
      <c r="U928" s="353"/>
      <c r="V928" s="353"/>
      <c r="W928" s="200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  <c r="AQ928" s="200"/>
      <c r="AR928" s="200"/>
      <c r="AS928" s="200"/>
      <c r="AT928" s="200"/>
    </row>
    <row r="929" spans="1:46" ht="16.5" customHeight="1">
      <c r="A929" s="432"/>
      <c r="B929" s="307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353"/>
      <c r="R929" s="353"/>
      <c r="S929" s="353"/>
      <c r="T929" s="353"/>
      <c r="U929" s="353"/>
      <c r="V929" s="353"/>
      <c r="W929" s="200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  <c r="AT929" s="200"/>
    </row>
    <row r="930" spans="1:46" ht="16.5" customHeight="1">
      <c r="A930" s="432"/>
      <c r="B930" s="307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353"/>
      <c r="R930" s="353"/>
      <c r="S930" s="353"/>
      <c r="T930" s="353"/>
      <c r="U930" s="353"/>
      <c r="V930" s="353"/>
      <c r="W930" s="200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  <c r="AQ930" s="200"/>
      <c r="AR930" s="200"/>
      <c r="AS930" s="200"/>
      <c r="AT930" s="200"/>
    </row>
    <row r="931" spans="1:46" ht="16.5" customHeight="1">
      <c r="A931" s="432"/>
      <c r="B931" s="307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353"/>
      <c r="R931" s="353"/>
      <c r="S931" s="353"/>
      <c r="T931" s="353"/>
      <c r="U931" s="353"/>
      <c r="V931" s="353"/>
      <c r="W931" s="200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  <c r="AQ931" s="200"/>
      <c r="AR931" s="200"/>
      <c r="AS931" s="200"/>
      <c r="AT931" s="200"/>
    </row>
    <row r="932" spans="1:46" ht="16.5" customHeight="1">
      <c r="A932" s="432"/>
      <c r="B932" s="307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353"/>
      <c r="R932" s="353"/>
      <c r="S932" s="353"/>
      <c r="T932" s="353"/>
      <c r="U932" s="353"/>
      <c r="V932" s="353"/>
      <c r="W932" s="200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  <c r="AQ932" s="200"/>
      <c r="AR932" s="200"/>
      <c r="AS932" s="200"/>
      <c r="AT932" s="200"/>
    </row>
    <row r="933" spans="1:46" ht="16.5" customHeight="1">
      <c r="A933" s="432"/>
      <c r="B933" s="307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353"/>
      <c r="R933" s="353"/>
      <c r="S933" s="353"/>
      <c r="T933" s="353"/>
      <c r="U933" s="353"/>
      <c r="V933" s="353"/>
      <c r="W933" s="200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  <c r="AQ933" s="200"/>
      <c r="AR933" s="200"/>
      <c r="AS933" s="200"/>
      <c r="AT933" s="200"/>
    </row>
    <row r="934" spans="1:46" ht="16.5" customHeight="1">
      <c r="A934" s="432"/>
      <c r="B934" s="307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353"/>
      <c r="R934" s="353"/>
      <c r="S934" s="353"/>
      <c r="T934" s="353"/>
      <c r="U934" s="353"/>
      <c r="V934" s="353"/>
      <c r="W934" s="200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  <c r="AQ934" s="200"/>
      <c r="AR934" s="200"/>
      <c r="AS934" s="200"/>
      <c r="AT934" s="200"/>
    </row>
    <row r="935" spans="1:46" ht="16.5" customHeight="1">
      <c r="A935" s="432"/>
      <c r="B935" s="307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353"/>
      <c r="R935" s="353"/>
      <c r="S935" s="353"/>
      <c r="T935" s="353"/>
      <c r="U935" s="353"/>
      <c r="V935" s="353"/>
      <c r="W935" s="200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  <c r="AQ935" s="200"/>
      <c r="AR935" s="200"/>
      <c r="AS935" s="200"/>
      <c r="AT935" s="200"/>
    </row>
    <row r="936" spans="1:46" ht="16.5" customHeight="1">
      <c r="A936" s="432"/>
      <c r="B936" s="307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353"/>
      <c r="R936" s="353"/>
      <c r="S936" s="353"/>
      <c r="T936" s="353"/>
      <c r="U936" s="353"/>
      <c r="V936" s="353"/>
      <c r="W936" s="200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  <c r="AQ936" s="200"/>
      <c r="AR936" s="200"/>
      <c r="AS936" s="200"/>
      <c r="AT936" s="200"/>
    </row>
    <row r="937" spans="1:46" ht="16.5" customHeight="1">
      <c r="A937" s="432"/>
      <c r="B937" s="307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353"/>
      <c r="R937" s="353"/>
      <c r="S937" s="353"/>
      <c r="T937" s="353"/>
      <c r="U937" s="353"/>
      <c r="V937" s="353"/>
      <c r="W937" s="200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  <c r="AQ937" s="200"/>
      <c r="AR937" s="200"/>
      <c r="AS937" s="200"/>
      <c r="AT937" s="200"/>
    </row>
    <row r="938" spans="1:46" ht="16.5" customHeight="1">
      <c r="A938" s="432"/>
      <c r="B938" s="307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353"/>
      <c r="R938" s="353"/>
      <c r="S938" s="353"/>
      <c r="T938" s="353"/>
      <c r="U938" s="353"/>
      <c r="V938" s="353"/>
      <c r="W938" s="200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  <c r="AQ938" s="200"/>
      <c r="AR938" s="200"/>
      <c r="AS938" s="200"/>
      <c r="AT938" s="200"/>
    </row>
    <row r="939" spans="1:46" ht="16.5" customHeight="1">
      <c r="A939" s="432"/>
      <c r="B939" s="307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353"/>
      <c r="R939" s="353"/>
      <c r="S939" s="353"/>
      <c r="T939" s="353"/>
      <c r="U939" s="353"/>
      <c r="V939" s="353"/>
      <c r="W939" s="200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  <c r="AQ939" s="200"/>
      <c r="AR939" s="200"/>
      <c r="AS939" s="200"/>
      <c r="AT939" s="200"/>
    </row>
    <row r="940" spans="1:46" ht="16.5" customHeight="1">
      <c r="A940" s="432"/>
      <c r="B940" s="307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353"/>
      <c r="R940" s="353"/>
      <c r="S940" s="353"/>
      <c r="T940" s="353"/>
      <c r="U940" s="353"/>
      <c r="V940" s="353"/>
      <c r="W940" s="200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  <c r="AQ940" s="200"/>
      <c r="AR940" s="200"/>
      <c r="AS940" s="200"/>
      <c r="AT940" s="200"/>
    </row>
    <row r="941" spans="1:46" ht="16.5" customHeight="1">
      <c r="A941" s="432"/>
      <c r="B941" s="307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353"/>
      <c r="R941" s="353"/>
      <c r="S941" s="353"/>
      <c r="T941" s="353"/>
      <c r="U941" s="353"/>
      <c r="V941" s="353"/>
      <c r="W941" s="200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  <c r="AQ941" s="200"/>
      <c r="AR941" s="200"/>
      <c r="AS941" s="200"/>
      <c r="AT941" s="200"/>
    </row>
    <row r="942" spans="1:46" ht="16.5" customHeight="1">
      <c r="A942" s="432"/>
      <c r="B942" s="307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353"/>
      <c r="R942" s="353"/>
      <c r="S942" s="353"/>
      <c r="T942" s="353"/>
      <c r="U942" s="353"/>
      <c r="V942" s="353"/>
      <c r="W942" s="200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  <c r="AQ942" s="200"/>
      <c r="AR942" s="200"/>
      <c r="AS942" s="200"/>
      <c r="AT942" s="200"/>
    </row>
    <row r="943" spans="1:46" ht="16.5" customHeight="1">
      <c r="A943" s="432"/>
      <c r="B943" s="307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353"/>
      <c r="R943" s="353"/>
      <c r="S943" s="353"/>
      <c r="T943" s="353"/>
      <c r="U943" s="353"/>
      <c r="V943" s="353"/>
      <c r="W943" s="200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  <c r="AQ943" s="200"/>
      <c r="AR943" s="200"/>
      <c r="AS943" s="200"/>
      <c r="AT943" s="200"/>
    </row>
    <row r="944" spans="1:46" ht="16.5" customHeight="1">
      <c r="A944" s="432"/>
      <c r="B944" s="307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353"/>
      <c r="R944" s="353"/>
      <c r="S944" s="353"/>
      <c r="T944" s="353"/>
      <c r="U944" s="353"/>
      <c r="V944" s="353"/>
      <c r="W944" s="200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  <c r="AT944" s="200"/>
    </row>
    <row r="945" spans="1:46" ht="16.5" customHeight="1">
      <c r="A945" s="432"/>
      <c r="B945" s="307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353"/>
      <c r="R945" s="353"/>
      <c r="S945" s="353"/>
      <c r="T945" s="353"/>
      <c r="U945" s="353"/>
      <c r="V945" s="353"/>
      <c r="W945" s="200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  <c r="AQ945" s="200"/>
      <c r="AR945" s="200"/>
      <c r="AS945" s="200"/>
      <c r="AT945" s="200"/>
    </row>
    <row r="946" spans="1:46" ht="16.5" customHeight="1">
      <c r="A946" s="432"/>
      <c r="B946" s="307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353"/>
      <c r="R946" s="353"/>
      <c r="S946" s="353"/>
      <c r="T946" s="353"/>
      <c r="U946" s="353"/>
      <c r="V946" s="353"/>
      <c r="W946" s="200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  <c r="AQ946" s="200"/>
      <c r="AR946" s="200"/>
      <c r="AS946" s="200"/>
      <c r="AT946" s="200"/>
    </row>
    <row r="947" spans="1:46" ht="16.5" customHeight="1">
      <c r="A947" s="432"/>
      <c r="B947" s="307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353"/>
      <c r="R947" s="353"/>
      <c r="S947" s="353"/>
      <c r="T947" s="353"/>
      <c r="U947" s="353"/>
      <c r="V947" s="353"/>
      <c r="W947" s="200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  <c r="AQ947" s="200"/>
      <c r="AR947" s="200"/>
      <c r="AS947" s="200"/>
      <c r="AT947" s="200"/>
    </row>
    <row r="948" spans="1:46" ht="16.5" customHeight="1">
      <c r="A948" s="432"/>
      <c r="B948" s="307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353"/>
      <c r="R948" s="353"/>
      <c r="S948" s="353"/>
      <c r="T948" s="353"/>
      <c r="U948" s="353"/>
      <c r="V948" s="353"/>
      <c r="W948" s="200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  <c r="AQ948" s="200"/>
      <c r="AR948" s="200"/>
      <c r="AS948" s="200"/>
      <c r="AT948" s="200"/>
    </row>
    <row r="949" spans="1:46" ht="16.5" customHeight="1">
      <c r="A949" s="432"/>
      <c r="B949" s="307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353"/>
      <c r="R949" s="353"/>
      <c r="S949" s="353"/>
      <c r="T949" s="353"/>
      <c r="U949" s="353"/>
      <c r="V949" s="353"/>
      <c r="W949" s="200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  <c r="AQ949" s="200"/>
      <c r="AR949" s="200"/>
      <c r="AS949" s="200"/>
      <c r="AT949" s="200"/>
    </row>
    <row r="950" spans="1:46" ht="16.5" customHeight="1">
      <c r="A950" s="432"/>
      <c r="B950" s="307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353"/>
      <c r="R950" s="353"/>
      <c r="S950" s="353"/>
      <c r="T950" s="353"/>
      <c r="U950" s="353"/>
      <c r="V950" s="353"/>
      <c r="W950" s="200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  <c r="AT950" s="200"/>
    </row>
    <row r="951" spans="1:46" ht="16.5" customHeight="1">
      <c r="A951" s="432"/>
      <c r="B951" s="307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353"/>
      <c r="R951" s="353"/>
      <c r="S951" s="353"/>
      <c r="T951" s="353"/>
      <c r="U951" s="353"/>
      <c r="V951" s="353"/>
      <c r="W951" s="200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  <c r="AQ951" s="200"/>
      <c r="AR951" s="200"/>
      <c r="AS951" s="200"/>
      <c r="AT951" s="200"/>
    </row>
    <row r="952" spans="1:46" ht="16.5" customHeight="1">
      <c r="A952" s="432"/>
      <c r="B952" s="307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353"/>
      <c r="R952" s="353"/>
      <c r="S952" s="353"/>
      <c r="T952" s="353"/>
      <c r="U952" s="353"/>
      <c r="V952" s="353"/>
      <c r="W952" s="200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200"/>
      <c r="AQ952" s="200"/>
      <c r="AR952" s="200"/>
      <c r="AS952" s="200"/>
      <c r="AT952" s="200"/>
    </row>
    <row r="953" spans="1:46" ht="16.5" customHeight="1">
      <c r="A953" s="432"/>
      <c r="B953" s="307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353"/>
      <c r="R953" s="353"/>
      <c r="S953" s="353"/>
      <c r="T953" s="353"/>
      <c r="U953" s="353"/>
      <c r="V953" s="353"/>
      <c r="W953" s="200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200"/>
      <c r="AQ953" s="200"/>
      <c r="AR953" s="200"/>
      <c r="AS953" s="200"/>
      <c r="AT953" s="200"/>
    </row>
    <row r="954" spans="1:46" ht="16.5" customHeight="1">
      <c r="A954" s="432"/>
      <c r="B954" s="307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353"/>
      <c r="R954" s="353"/>
      <c r="S954" s="353"/>
      <c r="T954" s="353"/>
      <c r="U954" s="353"/>
      <c r="V954" s="353"/>
      <c r="W954" s="200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200"/>
      <c r="AQ954" s="200"/>
      <c r="AR954" s="200"/>
      <c r="AS954" s="200"/>
      <c r="AT954" s="200"/>
    </row>
    <row r="955" spans="1:46" ht="16.5" customHeight="1">
      <c r="A955" s="432"/>
      <c r="B955" s="307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353"/>
      <c r="R955" s="353"/>
      <c r="S955" s="353"/>
      <c r="T955" s="353"/>
      <c r="U955" s="353"/>
      <c r="V955" s="353"/>
      <c r="W955" s="200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  <c r="AQ955" s="200"/>
      <c r="AR955" s="200"/>
      <c r="AS955" s="200"/>
      <c r="AT955" s="200"/>
    </row>
    <row r="956" spans="1:46" ht="16.5" customHeight="1">
      <c r="A956" s="432"/>
      <c r="B956" s="307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353"/>
      <c r="R956" s="353"/>
      <c r="S956" s="353"/>
      <c r="T956" s="353"/>
      <c r="U956" s="353"/>
      <c r="V956" s="353"/>
      <c r="W956" s="200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200"/>
      <c r="AQ956" s="200"/>
      <c r="AR956" s="200"/>
      <c r="AS956" s="200"/>
      <c r="AT956" s="200"/>
    </row>
    <row r="957" spans="1:46" ht="16.5" customHeight="1">
      <c r="A957" s="432"/>
      <c r="B957" s="307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353"/>
      <c r="R957" s="353"/>
      <c r="S957" s="353"/>
      <c r="T957" s="353"/>
      <c r="U957" s="353"/>
      <c r="V957" s="353"/>
      <c r="W957" s="200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200"/>
      <c r="AQ957" s="200"/>
      <c r="AR957" s="200"/>
      <c r="AS957" s="200"/>
      <c r="AT957" s="200"/>
    </row>
    <row r="958" spans="1:46" ht="16.5" customHeight="1">
      <c r="A958" s="432"/>
      <c r="B958" s="307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353"/>
      <c r="R958" s="353"/>
      <c r="S958" s="353"/>
      <c r="T958" s="353"/>
      <c r="U958" s="353"/>
      <c r="V958" s="353"/>
      <c r="W958" s="200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200"/>
      <c r="AQ958" s="200"/>
      <c r="AR958" s="200"/>
      <c r="AS958" s="200"/>
      <c r="AT958" s="200"/>
    </row>
    <row r="959" spans="1:46" ht="16.5" customHeight="1">
      <c r="A959" s="432"/>
      <c r="B959" s="307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353"/>
      <c r="R959" s="353"/>
      <c r="S959" s="353"/>
      <c r="T959" s="353"/>
      <c r="U959" s="353"/>
      <c r="V959" s="353"/>
      <c r="W959" s="200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200"/>
      <c r="AQ959" s="200"/>
      <c r="AR959" s="200"/>
      <c r="AS959" s="200"/>
      <c r="AT959" s="200"/>
    </row>
    <row r="960" spans="1:46" ht="16.5" customHeight="1">
      <c r="A960" s="432"/>
      <c r="B960" s="307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353"/>
      <c r="R960" s="353"/>
      <c r="S960" s="353"/>
      <c r="T960" s="353"/>
      <c r="U960" s="353"/>
      <c r="V960" s="353"/>
      <c r="W960" s="200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200"/>
      <c r="AQ960" s="200"/>
      <c r="AR960" s="200"/>
      <c r="AS960" s="200"/>
      <c r="AT960" s="200"/>
    </row>
    <row r="961" spans="1:46" ht="16.5" customHeight="1">
      <c r="A961" s="432"/>
      <c r="B961" s="307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353"/>
      <c r="R961" s="353"/>
      <c r="S961" s="353"/>
      <c r="T961" s="353"/>
      <c r="U961" s="353"/>
      <c r="V961" s="353"/>
      <c r="W961" s="200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  <c r="AQ961" s="200"/>
      <c r="AR961" s="200"/>
      <c r="AS961" s="200"/>
      <c r="AT961" s="200"/>
    </row>
    <row r="962" spans="1:46" ht="16.5" customHeight="1">
      <c r="A962" s="432"/>
      <c r="B962" s="307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353"/>
      <c r="R962" s="353"/>
      <c r="S962" s="353"/>
      <c r="T962" s="353"/>
      <c r="U962" s="353"/>
      <c r="V962" s="353"/>
      <c r="W962" s="200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200"/>
      <c r="AQ962" s="200"/>
      <c r="AR962" s="200"/>
      <c r="AS962" s="200"/>
      <c r="AT962" s="200"/>
    </row>
    <row r="963" spans="1:46" ht="16.5" customHeight="1">
      <c r="A963" s="432"/>
      <c r="B963" s="307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353"/>
      <c r="R963" s="353"/>
      <c r="S963" s="353"/>
      <c r="T963" s="353"/>
      <c r="U963" s="353"/>
      <c r="V963" s="353"/>
      <c r="W963" s="200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200"/>
      <c r="AQ963" s="200"/>
      <c r="AR963" s="200"/>
      <c r="AS963" s="200"/>
      <c r="AT963" s="200"/>
    </row>
    <row r="964" spans="1:46" ht="16.5" customHeight="1">
      <c r="A964" s="432"/>
      <c r="B964" s="307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353"/>
      <c r="R964" s="353"/>
      <c r="S964" s="353"/>
      <c r="T964" s="353"/>
      <c r="U964" s="353"/>
      <c r="V964" s="353"/>
      <c r="W964" s="200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200"/>
      <c r="AQ964" s="200"/>
      <c r="AR964" s="200"/>
      <c r="AS964" s="200"/>
      <c r="AT964" s="200"/>
    </row>
    <row r="965" spans="1:46" ht="16.5" customHeight="1">
      <c r="A965" s="432"/>
      <c r="B965" s="307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353"/>
      <c r="R965" s="353"/>
      <c r="S965" s="353"/>
      <c r="T965" s="353"/>
      <c r="U965" s="353"/>
      <c r="V965" s="353"/>
      <c r="W965" s="200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200"/>
      <c r="AQ965" s="200"/>
      <c r="AR965" s="200"/>
      <c r="AS965" s="200"/>
      <c r="AT965" s="200"/>
    </row>
    <row r="966" spans="1:46" ht="16.5" customHeight="1">
      <c r="A966" s="432"/>
      <c r="B966" s="307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353"/>
      <c r="R966" s="353"/>
      <c r="S966" s="353"/>
      <c r="T966" s="353"/>
      <c r="U966" s="353"/>
      <c r="V966" s="353"/>
      <c r="W966" s="200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  <c r="AQ966" s="200"/>
      <c r="AR966" s="200"/>
      <c r="AS966" s="200"/>
      <c r="AT966" s="200"/>
    </row>
    <row r="967" spans="1:46" ht="16.5" customHeight="1">
      <c r="A967" s="432"/>
      <c r="B967" s="307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353"/>
      <c r="R967" s="353"/>
      <c r="S967" s="353"/>
      <c r="T967" s="353"/>
      <c r="U967" s="353"/>
      <c r="V967" s="353"/>
      <c r="W967" s="200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200"/>
      <c r="AQ967" s="200"/>
      <c r="AR967" s="200"/>
      <c r="AS967" s="200"/>
      <c r="AT967" s="200"/>
    </row>
    <row r="968" spans="1:46" ht="16.5" customHeight="1">
      <c r="A968" s="432"/>
      <c r="B968" s="307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353"/>
      <c r="R968" s="353"/>
      <c r="S968" s="353"/>
      <c r="T968" s="353"/>
      <c r="U968" s="353"/>
      <c r="V968" s="353"/>
      <c r="W968" s="200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200"/>
      <c r="AQ968" s="200"/>
      <c r="AR968" s="200"/>
      <c r="AS968" s="200"/>
      <c r="AT968" s="200"/>
    </row>
    <row r="969" spans="1:46" ht="16.5" customHeight="1">
      <c r="A969" s="432"/>
      <c r="B969" s="307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353"/>
      <c r="R969" s="353"/>
      <c r="S969" s="353"/>
      <c r="T969" s="353"/>
      <c r="U969" s="353"/>
      <c r="V969" s="353"/>
      <c r="W969" s="200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200"/>
      <c r="AQ969" s="200"/>
      <c r="AR969" s="200"/>
      <c r="AS969" s="200"/>
      <c r="AT969" s="200"/>
    </row>
    <row r="970" spans="1:46" ht="16.5" customHeight="1">
      <c r="A970" s="432"/>
      <c r="B970" s="307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353"/>
      <c r="R970" s="353"/>
      <c r="S970" s="353"/>
      <c r="T970" s="353"/>
      <c r="U970" s="353"/>
      <c r="V970" s="353"/>
      <c r="W970" s="200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200"/>
      <c r="AQ970" s="200"/>
      <c r="AR970" s="200"/>
      <c r="AS970" s="200"/>
      <c r="AT970" s="200"/>
    </row>
    <row r="971" spans="1:46" ht="16.5" customHeight="1">
      <c r="A971" s="432"/>
      <c r="B971" s="307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353"/>
      <c r="R971" s="353"/>
      <c r="S971" s="353"/>
      <c r="T971" s="353"/>
      <c r="U971" s="353"/>
      <c r="V971" s="353"/>
      <c r="W971" s="200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200"/>
      <c r="AQ971" s="200"/>
      <c r="AR971" s="200"/>
      <c r="AS971" s="200"/>
      <c r="AT971" s="200"/>
    </row>
    <row r="972" spans="1:46" ht="16.5" customHeight="1">
      <c r="A972" s="432"/>
      <c r="B972" s="307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353"/>
      <c r="R972" s="353"/>
      <c r="S972" s="353"/>
      <c r="T972" s="353"/>
      <c r="U972" s="353"/>
      <c r="V972" s="353"/>
      <c r="W972" s="200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  <c r="AQ972" s="200"/>
      <c r="AR972" s="200"/>
      <c r="AS972" s="200"/>
      <c r="AT972" s="200"/>
    </row>
    <row r="973" spans="1:46" ht="16.5" customHeight="1">
      <c r="A973" s="432"/>
      <c r="B973" s="307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353"/>
      <c r="R973" s="353"/>
      <c r="S973" s="353"/>
      <c r="T973" s="353"/>
      <c r="U973" s="353"/>
      <c r="V973" s="353"/>
      <c r="W973" s="200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200"/>
      <c r="AQ973" s="200"/>
      <c r="AR973" s="200"/>
      <c r="AS973" s="200"/>
      <c r="AT973" s="200"/>
    </row>
    <row r="974" spans="1:46" ht="16.5" customHeight="1">
      <c r="A974" s="432"/>
      <c r="B974" s="307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353"/>
      <c r="R974" s="353"/>
      <c r="S974" s="353"/>
      <c r="T974" s="353"/>
      <c r="U974" s="353"/>
      <c r="V974" s="353"/>
      <c r="W974" s="200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200"/>
      <c r="AQ974" s="200"/>
      <c r="AR974" s="200"/>
      <c r="AS974" s="200"/>
      <c r="AT974" s="200"/>
    </row>
    <row r="975" spans="1:46" ht="16.5" customHeight="1">
      <c r="A975" s="432"/>
      <c r="B975" s="307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353"/>
      <c r="R975" s="353"/>
      <c r="S975" s="353"/>
      <c r="T975" s="353"/>
      <c r="U975" s="353"/>
      <c r="V975" s="353"/>
      <c r="W975" s="200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200"/>
      <c r="AQ975" s="200"/>
      <c r="AR975" s="200"/>
      <c r="AS975" s="200"/>
      <c r="AT975" s="200"/>
    </row>
    <row r="976" spans="1:46" ht="16.5" customHeight="1">
      <c r="A976" s="432"/>
      <c r="B976" s="307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353"/>
      <c r="R976" s="353"/>
      <c r="S976" s="353"/>
      <c r="T976" s="353"/>
      <c r="U976" s="353"/>
      <c r="V976" s="353"/>
      <c r="W976" s="200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200"/>
      <c r="AQ976" s="200"/>
      <c r="AR976" s="200"/>
      <c r="AS976" s="200"/>
      <c r="AT976" s="200"/>
    </row>
    <row r="977" spans="1:46" ht="16.5" customHeight="1">
      <c r="A977" s="432"/>
      <c r="B977" s="307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353"/>
      <c r="R977" s="353"/>
      <c r="S977" s="353"/>
      <c r="T977" s="353"/>
      <c r="U977" s="353"/>
      <c r="V977" s="353"/>
      <c r="W977" s="200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200"/>
      <c r="AQ977" s="200"/>
      <c r="AR977" s="200"/>
      <c r="AS977" s="200"/>
      <c r="AT977" s="200"/>
    </row>
    <row r="978" spans="1:46" ht="16.5" customHeight="1">
      <c r="A978" s="432"/>
      <c r="B978" s="307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353"/>
      <c r="R978" s="353"/>
      <c r="S978" s="353"/>
      <c r="T978" s="353"/>
      <c r="U978" s="353"/>
      <c r="V978" s="353"/>
      <c r="W978" s="200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200"/>
      <c r="AQ978" s="200"/>
      <c r="AR978" s="200"/>
      <c r="AS978" s="200"/>
      <c r="AT978" s="200"/>
    </row>
    <row r="979" spans="1:46" ht="16.5" customHeight="1">
      <c r="A979" s="432"/>
      <c r="B979" s="307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353"/>
      <c r="R979" s="353"/>
      <c r="S979" s="353"/>
      <c r="T979" s="353"/>
      <c r="U979" s="353"/>
      <c r="V979" s="353"/>
      <c r="W979" s="200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200"/>
      <c r="AQ979" s="200"/>
      <c r="AR979" s="200"/>
      <c r="AS979" s="200"/>
      <c r="AT979" s="200"/>
    </row>
    <row r="980" spans="1:46" ht="16.5" customHeight="1">
      <c r="A980" s="432"/>
      <c r="B980" s="307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353"/>
      <c r="R980" s="353"/>
      <c r="S980" s="353"/>
      <c r="T980" s="353"/>
      <c r="U980" s="353"/>
      <c r="V980" s="353"/>
      <c r="W980" s="200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200"/>
      <c r="AQ980" s="200"/>
      <c r="AR980" s="200"/>
      <c r="AS980" s="200"/>
      <c r="AT980" s="200"/>
    </row>
    <row r="981" spans="1:46" ht="16.5" customHeight="1">
      <c r="A981" s="432"/>
      <c r="B981" s="307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353"/>
      <c r="R981" s="353"/>
      <c r="S981" s="353"/>
      <c r="T981" s="353"/>
      <c r="U981" s="353"/>
      <c r="V981" s="353"/>
      <c r="W981" s="200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200"/>
      <c r="AQ981" s="200"/>
      <c r="AR981" s="200"/>
      <c r="AS981" s="200"/>
      <c r="AT981" s="200"/>
    </row>
    <row r="982" spans="1:46" ht="16.5" customHeight="1">
      <c r="A982" s="432"/>
      <c r="B982" s="307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353"/>
      <c r="R982" s="353"/>
      <c r="S982" s="353"/>
      <c r="T982" s="353"/>
      <c r="U982" s="353"/>
      <c r="V982" s="353"/>
      <c r="W982" s="200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200"/>
      <c r="AQ982" s="200"/>
      <c r="AR982" s="200"/>
      <c r="AS982" s="200"/>
      <c r="AT982" s="200"/>
    </row>
    <row r="983" spans="1:46" ht="16.5" customHeight="1">
      <c r="A983" s="432"/>
      <c r="B983" s="307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353"/>
      <c r="R983" s="353"/>
      <c r="S983" s="353"/>
      <c r="T983" s="353"/>
      <c r="U983" s="353"/>
      <c r="V983" s="353"/>
      <c r="W983" s="200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200"/>
      <c r="AQ983" s="200"/>
      <c r="AR983" s="200"/>
      <c r="AS983" s="200"/>
      <c r="AT983" s="200"/>
    </row>
    <row r="984" spans="1:46" ht="16.5" customHeight="1">
      <c r="A984" s="432"/>
      <c r="B984" s="307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353"/>
      <c r="R984" s="353"/>
      <c r="S984" s="353"/>
      <c r="T984" s="353"/>
      <c r="U984" s="353"/>
      <c r="V984" s="353"/>
      <c r="W984" s="200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200"/>
      <c r="AQ984" s="200"/>
      <c r="AR984" s="200"/>
      <c r="AS984" s="200"/>
      <c r="AT984" s="200"/>
    </row>
    <row r="985" spans="1:46" ht="16.5" customHeight="1">
      <c r="A985" s="432"/>
      <c r="B985" s="307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353"/>
      <c r="R985" s="353"/>
      <c r="S985" s="353"/>
      <c r="T985" s="353"/>
      <c r="U985" s="353"/>
      <c r="V985" s="353"/>
      <c r="W985" s="200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200"/>
      <c r="AQ985" s="200"/>
      <c r="AR985" s="200"/>
      <c r="AS985" s="200"/>
      <c r="AT985" s="200"/>
    </row>
    <row r="986" spans="1:46" ht="16.5" customHeight="1">
      <c r="A986" s="432"/>
      <c r="B986" s="307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353"/>
      <c r="R986" s="353"/>
      <c r="S986" s="353"/>
      <c r="T986" s="353"/>
      <c r="U986" s="353"/>
      <c r="V986" s="353"/>
      <c r="W986" s="200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200"/>
      <c r="AQ986" s="200"/>
      <c r="AR986" s="200"/>
      <c r="AS986" s="200"/>
      <c r="AT986" s="200"/>
    </row>
    <row r="987" spans="1:46" ht="16.5" customHeight="1">
      <c r="A987" s="432"/>
      <c r="B987" s="307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353"/>
      <c r="R987" s="353"/>
      <c r="S987" s="353"/>
      <c r="T987" s="353"/>
      <c r="U987" s="353"/>
      <c r="V987" s="353"/>
      <c r="W987" s="200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200"/>
      <c r="AQ987" s="200"/>
      <c r="AR987" s="200"/>
      <c r="AS987" s="200"/>
      <c r="AT987" s="200"/>
    </row>
    <row r="988" spans="1:46" ht="16.5" customHeight="1">
      <c r="A988" s="432"/>
      <c r="B988" s="307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353"/>
      <c r="R988" s="353"/>
      <c r="S988" s="353"/>
      <c r="T988" s="353"/>
      <c r="U988" s="353"/>
      <c r="V988" s="353"/>
      <c r="W988" s="200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200"/>
      <c r="AQ988" s="200"/>
      <c r="AR988" s="200"/>
      <c r="AS988" s="200"/>
      <c r="AT988" s="200"/>
    </row>
    <row r="989" spans="1:46" ht="16.5" customHeight="1">
      <c r="A989" s="432"/>
      <c r="B989" s="307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353"/>
      <c r="R989" s="353"/>
      <c r="S989" s="353"/>
      <c r="T989" s="353"/>
      <c r="U989" s="353"/>
      <c r="V989" s="353"/>
      <c r="W989" s="200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200"/>
      <c r="AQ989" s="200"/>
      <c r="AR989" s="200"/>
      <c r="AS989" s="200"/>
      <c r="AT989" s="200"/>
    </row>
    <row r="990" spans="1:46" ht="16.5" customHeight="1">
      <c r="A990" s="432"/>
      <c r="B990" s="307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353"/>
      <c r="R990" s="353"/>
      <c r="S990" s="353"/>
      <c r="T990" s="353"/>
      <c r="U990" s="353"/>
      <c r="V990" s="353"/>
      <c r="W990" s="200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200"/>
      <c r="AQ990" s="200"/>
      <c r="AR990" s="200"/>
      <c r="AS990" s="200"/>
      <c r="AT990" s="200"/>
    </row>
    <row r="991" spans="1:46" ht="16.5" customHeight="1">
      <c r="A991" s="432"/>
      <c r="B991" s="307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353"/>
      <c r="R991" s="353"/>
      <c r="S991" s="353"/>
      <c r="T991" s="353"/>
      <c r="U991" s="353"/>
      <c r="V991" s="353"/>
      <c r="W991" s="200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200"/>
      <c r="AQ991" s="200"/>
      <c r="AR991" s="200"/>
      <c r="AS991" s="200"/>
      <c r="AT991" s="200"/>
    </row>
    <row r="992" spans="1:46" ht="16.5" customHeight="1">
      <c r="A992" s="432"/>
      <c r="B992" s="307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353"/>
      <c r="R992" s="353"/>
      <c r="S992" s="353"/>
      <c r="T992" s="353"/>
      <c r="U992" s="353"/>
      <c r="V992" s="353"/>
      <c r="W992" s="200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200"/>
      <c r="AQ992" s="200"/>
      <c r="AR992" s="200"/>
      <c r="AS992" s="200"/>
      <c r="AT992" s="200"/>
    </row>
    <row r="993" spans="1:46" ht="16.5" customHeight="1">
      <c r="A993" s="432"/>
      <c r="B993" s="307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353"/>
      <c r="R993" s="353"/>
      <c r="S993" s="353"/>
      <c r="T993" s="353"/>
      <c r="U993" s="353"/>
      <c r="V993" s="353"/>
      <c r="W993" s="200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200"/>
      <c r="AQ993" s="200"/>
      <c r="AR993" s="200"/>
      <c r="AS993" s="200"/>
      <c r="AT993" s="200"/>
    </row>
    <row r="994" spans="1:46" ht="16.5" customHeight="1">
      <c r="A994" s="432"/>
      <c r="B994" s="307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353"/>
      <c r="R994" s="353"/>
      <c r="S994" s="353"/>
      <c r="T994" s="353"/>
      <c r="U994" s="353"/>
      <c r="V994" s="353"/>
      <c r="W994" s="200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200"/>
      <c r="AQ994" s="200"/>
      <c r="AR994" s="200"/>
      <c r="AS994" s="200"/>
      <c r="AT994" s="200"/>
    </row>
    <row r="995" spans="1:46" ht="16.5" customHeight="1">
      <c r="A995" s="432"/>
      <c r="B995" s="307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353"/>
      <c r="R995" s="353"/>
      <c r="S995" s="353"/>
      <c r="T995" s="353"/>
      <c r="U995" s="353"/>
      <c r="V995" s="353"/>
      <c r="W995" s="200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200"/>
      <c r="AQ995" s="200"/>
      <c r="AR995" s="200"/>
      <c r="AS995" s="200"/>
      <c r="AT995" s="200"/>
    </row>
    <row r="996" spans="1:46" ht="16.5" customHeight="1">
      <c r="A996" s="432"/>
      <c r="B996" s="307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353"/>
      <c r="R996" s="353"/>
      <c r="S996" s="353"/>
      <c r="T996" s="353"/>
      <c r="U996" s="353"/>
      <c r="V996" s="353"/>
      <c r="W996" s="200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200"/>
      <c r="AQ996" s="200"/>
      <c r="AR996" s="200"/>
      <c r="AS996" s="200"/>
      <c r="AT996" s="200"/>
    </row>
    <row r="997" spans="1:46" ht="16.5" customHeight="1">
      <c r="A997" s="432"/>
      <c r="B997" s="307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353"/>
      <c r="R997" s="353"/>
      <c r="S997" s="353"/>
      <c r="T997" s="353"/>
      <c r="U997" s="353"/>
      <c r="V997" s="353"/>
      <c r="W997" s="200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200"/>
      <c r="AQ997" s="200"/>
      <c r="AR997" s="200"/>
      <c r="AS997" s="200"/>
      <c r="AT997" s="200"/>
    </row>
    <row r="998" spans="1:46" ht="16.5" customHeight="1">
      <c r="A998" s="432"/>
      <c r="B998" s="307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353"/>
      <c r="R998" s="353"/>
      <c r="S998" s="353"/>
      <c r="T998" s="353"/>
      <c r="U998" s="353"/>
      <c r="V998" s="353"/>
      <c r="W998" s="200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200"/>
      <c r="AQ998" s="200"/>
      <c r="AR998" s="200"/>
      <c r="AS998" s="200"/>
      <c r="AT998" s="200"/>
    </row>
    <row r="999" spans="1:46" ht="16.5" customHeight="1">
      <c r="A999" s="432"/>
      <c r="B999" s="307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353"/>
      <c r="R999" s="353"/>
      <c r="S999" s="353"/>
      <c r="T999" s="353"/>
      <c r="U999" s="353"/>
      <c r="V999" s="353"/>
      <c r="W999" s="200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200"/>
      <c r="AQ999" s="200"/>
      <c r="AR999" s="200"/>
      <c r="AS999" s="200"/>
      <c r="AT999" s="200"/>
    </row>
    <row r="1000" spans="1:46" ht="16.5" customHeight="1">
      <c r="A1000" s="432"/>
      <c r="B1000" s="307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353"/>
      <c r="R1000" s="353"/>
      <c r="S1000" s="353"/>
      <c r="T1000" s="353"/>
      <c r="U1000" s="353"/>
      <c r="V1000" s="353"/>
      <c r="W1000" s="200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200"/>
      <c r="AQ1000" s="200"/>
      <c r="AR1000" s="200"/>
      <c r="AS1000" s="200"/>
      <c r="AT1000" s="200"/>
    </row>
    <row r="1001" spans="1:46" ht="16.5" customHeight="1">
      <c r="A1001" s="432"/>
      <c r="B1001" s="307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353"/>
      <c r="R1001" s="353"/>
      <c r="S1001" s="353"/>
      <c r="T1001" s="353"/>
      <c r="U1001" s="353"/>
      <c r="V1001" s="353"/>
      <c r="W1001" s="200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0"/>
      <c r="AK1001" s="200"/>
      <c r="AL1001" s="200"/>
      <c r="AM1001" s="200"/>
      <c r="AN1001" s="200"/>
      <c r="AO1001" s="200"/>
      <c r="AP1001" s="200"/>
      <c r="AQ1001" s="200"/>
      <c r="AR1001" s="200"/>
      <c r="AS1001" s="200"/>
      <c r="AT1001" s="200"/>
    </row>
    <row r="1002" spans="1:46" ht="16.5" customHeight="1">
      <c r="A1002" s="432"/>
      <c r="B1002" s="307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353"/>
      <c r="R1002" s="353"/>
      <c r="S1002" s="353"/>
      <c r="T1002" s="353"/>
      <c r="U1002" s="353"/>
      <c r="V1002" s="353"/>
      <c r="W1002" s="200"/>
      <c r="X1002" s="200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H1002" s="200"/>
      <c r="AI1002" s="200"/>
      <c r="AJ1002" s="200"/>
      <c r="AK1002" s="200"/>
      <c r="AL1002" s="200"/>
      <c r="AM1002" s="200"/>
      <c r="AN1002" s="200"/>
      <c r="AO1002" s="200"/>
      <c r="AP1002" s="200"/>
      <c r="AQ1002" s="200"/>
      <c r="AR1002" s="200"/>
      <c r="AS1002" s="200"/>
      <c r="AT1002" s="200"/>
    </row>
    <row r="1003" spans="1:46" ht="16.5" customHeight="1">
      <c r="A1003" s="432"/>
      <c r="B1003" s="307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353"/>
      <c r="R1003" s="353"/>
      <c r="S1003" s="353"/>
      <c r="T1003" s="353"/>
      <c r="U1003" s="353"/>
      <c r="V1003" s="353"/>
      <c r="W1003" s="200"/>
      <c r="X1003" s="200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H1003" s="200"/>
      <c r="AI1003" s="200"/>
      <c r="AJ1003" s="200"/>
      <c r="AK1003" s="200"/>
      <c r="AL1003" s="200"/>
      <c r="AM1003" s="200"/>
      <c r="AN1003" s="200"/>
      <c r="AO1003" s="200"/>
      <c r="AP1003" s="200"/>
      <c r="AQ1003" s="200"/>
      <c r="AR1003" s="200"/>
      <c r="AS1003" s="200"/>
      <c r="AT1003" s="200"/>
    </row>
    <row r="1004" spans="1:46" ht="16.5" customHeight="1">
      <c r="A1004" s="432"/>
      <c r="B1004" s="307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353"/>
      <c r="R1004" s="353"/>
      <c r="S1004" s="353"/>
      <c r="T1004" s="353"/>
      <c r="U1004" s="353"/>
      <c r="V1004" s="353"/>
      <c r="W1004" s="200"/>
      <c r="X1004" s="200"/>
      <c r="Y1004" s="200"/>
      <c r="Z1004" s="200"/>
      <c r="AA1004" s="200"/>
      <c r="AB1004" s="200"/>
      <c r="AC1004" s="200"/>
      <c r="AD1004" s="200"/>
      <c r="AE1004" s="200"/>
      <c r="AF1004" s="200"/>
      <c r="AG1004" s="200"/>
      <c r="AH1004" s="200"/>
      <c r="AI1004" s="200"/>
      <c r="AJ1004" s="200"/>
      <c r="AK1004" s="200"/>
      <c r="AL1004" s="200"/>
      <c r="AM1004" s="200"/>
      <c r="AN1004" s="200"/>
      <c r="AO1004" s="200"/>
      <c r="AP1004" s="200"/>
      <c r="AQ1004" s="200"/>
      <c r="AR1004" s="200"/>
      <c r="AS1004" s="200"/>
      <c r="AT1004" s="200"/>
    </row>
    <row r="1005" spans="1:46" ht="16.5" customHeight="1">
      <c r="A1005" s="432"/>
      <c r="B1005" s="307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353"/>
      <c r="R1005" s="353"/>
      <c r="S1005" s="353"/>
      <c r="T1005" s="353"/>
      <c r="U1005" s="353"/>
      <c r="V1005" s="353"/>
      <c r="W1005" s="200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0"/>
      <c r="AK1005" s="200"/>
      <c r="AL1005" s="200"/>
      <c r="AM1005" s="200"/>
      <c r="AN1005" s="200"/>
      <c r="AO1005" s="200"/>
      <c r="AP1005" s="200"/>
      <c r="AQ1005" s="200"/>
      <c r="AR1005" s="200"/>
      <c r="AS1005" s="200"/>
      <c r="AT1005" s="200"/>
    </row>
    <row r="1006" spans="1:46" ht="16.5" customHeight="1">
      <c r="A1006" s="432"/>
      <c r="B1006" s="307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353"/>
      <c r="R1006" s="353"/>
      <c r="S1006" s="353"/>
      <c r="T1006" s="353"/>
      <c r="U1006" s="353"/>
      <c r="V1006" s="353"/>
      <c r="W1006" s="200"/>
      <c r="X1006" s="200"/>
      <c r="Y1006" s="200"/>
      <c r="Z1006" s="200"/>
      <c r="AA1006" s="200"/>
      <c r="AB1006" s="200"/>
      <c r="AC1006" s="200"/>
      <c r="AD1006" s="200"/>
      <c r="AE1006" s="200"/>
      <c r="AF1006" s="200"/>
      <c r="AG1006" s="200"/>
      <c r="AH1006" s="200"/>
      <c r="AI1006" s="200"/>
      <c r="AJ1006" s="200"/>
      <c r="AK1006" s="200"/>
      <c r="AL1006" s="200"/>
      <c r="AM1006" s="200"/>
      <c r="AN1006" s="200"/>
      <c r="AO1006" s="200"/>
      <c r="AP1006" s="200"/>
      <c r="AQ1006" s="200"/>
      <c r="AR1006" s="200"/>
      <c r="AS1006" s="200"/>
      <c r="AT1006" s="200"/>
    </row>
    <row r="1007" spans="1:46" ht="16.5" customHeight="1">
      <c r="A1007" s="432"/>
      <c r="B1007" s="307"/>
      <c r="C1007" s="200"/>
      <c r="D1007" s="200"/>
      <c r="E1007" s="200"/>
      <c r="F1007" s="200"/>
      <c r="G1007" s="200"/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353"/>
      <c r="R1007" s="353"/>
      <c r="S1007" s="353"/>
      <c r="T1007" s="353"/>
      <c r="U1007" s="353"/>
      <c r="V1007" s="353"/>
      <c r="W1007" s="200"/>
      <c r="X1007" s="200"/>
      <c r="Y1007" s="200"/>
      <c r="Z1007" s="200"/>
      <c r="AA1007" s="200"/>
      <c r="AB1007" s="200"/>
      <c r="AC1007" s="200"/>
      <c r="AD1007" s="200"/>
      <c r="AE1007" s="200"/>
      <c r="AF1007" s="200"/>
      <c r="AG1007" s="200"/>
      <c r="AH1007" s="200"/>
      <c r="AI1007" s="200"/>
      <c r="AJ1007" s="200"/>
      <c r="AK1007" s="200"/>
      <c r="AL1007" s="200"/>
      <c r="AM1007" s="200"/>
      <c r="AN1007" s="200"/>
      <c r="AO1007" s="200"/>
      <c r="AP1007" s="200"/>
      <c r="AQ1007" s="200"/>
      <c r="AR1007" s="200"/>
      <c r="AS1007" s="200"/>
      <c r="AT1007" s="200"/>
    </row>
    <row r="1008" spans="1:46" ht="16.5" customHeight="1">
      <c r="A1008" s="432"/>
      <c r="B1008" s="307"/>
      <c r="C1008" s="200"/>
      <c r="D1008" s="200"/>
      <c r="E1008" s="200"/>
      <c r="F1008" s="200"/>
      <c r="G1008" s="200"/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353"/>
      <c r="R1008" s="353"/>
      <c r="S1008" s="353"/>
      <c r="T1008" s="353"/>
      <c r="U1008" s="353"/>
      <c r="V1008" s="353"/>
      <c r="W1008" s="200"/>
      <c r="X1008" s="200"/>
      <c r="Y1008" s="200"/>
      <c r="Z1008" s="200"/>
      <c r="AA1008" s="200"/>
      <c r="AB1008" s="200"/>
      <c r="AC1008" s="200"/>
      <c r="AD1008" s="200"/>
      <c r="AE1008" s="200"/>
      <c r="AF1008" s="200"/>
      <c r="AG1008" s="200"/>
      <c r="AH1008" s="200"/>
      <c r="AI1008" s="200"/>
      <c r="AJ1008" s="200"/>
      <c r="AK1008" s="200"/>
      <c r="AL1008" s="200"/>
      <c r="AM1008" s="200"/>
      <c r="AN1008" s="200"/>
      <c r="AO1008" s="200"/>
      <c r="AP1008" s="200"/>
      <c r="AQ1008" s="200"/>
      <c r="AR1008" s="200"/>
      <c r="AS1008" s="200"/>
      <c r="AT1008" s="200"/>
    </row>
    <row r="1009" spans="1:46" ht="16.5" customHeight="1">
      <c r="A1009" s="432"/>
      <c r="B1009" s="307"/>
      <c r="C1009" s="200"/>
      <c r="D1009" s="200"/>
      <c r="E1009" s="200"/>
      <c r="F1009" s="200"/>
      <c r="G1009" s="200"/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353"/>
      <c r="R1009" s="353"/>
      <c r="S1009" s="353"/>
      <c r="T1009" s="353"/>
      <c r="U1009" s="353"/>
      <c r="V1009" s="353"/>
      <c r="W1009" s="200"/>
      <c r="X1009" s="200"/>
      <c r="Y1009" s="200"/>
      <c r="Z1009" s="200"/>
      <c r="AA1009" s="200"/>
      <c r="AB1009" s="200"/>
      <c r="AC1009" s="200"/>
      <c r="AD1009" s="200"/>
      <c r="AE1009" s="200"/>
      <c r="AF1009" s="200"/>
      <c r="AG1009" s="200"/>
      <c r="AH1009" s="200"/>
      <c r="AI1009" s="200"/>
      <c r="AJ1009" s="200"/>
      <c r="AK1009" s="200"/>
      <c r="AL1009" s="200"/>
      <c r="AM1009" s="200"/>
      <c r="AN1009" s="200"/>
      <c r="AO1009" s="200"/>
      <c r="AP1009" s="200"/>
      <c r="AQ1009" s="200"/>
      <c r="AR1009" s="200"/>
      <c r="AS1009" s="200"/>
      <c r="AT1009" s="200"/>
    </row>
    <row r="1010" spans="1:46" ht="16.5" customHeight="1">
      <c r="A1010" s="432"/>
      <c r="B1010" s="307"/>
      <c r="C1010" s="200"/>
      <c r="D1010" s="200"/>
      <c r="E1010" s="200"/>
      <c r="F1010" s="200"/>
      <c r="G1010" s="200"/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353"/>
      <c r="R1010" s="353"/>
      <c r="S1010" s="353"/>
      <c r="T1010" s="353"/>
      <c r="U1010" s="353"/>
      <c r="V1010" s="353"/>
      <c r="W1010" s="200"/>
      <c r="X1010" s="200"/>
      <c r="Y1010" s="200"/>
      <c r="Z1010" s="200"/>
      <c r="AA1010" s="200"/>
      <c r="AB1010" s="200"/>
      <c r="AC1010" s="200"/>
      <c r="AD1010" s="200"/>
      <c r="AE1010" s="200"/>
      <c r="AF1010" s="200"/>
      <c r="AG1010" s="200"/>
      <c r="AH1010" s="200"/>
      <c r="AI1010" s="200"/>
      <c r="AJ1010" s="200"/>
      <c r="AK1010" s="200"/>
      <c r="AL1010" s="200"/>
      <c r="AM1010" s="200"/>
      <c r="AN1010" s="200"/>
      <c r="AO1010" s="200"/>
      <c r="AP1010" s="200"/>
      <c r="AQ1010" s="200"/>
      <c r="AR1010" s="200"/>
      <c r="AS1010" s="200"/>
      <c r="AT1010" s="200"/>
    </row>
    <row r="1011" spans="1:46" ht="16.5" customHeight="1">
      <c r="A1011" s="432"/>
      <c r="B1011" s="307"/>
      <c r="C1011" s="200"/>
      <c r="D1011" s="200"/>
      <c r="E1011" s="200"/>
      <c r="F1011" s="200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353"/>
      <c r="R1011" s="353"/>
      <c r="S1011" s="353"/>
      <c r="T1011" s="353"/>
      <c r="U1011" s="353"/>
      <c r="V1011" s="353"/>
      <c r="W1011" s="200"/>
      <c r="X1011" s="200"/>
      <c r="Y1011" s="200"/>
      <c r="Z1011" s="200"/>
      <c r="AA1011" s="200"/>
      <c r="AB1011" s="200"/>
      <c r="AC1011" s="200"/>
      <c r="AD1011" s="200"/>
      <c r="AE1011" s="200"/>
      <c r="AF1011" s="200"/>
      <c r="AG1011" s="200"/>
      <c r="AH1011" s="200"/>
      <c r="AI1011" s="200"/>
      <c r="AJ1011" s="200"/>
      <c r="AK1011" s="200"/>
      <c r="AL1011" s="200"/>
      <c r="AM1011" s="200"/>
      <c r="AN1011" s="200"/>
      <c r="AO1011" s="200"/>
      <c r="AP1011" s="200"/>
      <c r="AQ1011" s="200"/>
      <c r="AR1011" s="200"/>
      <c r="AS1011" s="200"/>
      <c r="AT1011" s="200"/>
    </row>
    <row r="1012" spans="1:46" ht="16.5" customHeight="1">
      <c r="A1012" s="432"/>
      <c r="B1012" s="307"/>
      <c r="C1012" s="200"/>
      <c r="D1012" s="200"/>
      <c r="E1012" s="200"/>
      <c r="F1012" s="200"/>
      <c r="G1012" s="200"/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353"/>
      <c r="R1012" s="353"/>
      <c r="S1012" s="353"/>
      <c r="T1012" s="353"/>
      <c r="U1012" s="353"/>
      <c r="V1012" s="353"/>
      <c r="W1012" s="200"/>
      <c r="X1012" s="200"/>
      <c r="Y1012" s="200"/>
      <c r="Z1012" s="200"/>
      <c r="AA1012" s="200"/>
      <c r="AB1012" s="200"/>
      <c r="AC1012" s="200"/>
      <c r="AD1012" s="200"/>
      <c r="AE1012" s="200"/>
      <c r="AF1012" s="200"/>
      <c r="AG1012" s="200"/>
      <c r="AH1012" s="200"/>
      <c r="AI1012" s="200"/>
      <c r="AJ1012" s="200"/>
      <c r="AK1012" s="200"/>
      <c r="AL1012" s="200"/>
      <c r="AM1012" s="200"/>
      <c r="AN1012" s="200"/>
      <c r="AO1012" s="200"/>
      <c r="AP1012" s="200"/>
      <c r="AQ1012" s="200"/>
      <c r="AR1012" s="200"/>
      <c r="AS1012" s="200"/>
      <c r="AT1012" s="200"/>
    </row>
    <row r="1013" spans="1:46" ht="16.5" customHeight="1">
      <c r="A1013" s="432"/>
      <c r="B1013" s="307"/>
      <c r="C1013" s="200"/>
      <c r="D1013" s="200"/>
      <c r="E1013" s="200"/>
      <c r="F1013" s="200"/>
      <c r="G1013" s="200"/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353"/>
      <c r="R1013" s="353"/>
      <c r="S1013" s="353"/>
      <c r="T1013" s="353"/>
      <c r="U1013" s="353"/>
      <c r="V1013" s="353"/>
      <c r="W1013" s="200"/>
      <c r="X1013" s="200"/>
      <c r="Y1013" s="200"/>
      <c r="Z1013" s="200"/>
      <c r="AA1013" s="200"/>
      <c r="AB1013" s="200"/>
      <c r="AC1013" s="200"/>
      <c r="AD1013" s="200"/>
      <c r="AE1013" s="200"/>
      <c r="AF1013" s="200"/>
      <c r="AG1013" s="200"/>
      <c r="AH1013" s="200"/>
      <c r="AI1013" s="200"/>
      <c r="AJ1013" s="200"/>
      <c r="AK1013" s="200"/>
      <c r="AL1013" s="200"/>
      <c r="AM1013" s="200"/>
      <c r="AN1013" s="200"/>
      <c r="AO1013" s="200"/>
      <c r="AP1013" s="200"/>
      <c r="AQ1013" s="200"/>
      <c r="AR1013" s="200"/>
      <c r="AS1013" s="200"/>
      <c r="AT1013" s="200"/>
    </row>
    <row r="1014" spans="1:46" ht="16.5" customHeight="1">
      <c r="A1014" s="432"/>
      <c r="B1014" s="307"/>
      <c r="C1014" s="200"/>
      <c r="D1014" s="200"/>
      <c r="E1014" s="200"/>
      <c r="F1014" s="200"/>
      <c r="G1014" s="200"/>
      <c r="H1014" s="200"/>
      <c r="I1014" s="200"/>
      <c r="J1014" s="200"/>
      <c r="K1014" s="200"/>
      <c r="L1014" s="200"/>
      <c r="M1014" s="200"/>
      <c r="N1014" s="200"/>
      <c r="O1014" s="200"/>
      <c r="P1014" s="200"/>
      <c r="Q1014" s="353"/>
      <c r="R1014" s="353"/>
      <c r="S1014" s="353"/>
      <c r="T1014" s="353"/>
      <c r="U1014" s="353"/>
      <c r="V1014" s="353"/>
      <c r="W1014" s="200"/>
      <c r="X1014" s="200"/>
      <c r="Y1014" s="200"/>
      <c r="Z1014" s="200"/>
      <c r="AA1014" s="200"/>
      <c r="AB1014" s="200"/>
      <c r="AC1014" s="200"/>
      <c r="AD1014" s="200"/>
      <c r="AE1014" s="200"/>
      <c r="AF1014" s="200"/>
      <c r="AG1014" s="200"/>
      <c r="AH1014" s="200"/>
      <c r="AI1014" s="200"/>
      <c r="AJ1014" s="200"/>
      <c r="AK1014" s="200"/>
      <c r="AL1014" s="200"/>
      <c r="AM1014" s="200"/>
      <c r="AN1014" s="200"/>
      <c r="AO1014" s="200"/>
      <c r="AP1014" s="200"/>
      <c r="AQ1014" s="200"/>
      <c r="AR1014" s="200"/>
      <c r="AS1014" s="200"/>
      <c r="AT1014" s="200"/>
    </row>
    <row r="1015" spans="1:46" ht="16.5" customHeight="1">
      <c r="A1015" s="432"/>
      <c r="B1015" s="307"/>
      <c r="C1015" s="200"/>
      <c r="D1015" s="200"/>
      <c r="E1015" s="200"/>
      <c r="F1015" s="200"/>
      <c r="G1015" s="200"/>
      <c r="H1015" s="200"/>
      <c r="I1015" s="200"/>
      <c r="J1015" s="200"/>
      <c r="K1015" s="200"/>
      <c r="L1015" s="200"/>
      <c r="M1015" s="200"/>
      <c r="N1015" s="200"/>
      <c r="O1015" s="200"/>
      <c r="P1015" s="200"/>
      <c r="Q1015" s="353"/>
      <c r="R1015" s="353"/>
      <c r="S1015" s="353"/>
      <c r="T1015" s="353"/>
      <c r="U1015" s="353"/>
      <c r="V1015" s="353"/>
      <c r="W1015" s="200"/>
      <c r="X1015" s="200"/>
      <c r="Y1015" s="200"/>
      <c r="Z1015" s="200"/>
      <c r="AA1015" s="200"/>
      <c r="AB1015" s="200"/>
      <c r="AC1015" s="200"/>
      <c r="AD1015" s="200"/>
      <c r="AE1015" s="200"/>
      <c r="AF1015" s="200"/>
      <c r="AG1015" s="200"/>
      <c r="AH1015" s="200"/>
      <c r="AI1015" s="200"/>
      <c r="AJ1015" s="200"/>
      <c r="AK1015" s="200"/>
      <c r="AL1015" s="200"/>
      <c r="AM1015" s="200"/>
      <c r="AN1015" s="200"/>
      <c r="AO1015" s="200"/>
      <c r="AP1015" s="200"/>
      <c r="AQ1015" s="200"/>
      <c r="AR1015" s="200"/>
      <c r="AS1015" s="200"/>
      <c r="AT1015" s="200"/>
    </row>
    <row r="1016" spans="1:46" ht="16.5" customHeight="1">
      <c r="A1016" s="432"/>
      <c r="B1016" s="307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353"/>
      <c r="R1016" s="353"/>
      <c r="S1016" s="353"/>
      <c r="T1016" s="353"/>
      <c r="U1016" s="353"/>
      <c r="V1016" s="353"/>
      <c r="W1016" s="200"/>
      <c r="X1016" s="200"/>
      <c r="Y1016" s="200"/>
      <c r="Z1016" s="200"/>
      <c r="AA1016" s="200"/>
      <c r="AB1016" s="200"/>
      <c r="AC1016" s="200"/>
      <c r="AD1016" s="200"/>
      <c r="AE1016" s="200"/>
      <c r="AF1016" s="200"/>
      <c r="AG1016" s="200"/>
      <c r="AH1016" s="200"/>
      <c r="AI1016" s="200"/>
      <c r="AJ1016" s="200"/>
      <c r="AK1016" s="200"/>
      <c r="AL1016" s="200"/>
      <c r="AM1016" s="200"/>
      <c r="AN1016" s="200"/>
      <c r="AO1016" s="200"/>
      <c r="AP1016" s="200"/>
      <c r="AQ1016" s="200"/>
      <c r="AR1016" s="200"/>
      <c r="AS1016" s="200"/>
      <c r="AT1016" s="200"/>
    </row>
    <row r="1017" spans="1:46" ht="16.5" customHeight="1">
      <c r="A1017" s="432"/>
      <c r="B1017" s="307"/>
      <c r="C1017" s="200"/>
      <c r="D1017" s="200"/>
      <c r="E1017" s="200"/>
      <c r="F1017" s="200"/>
      <c r="G1017" s="200"/>
      <c r="H1017" s="200"/>
      <c r="I1017" s="200"/>
      <c r="J1017" s="200"/>
      <c r="K1017" s="200"/>
      <c r="L1017" s="200"/>
      <c r="M1017" s="200"/>
      <c r="N1017" s="200"/>
      <c r="O1017" s="200"/>
      <c r="P1017" s="200"/>
      <c r="Q1017" s="353"/>
      <c r="R1017" s="353"/>
      <c r="S1017" s="353"/>
      <c r="T1017" s="353"/>
      <c r="U1017" s="353"/>
      <c r="V1017" s="353"/>
      <c r="W1017" s="200"/>
      <c r="X1017" s="200"/>
      <c r="Y1017" s="200"/>
      <c r="Z1017" s="200"/>
      <c r="AA1017" s="200"/>
      <c r="AB1017" s="200"/>
      <c r="AC1017" s="200"/>
      <c r="AD1017" s="200"/>
      <c r="AE1017" s="200"/>
      <c r="AF1017" s="200"/>
      <c r="AG1017" s="200"/>
      <c r="AH1017" s="200"/>
      <c r="AI1017" s="200"/>
      <c r="AJ1017" s="200"/>
      <c r="AK1017" s="200"/>
      <c r="AL1017" s="200"/>
      <c r="AM1017" s="200"/>
      <c r="AN1017" s="200"/>
      <c r="AO1017" s="200"/>
      <c r="AP1017" s="200"/>
      <c r="AQ1017" s="200"/>
      <c r="AR1017" s="200"/>
      <c r="AS1017" s="200"/>
      <c r="AT1017" s="200"/>
    </row>
    <row r="1018" spans="1:46" ht="16.5" customHeight="1">
      <c r="A1018" s="432"/>
      <c r="B1018" s="307"/>
      <c r="C1018" s="200"/>
      <c r="D1018" s="200"/>
      <c r="E1018" s="200"/>
      <c r="F1018" s="200"/>
      <c r="G1018" s="200"/>
      <c r="H1018" s="200"/>
      <c r="I1018" s="200"/>
      <c r="J1018" s="200"/>
      <c r="K1018" s="200"/>
      <c r="L1018" s="200"/>
      <c r="M1018" s="200"/>
      <c r="N1018" s="200"/>
      <c r="O1018" s="200"/>
      <c r="P1018" s="200"/>
      <c r="Q1018" s="353"/>
      <c r="R1018" s="353"/>
      <c r="S1018" s="353"/>
      <c r="T1018" s="353"/>
      <c r="U1018" s="353"/>
      <c r="V1018" s="353"/>
      <c r="W1018" s="200"/>
      <c r="X1018" s="200"/>
      <c r="Y1018" s="200"/>
      <c r="Z1018" s="200"/>
      <c r="AA1018" s="200"/>
      <c r="AB1018" s="200"/>
      <c r="AC1018" s="200"/>
      <c r="AD1018" s="200"/>
      <c r="AE1018" s="200"/>
      <c r="AF1018" s="200"/>
      <c r="AG1018" s="200"/>
      <c r="AH1018" s="200"/>
      <c r="AI1018" s="200"/>
      <c r="AJ1018" s="200"/>
      <c r="AK1018" s="200"/>
      <c r="AL1018" s="200"/>
      <c r="AM1018" s="200"/>
      <c r="AN1018" s="200"/>
      <c r="AO1018" s="200"/>
      <c r="AP1018" s="200"/>
      <c r="AQ1018" s="200"/>
      <c r="AR1018" s="200"/>
      <c r="AS1018" s="200"/>
      <c r="AT1018" s="200"/>
    </row>
    <row r="1019" spans="1:46" ht="16.5" customHeight="1">
      <c r="A1019" s="432"/>
      <c r="B1019" s="307"/>
      <c r="C1019" s="200"/>
      <c r="D1019" s="200"/>
      <c r="E1019" s="200"/>
      <c r="F1019" s="200"/>
      <c r="G1019" s="200"/>
      <c r="H1019" s="200"/>
      <c r="I1019" s="200"/>
      <c r="J1019" s="200"/>
      <c r="K1019" s="200"/>
      <c r="L1019" s="200"/>
      <c r="M1019" s="200"/>
      <c r="N1019" s="200"/>
      <c r="O1019" s="200"/>
      <c r="P1019" s="200"/>
      <c r="Q1019" s="353"/>
      <c r="R1019" s="353"/>
      <c r="S1019" s="353"/>
      <c r="T1019" s="353"/>
      <c r="U1019" s="353"/>
      <c r="V1019" s="353"/>
      <c r="W1019" s="200"/>
      <c r="X1019" s="200"/>
      <c r="Y1019" s="200"/>
      <c r="Z1019" s="200"/>
      <c r="AA1019" s="200"/>
      <c r="AB1019" s="200"/>
      <c r="AC1019" s="200"/>
      <c r="AD1019" s="200"/>
      <c r="AE1019" s="200"/>
      <c r="AF1019" s="200"/>
      <c r="AG1019" s="200"/>
      <c r="AH1019" s="200"/>
      <c r="AI1019" s="200"/>
      <c r="AJ1019" s="200"/>
      <c r="AK1019" s="200"/>
      <c r="AL1019" s="200"/>
      <c r="AM1019" s="200"/>
      <c r="AN1019" s="200"/>
      <c r="AO1019" s="200"/>
      <c r="AP1019" s="200"/>
      <c r="AQ1019" s="200"/>
      <c r="AR1019" s="200"/>
      <c r="AS1019" s="200"/>
      <c r="AT1019" s="200"/>
    </row>
    <row r="1020" spans="1:46" ht="16.5" customHeight="1">
      <c r="A1020" s="432"/>
      <c r="B1020" s="307"/>
      <c r="C1020" s="200"/>
      <c r="D1020" s="200"/>
      <c r="E1020" s="200"/>
      <c r="F1020" s="200"/>
      <c r="G1020" s="200"/>
      <c r="H1020" s="200"/>
      <c r="I1020" s="200"/>
      <c r="J1020" s="200"/>
      <c r="K1020" s="200"/>
      <c r="L1020" s="200"/>
      <c r="M1020" s="200"/>
      <c r="N1020" s="200"/>
      <c r="O1020" s="200"/>
      <c r="P1020" s="200"/>
      <c r="Q1020" s="353"/>
      <c r="R1020" s="353"/>
      <c r="S1020" s="353"/>
      <c r="T1020" s="353"/>
      <c r="U1020" s="353"/>
      <c r="V1020" s="353"/>
      <c r="W1020" s="200"/>
      <c r="X1020" s="200"/>
      <c r="Y1020" s="200"/>
      <c r="Z1020" s="200"/>
      <c r="AA1020" s="200"/>
      <c r="AB1020" s="200"/>
      <c r="AC1020" s="200"/>
      <c r="AD1020" s="200"/>
      <c r="AE1020" s="200"/>
      <c r="AF1020" s="200"/>
      <c r="AG1020" s="200"/>
      <c r="AH1020" s="200"/>
      <c r="AI1020" s="200"/>
      <c r="AJ1020" s="200"/>
      <c r="AK1020" s="200"/>
      <c r="AL1020" s="200"/>
      <c r="AM1020" s="200"/>
      <c r="AN1020" s="200"/>
      <c r="AO1020" s="200"/>
      <c r="AP1020" s="200"/>
      <c r="AQ1020" s="200"/>
      <c r="AR1020" s="200"/>
      <c r="AS1020" s="200"/>
      <c r="AT1020" s="200"/>
    </row>
    <row r="1021" spans="1:46" ht="16.5" customHeight="1">
      <c r="A1021" s="432"/>
      <c r="B1021" s="307"/>
      <c r="C1021" s="200"/>
      <c r="D1021" s="200"/>
      <c r="E1021" s="200"/>
      <c r="F1021" s="200"/>
      <c r="G1021" s="200"/>
      <c r="H1021" s="200"/>
      <c r="I1021" s="200"/>
      <c r="J1021" s="200"/>
      <c r="K1021" s="200"/>
      <c r="L1021" s="200"/>
      <c r="M1021" s="200"/>
      <c r="N1021" s="200"/>
      <c r="O1021" s="200"/>
      <c r="P1021" s="200"/>
      <c r="Q1021" s="353"/>
      <c r="R1021" s="353"/>
      <c r="S1021" s="353"/>
      <c r="T1021" s="353"/>
      <c r="U1021" s="353"/>
      <c r="V1021" s="353"/>
      <c r="W1021" s="200"/>
      <c r="X1021" s="200"/>
      <c r="Y1021" s="200"/>
      <c r="Z1021" s="200"/>
      <c r="AA1021" s="200"/>
      <c r="AB1021" s="200"/>
      <c r="AC1021" s="200"/>
      <c r="AD1021" s="200"/>
      <c r="AE1021" s="200"/>
      <c r="AF1021" s="200"/>
      <c r="AG1021" s="200"/>
      <c r="AH1021" s="200"/>
      <c r="AI1021" s="200"/>
      <c r="AJ1021" s="200"/>
      <c r="AK1021" s="200"/>
      <c r="AL1021" s="200"/>
      <c r="AM1021" s="200"/>
      <c r="AN1021" s="200"/>
      <c r="AO1021" s="200"/>
      <c r="AP1021" s="200"/>
      <c r="AQ1021" s="200"/>
      <c r="AR1021" s="200"/>
      <c r="AS1021" s="200"/>
      <c r="AT1021" s="200"/>
    </row>
    <row r="1022" spans="1:46" ht="16.5" customHeight="1">
      <c r="A1022" s="432"/>
      <c r="B1022" s="307"/>
      <c r="C1022" s="200"/>
      <c r="D1022" s="200"/>
      <c r="E1022" s="200"/>
      <c r="F1022" s="200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200"/>
      <c r="Q1022" s="353"/>
      <c r="R1022" s="353"/>
      <c r="S1022" s="353"/>
      <c r="T1022" s="353"/>
      <c r="U1022" s="353"/>
      <c r="V1022" s="353"/>
      <c r="W1022" s="200"/>
      <c r="X1022" s="200"/>
      <c r="Y1022" s="200"/>
      <c r="Z1022" s="200"/>
      <c r="AA1022" s="200"/>
      <c r="AB1022" s="200"/>
      <c r="AC1022" s="200"/>
      <c r="AD1022" s="200"/>
      <c r="AE1022" s="200"/>
      <c r="AF1022" s="200"/>
      <c r="AG1022" s="200"/>
      <c r="AH1022" s="200"/>
      <c r="AI1022" s="200"/>
      <c r="AJ1022" s="200"/>
      <c r="AK1022" s="200"/>
      <c r="AL1022" s="200"/>
      <c r="AM1022" s="200"/>
      <c r="AN1022" s="200"/>
      <c r="AO1022" s="200"/>
      <c r="AP1022" s="200"/>
      <c r="AQ1022" s="200"/>
      <c r="AR1022" s="200"/>
      <c r="AS1022" s="200"/>
      <c r="AT1022" s="200"/>
    </row>
    <row r="1023" spans="1:46" ht="16.5" customHeight="1">
      <c r="A1023" s="432"/>
      <c r="B1023" s="307"/>
      <c r="C1023" s="200"/>
      <c r="D1023" s="200"/>
      <c r="E1023" s="200"/>
      <c r="F1023" s="200"/>
      <c r="G1023" s="200"/>
      <c r="H1023" s="200"/>
      <c r="I1023" s="200"/>
      <c r="J1023" s="200"/>
      <c r="K1023" s="200"/>
      <c r="L1023" s="200"/>
      <c r="M1023" s="200"/>
      <c r="N1023" s="200"/>
      <c r="O1023" s="200"/>
      <c r="P1023" s="200"/>
      <c r="Q1023" s="353"/>
      <c r="R1023" s="353"/>
      <c r="S1023" s="353"/>
      <c r="T1023" s="353"/>
      <c r="U1023" s="353"/>
      <c r="V1023" s="353"/>
      <c r="W1023" s="200"/>
      <c r="X1023" s="200"/>
      <c r="Y1023" s="200"/>
      <c r="Z1023" s="200"/>
      <c r="AA1023" s="200"/>
      <c r="AB1023" s="200"/>
      <c r="AC1023" s="200"/>
      <c r="AD1023" s="200"/>
      <c r="AE1023" s="200"/>
      <c r="AF1023" s="200"/>
      <c r="AG1023" s="200"/>
      <c r="AH1023" s="200"/>
      <c r="AI1023" s="200"/>
      <c r="AJ1023" s="200"/>
      <c r="AK1023" s="200"/>
      <c r="AL1023" s="200"/>
      <c r="AM1023" s="200"/>
      <c r="AN1023" s="200"/>
      <c r="AO1023" s="200"/>
      <c r="AP1023" s="200"/>
      <c r="AQ1023" s="200"/>
      <c r="AR1023" s="200"/>
      <c r="AS1023" s="200"/>
      <c r="AT1023" s="200"/>
    </row>
    <row r="1024" spans="1:46" ht="16.5" customHeight="1">
      <c r="A1024" s="432"/>
      <c r="B1024" s="307"/>
      <c r="C1024" s="200"/>
      <c r="D1024" s="200"/>
      <c r="E1024" s="200"/>
      <c r="F1024" s="200"/>
      <c r="G1024" s="200"/>
      <c r="H1024" s="200"/>
      <c r="I1024" s="200"/>
      <c r="J1024" s="200"/>
      <c r="K1024" s="200"/>
      <c r="L1024" s="200"/>
      <c r="M1024" s="200"/>
      <c r="N1024" s="200"/>
      <c r="O1024" s="200"/>
      <c r="P1024" s="200"/>
      <c r="Q1024" s="353"/>
      <c r="R1024" s="353"/>
      <c r="S1024" s="353"/>
      <c r="T1024" s="353"/>
      <c r="U1024" s="353"/>
      <c r="V1024" s="353"/>
      <c r="W1024" s="200"/>
      <c r="X1024" s="200"/>
      <c r="Y1024" s="200"/>
      <c r="Z1024" s="200"/>
      <c r="AA1024" s="200"/>
      <c r="AB1024" s="200"/>
      <c r="AC1024" s="200"/>
      <c r="AD1024" s="200"/>
      <c r="AE1024" s="200"/>
      <c r="AF1024" s="200"/>
      <c r="AG1024" s="200"/>
      <c r="AH1024" s="200"/>
      <c r="AI1024" s="200"/>
      <c r="AJ1024" s="200"/>
      <c r="AK1024" s="200"/>
      <c r="AL1024" s="200"/>
      <c r="AM1024" s="200"/>
      <c r="AN1024" s="200"/>
      <c r="AO1024" s="200"/>
      <c r="AP1024" s="200"/>
      <c r="AQ1024" s="200"/>
      <c r="AR1024" s="200"/>
      <c r="AS1024" s="200"/>
      <c r="AT1024" s="200"/>
    </row>
    <row r="1025" spans="1:46" ht="16.5" customHeight="1">
      <c r="A1025" s="432"/>
      <c r="B1025" s="307"/>
      <c r="C1025" s="200"/>
      <c r="D1025" s="200"/>
      <c r="E1025" s="200"/>
      <c r="F1025" s="200"/>
      <c r="G1025" s="200"/>
      <c r="H1025" s="200"/>
      <c r="I1025" s="200"/>
      <c r="J1025" s="200"/>
      <c r="K1025" s="200"/>
      <c r="L1025" s="200"/>
      <c r="M1025" s="200"/>
      <c r="N1025" s="200"/>
      <c r="O1025" s="200"/>
      <c r="P1025" s="200"/>
      <c r="Q1025" s="353"/>
      <c r="R1025" s="353"/>
      <c r="S1025" s="353"/>
      <c r="T1025" s="353"/>
      <c r="U1025" s="353"/>
      <c r="V1025" s="353"/>
      <c r="W1025" s="200"/>
      <c r="X1025" s="200"/>
      <c r="Y1025" s="200"/>
      <c r="Z1025" s="200"/>
      <c r="AA1025" s="200"/>
      <c r="AB1025" s="200"/>
      <c r="AC1025" s="200"/>
      <c r="AD1025" s="200"/>
      <c r="AE1025" s="200"/>
      <c r="AF1025" s="200"/>
      <c r="AG1025" s="200"/>
      <c r="AH1025" s="200"/>
      <c r="AI1025" s="200"/>
      <c r="AJ1025" s="200"/>
      <c r="AK1025" s="200"/>
      <c r="AL1025" s="200"/>
      <c r="AM1025" s="200"/>
      <c r="AN1025" s="200"/>
      <c r="AO1025" s="200"/>
      <c r="AP1025" s="200"/>
      <c r="AQ1025" s="200"/>
      <c r="AR1025" s="200"/>
      <c r="AS1025" s="200"/>
      <c r="AT1025" s="200"/>
    </row>
    <row r="1026" spans="1:46" ht="16.5" customHeight="1">
      <c r="A1026" s="432"/>
      <c r="B1026" s="307"/>
      <c r="C1026" s="200"/>
      <c r="D1026" s="200"/>
      <c r="E1026" s="200"/>
      <c r="F1026" s="200"/>
      <c r="G1026" s="200"/>
      <c r="H1026" s="200"/>
      <c r="I1026" s="200"/>
      <c r="J1026" s="200"/>
      <c r="K1026" s="200"/>
      <c r="L1026" s="200"/>
      <c r="M1026" s="200"/>
      <c r="N1026" s="200"/>
      <c r="O1026" s="200"/>
      <c r="P1026" s="200"/>
      <c r="Q1026" s="353"/>
      <c r="R1026" s="353"/>
      <c r="S1026" s="353"/>
      <c r="T1026" s="353"/>
      <c r="U1026" s="353"/>
      <c r="V1026" s="353"/>
      <c r="W1026" s="200"/>
      <c r="X1026" s="200"/>
      <c r="Y1026" s="200"/>
      <c r="Z1026" s="200"/>
      <c r="AA1026" s="200"/>
      <c r="AB1026" s="200"/>
      <c r="AC1026" s="200"/>
      <c r="AD1026" s="200"/>
      <c r="AE1026" s="200"/>
      <c r="AF1026" s="200"/>
      <c r="AG1026" s="200"/>
      <c r="AH1026" s="200"/>
      <c r="AI1026" s="200"/>
      <c r="AJ1026" s="200"/>
      <c r="AK1026" s="200"/>
      <c r="AL1026" s="200"/>
      <c r="AM1026" s="200"/>
      <c r="AN1026" s="200"/>
      <c r="AO1026" s="200"/>
      <c r="AP1026" s="200"/>
      <c r="AQ1026" s="200"/>
      <c r="AR1026" s="200"/>
      <c r="AS1026" s="200"/>
      <c r="AT1026" s="200"/>
    </row>
    <row r="1027" spans="1:46" ht="16.5" customHeight="1">
      <c r="A1027" s="432"/>
      <c r="B1027" s="307"/>
      <c r="C1027" s="200"/>
      <c r="D1027" s="200"/>
      <c r="E1027" s="200"/>
      <c r="F1027" s="200"/>
      <c r="G1027" s="200"/>
      <c r="H1027" s="200"/>
      <c r="I1027" s="200"/>
      <c r="J1027" s="200"/>
      <c r="K1027" s="200"/>
      <c r="L1027" s="200"/>
      <c r="M1027" s="200"/>
      <c r="N1027" s="200"/>
      <c r="O1027" s="200"/>
      <c r="P1027" s="200"/>
      <c r="Q1027" s="353"/>
      <c r="R1027" s="353"/>
      <c r="S1027" s="353"/>
      <c r="T1027" s="353"/>
      <c r="U1027" s="353"/>
      <c r="V1027" s="353"/>
      <c r="W1027" s="200"/>
      <c r="X1027" s="200"/>
      <c r="Y1027" s="200"/>
      <c r="Z1027" s="200"/>
      <c r="AA1027" s="200"/>
      <c r="AB1027" s="200"/>
      <c r="AC1027" s="200"/>
      <c r="AD1027" s="200"/>
      <c r="AE1027" s="200"/>
      <c r="AF1027" s="200"/>
      <c r="AG1027" s="200"/>
      <c r="AH1027" s="200"/>
      <c r="AI1027" s="200"/>
      <c r="AJ1027" s="200"/>
      <c r="AK1027" s="200"/>
      <c r="AL1027" s="200"/>
      <c r="AM1027" s="200"/>
      <c r="AN1027" s="200"/>
      <c r="AO1027" s="200"/>
      <c r="AP1027" s="200"/>
      <c r="AQ1027" s="200"/>
      <c r="AR1027" s="200"/>
      <c r="AS1027" s="200"/>
      <c r="AT1027" s="200"/>
    </row>
    <row r="1028" spans="1:46" ht="16.5" customHeight="1">
      <c r="A1028" s="432"/>
      <c r="B1028" s="307"/>
      <c r="C1028" s="200"/>
      <c r="D1028" s="200"/>
      <c r="E1028" s="200"/>
      <c r="F1028" s="200"/>
      <c r="G1028" s="200"/>
      <c r="H1028" s="200"/>
      <c r="I1028" s="200"/>
      <c r="J1028" s="200"/>
      <c r="K1028" s="200"/>
      <c r="L1028" s="200"/>
      <c r="M1028" s="200"/>
      <c r="N1028" s="200"/>
      <c r="O1028" s="200"/>
      <c r="P1028" s="200"/>
      <c r="Q1028" s="353"/>
      <c r="R1028" s="353"/>
      <c r="S1028" s="353"/>
      <c r="T1028" s="353"/>
      <c r="U1028" s="353"/>
      <c r="V1028" s="353"/>
      <c r="W1028" s="200"/>
      <c r="X1028" s="200"/>
      <c r="Y1028" s="200"/>
      <c r="Z1028" s="200"/>
      <c r="AA1028" s="200"/>
      <c r="AB1028" s="200"/>
      <c r="AC1028" s="200"/>
      <c r="AD1028" s="200"/>
      <c r="AE1028" s="200"/>
      <c r="AF1028" s="200"/>
      <c r="AG1028" s="200"/>
      <c r="AH1028" s="200"/>
      <c r="AI1028" s="200"/>
      <c r="AJ1028" s="200"/>
      <c r="AK1028" s="200"/>
      <c r="AL1028" s="200"/>
      <c r="AM1028" s="200"/>
      <c r="AN1028" s="200"/>
      <c r="AO1028" s="200"/>
      <c r="AP1028" s="200"/>
      <c r="AQ1028" s="200"/>
      <c r="AR1028" s="200"/>
      <c r="AS1028" s="200"/>
      <c r="AT1028" s="200"/>
    </row>
    <row r="1029" spans="1:46" ht="16.5" customHeight="1">
      <c r="A1029" s="432"/>
      <c r="B1029" s="307"/>
      <c r="C1029" s="200"/>
      <c r="D1029" s="200"/>
      <c r="E1029" s="200"/>
      <c r="F1029" s="200"/>
      <c r="G1029" s="200"/>
      <c r="H1029" s="200"/>
      <c r="I1029" s="200"/>
      <c r="J1029" s="200"/>
      <c r="K1029" s="200"/>
      <c r="L1029" s="200"/>
      <c r="M1029" s="200"/>
      <c r="N1029" s="200"/>
      <c r="O1029" s="200"/>
      <c r="P1029" s="200"/>
      <c r="Q1029" s="353"/>
      <c r="R1029" s="353"/>
      <c r="S1029" s="353"/>
      <c r="T1029" s="353"/>
      <c r="U1029" s="353"/>
      <c r="V1029" s="353"/>
      <c r="W1029" s="200"/>
      <c r="X1029" s="200"/>
      <c r="Y1029" s="200"/>
      <c r="Z1029" s="200"/>
      <c r="AA1029" s="200"/>
      <c r="AB1029" s="200"/>
      <c r="AC1029" s="200"/>
      <c r="AD1029" s="200"/>
      <c r="AE1029" s="200"/>
      <c r="AF1029" s="200"/>
      <c r="AG1029" s="200"/>
      <c r="AH1029" s="200"/>
      <c r="AI1029" s="200"/>
      <c r="AJ1029" s="200"/>
      <c r="AK1029" s="200"/>
      <c r="AL1029" s="200"/>
      <c r="AM1029" s="200"/>
      <c r="AN1029" s="200"/>
      <c r="AO1029" s="200"/>
      <c r="AP1029" s="200"/>
      <c r="AQ1029" s="200"/>
      <c r="AR1029" s="200"/>
      <c r="AS1029" s="200"/>
      <c r="AT1029" s="200"/>
    </row>
    <row r="1030" spans="1:46" ht="16.5" customHeight="1">
      <c r="A1030" s="432"/>
      <c r="B1030" s="307"/>
      <c r="C1030" s="200"/>
      <c r="D1030" s="200"/>
      <c r="E1030" s="200"/>
      <c r="F1030" s="200"/>
      <c r="G1030" s="200"/>
      <c r="H1030" s="200"/>
      <c r="I1030" s="200"/>
      <c r="J1030" s="200"/>
      <c r="K1030" s="200"/>
      <c r="L1030" s="200"/>
      <c r="M1030" s="200"/>
      <c r="N1030" s="200"/>
      <c r="O1030" s="200"/>
      <c r="P1030" s="200"/>
      <c r="Q1030" s="353"/>
      <c r="R1030" s="353"/>
      <c r="S1030" s="353"/>
      <c r="T1030" s="353"/>
      <c r="U1030" s="353"/>
      <c r="V1030" s="353"/>
      <c r="W1030" s="200"/>
      <c r="X1030" s="200"/>
      <c r="Y1030" s="200"/>
      <c r="Z1030" s="200"/>
      <c r="AA1030" s="200"/>
      <c r="AB1030" s="200"/>
      <c r="AC1030" s="200"/>
      <c r="AD1030" s="200"/>
      <c r="AE1030" s="200"/>
      <c r="AF1030" s="200"/>
      <c r="AG1030" s="200"/>
      <c r="AH1030" s="200"/>
      <c r="AI1030" s="200"/>
      <c r="AJ1030" s="200"/>
      <c r="AK1030" s="200"/>
      <c r="AL1030" s="200"/>
      <c r="AM1030" s="200"/>
      <c r="AN1030" s="200"/>
      <c r="AO1030" s="200"/>
      <c r="AP1030" s="200"/>
      <c r="AQ1030" s="200"/>
      <c r="AR1030" s="200"/>
      <c r="AS1030" s="200"/>
      <c r="AT1030" s="200"/>
    </row>
    <row r="1031" spans="1:46" ht="16.5" customHeight="1">
      <c r="A1031" s="432"/>
      <c r="B1031" s="307"/>
      <c r="C1031" s="200"/>
      <c r="D1031" s="200"/>
      <c r="E1031" s="200"/>
      <c r="F1031" s="200"/>
      <c r="G1031" s="200"/>
      <c r="H1031" s="200"/>
      <c r="I1031" s="200"/>
      <c r="J1031" s="200"/>
      <c r="K1031" s="200"/>
      <c r="L1031" s="200"/>
      <c r="M1031" s="200"/>
      <c r="N1031" s="200"/>
      <c r="O1031" s="200"/>
      <c r="P1031" s="200"/>
      <c r="Q1031" s="353"/>
      <c r="R1031" s="353"/>
      <c r="S1031" s="353"/>
      <c r="T1031" s="353"/>
      <c r="U1031" s="353"/>
      <c r="V1031" s="353"/>
      <c r="W1031" s="200"/>
      <c r="X1031" s="200"/>
      <c r="Y1031" s="200"/>
      <c r="Z1031" s="200"/>
      <c r="AA1031" s="200"/>
      <c r="AB1031" s="200"/>
      <c r="AC1031" s="200"/>
      <c r="AD1031" s="200"/>
      <c r="AE1031" s="200"/>
      <c r="AF1031" s="200"/>
      <c r="AG1031" s="200"/>
      <c r="AH1031" s="200"/>
      <c r="AI1031" s="200"/>
      <c r="AJ1031" s="200"/>
      <c r="AK1031" s="200"/>
      <c r="AL1031" s="200"/>
      <c r="AM1031" s="200"/>
      <c r="AN1031" s="200"/>
      <c r="AO1031" s="200"/>
      <c r="AP1031" s="200"/>
      <c r="AQ1031" s="200"/>
      <c r="AR1031" s="200"/>
      <c r="AS1031" s="200"/>
      <c r="AT1031" s="200"/>
    </row>
    <row r="1032" spans="1:46" ht="16.5" customHeight="1">
      <c r="A1032" s="432"/>
      <c r="B1032" s="307"/>
      <c r="C1032" s="200"/>
      <c r="D1032" s="200"/>
      <c r="E1032" s="200"/>
      <c r="F1032" s="200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200"/>
      <c r="Q1032" s="353"/>
      <c r="R1032" s="353"/>
      <c r="S1032" s="353"/>
      <c r="T1032" s="353"/>
      <c r="U1032" s="353"/>
      <c r="V1032" s="353"/>
      <c r="W1032" s="200"/>
      <c r="X1032" s="200"/>
      <c r="Y1032" s="200"/>
      <c r="Z1032" s="200"/>
      <c r="AA1032" s="200"/>
      <c r="AB1032" s="200"/>
      <c r="AC1032" s="200"/>
      <c r="AD1032" s="200"/>
      <c r="AE1032" s="200"/>
      <c r="AF1032" s="200"/>
      <c r="AG1032" s="200"/>
      <c r="AH1032" s="200"/>
      <c r="AI1032" s="200"/>
      <c r="AJ1032" s="200"/>
      <c r="AK1032" s="200"/>
      <c r="AL1032" s="200"/>
      <c r="AM1032" s="200"/>
      <c r="AN1032" s="200"/>
      <c r="AO1032" s="200"/>
      <c r="AP1032" s="200"/>
      <c r="AQ1032" s="200"/>
      <c r="AR1032" s="200"/>
      <c r="AS1032" s="200"/>
      <c r="AT1032" s="200"/>
    </row>
    <row r="1033" spans="1:46" ht="16.5" customHeight="1">
      <c r="A1033" s="432"/>
      <c r="B1033" s="307"/>
      <c r="C1033" s="200"/>
      <c r="D1033" s="200"/>
      <c r="E1033" s="200"/>
      <c r="F1033" s="200"/>
      <c r="G1033" s="200"/>
      <c r="H1033" s="200"/>
      <c r="I1033" s="200"/>
      <c r="J1033" s="200"/>
      <c r="K1033" s="200"/>
      <c r="L1033" s="200"/>
      <c r="M1033" s="200"/>
      <c r="N1033" s="200"/>
      <c r="O1033" s="200"/>
      <c r="P1033" s="200"/>
      <c r="Q1033" s="353"/>
      <c r="R1033" s="353"/>
      <c r="S1033" s="353"/>
      <c r="T1033" s="353"/>
      <c r="U1033" s="353"/>
      <c r="V1033" s="353"/>
      <c r="W1033" s="200"/>
      <c r="X1033" s="200"/>
      <c r="Y1033" s="200"/>
      <c r="Z1033" s="200"/>
      <c r="AA1033" s="200"/>
      <c r="AB1033" s="200"/>
      <c r="AC1033" s="200"/>
      <c r="AD1033" s="200"/>
      <c r="AE1033" s="200"/>
      <c r="AF1033" s="200"/>
      <c r="AG1033" s="200"/>
      <c r="AH1033" s="200"/>
      <c r="AI1033" s="200"/>
      <c r="AJ1033" s="200"/>
      <c r="AK1033" s="200"/>
      <c r="AL1033" s="200"/>
      <c r="AM1033" s="200"/>
      <c r="AN1033" s="200"/>
      <c r="AO1033" s="200"/>
      <c r="AP1033" s="200"/>
      <c r="AQ1033" s="200"/>
      <c r="AR1033" s="200"/>
      <c r="AS1033" s="200"/>
      <c r="AT1033" s="200"/>
    </row>
    <row r="1034" spans="1:46" ht="16.5" customHeight="1">
      <c r="A1034" s="432"/>
      <c r="B1034" s="307"/>
      <c r="C1034" s="200"/>
      <c r="D1034" s="200"/>
      <c r="E1034" s="200"/>
      <c r="F1034" s="200"/>
      <c r="G1034" s="200"/>
      <c r="H1034" s="200"/>
      <c r="I1034" s="200"/>
      <c r="J1034" s="200"/>
      <c r="K1034" s="200"/>
      <c r="L1034" s="200"/>
      <c r="M1034" s="200"/>
      <c r="N1034" s="200"/>
      <c r="O1034" s="200"/>
      <c r="P1034" s="200"/>
      <c r="Q1034" s="353"/>
      <c r="R1034" s="353"/>
      <c r="S1034" s="353"/>
      <c r="T1034" s="353"/>
      <c r="U1034" s="353"/>
      <c r="V1034" s="353"/>
      <c r="W1034" s="200"/>
      <c r="X1034" s="200"/>
      <c r="Y1034" s="200"/>
      <c r="Z1034" s="200"/>
      <c r="AA1034" s="200"/>
      <c r="AB1034" s="200"/>
      <c r="AC1034" s="200"/>
      <c r="AD1034" s="200"/>
      <c r="AE1034" s="200"/>
      <c r="AF1034" s="200"/>
      <c r="AG1034" s="200"/>
      <c r="AH1034" s="200"/>
      <c r="AI1034" s="200"/>
      <c r="AJ1034" s="200"/>
      <c r="AK1034" s="200"/>
      <c r="AL1034" s="200"/>
      <c r="AM1034" s="200"/>
      <c r="AN1034" s="200"/>
      <c r="AO1034" s="200"/>
      <c r="AP1034" s="200"/>
      <c r="AQ1034" s="200"/>
      <c r="AR1034" s="200"/>
      <c r="AS1034" s="200"/>
      <c r="AT1034" s="200"/>
    </row>
    <row r="1035" spans="1:46" ht="16.5" customHeight="1">
      <c r="A1035" s="432"/>
      <c r="B1035" s="307"/>
      <c r="C1035" s="200"/>
      <c r="D1035" s="200"/>
      <c r="E1035" s="200"/>
      <c r="F1035" s="200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200"/>
      <c r="Q1035" s="353"/>
      <c r="R1035" s="353"/>
      <c r="S1035" s="353"/>
      <c r="T1035" s="353"/>
      <c r="U1035" s="353"/>
      <c r="V1035" s="353"/>
      <c r="W1035" s="200"/>
      <c r="X1035" s="200"/>
      <c r="Y1035" s="200"/>
      <c r="Z1035" s="200"/>
      <c r="AA1035" s="200"/>
      <c r="AB1035" s="200"/>
      <c r="AC1035" s="200"/>
      <c r="AD1035" s="200"/>
      <c r="AE1035" s="200"/>
      <c r="AF1035" s="200"/>
      <c r="AG1035" s="200"/>
      <c r="AH1035" s="200"/>
      <c r="AI1035" s="200"/>
      <c r="AJ1035" s="200"/>
      <c r="AK1035" s="200"/>
      <c r="AL1035" s="200"/>
      <c r="AM1035" s="200"/>
      <c r="AN1035" s="200"/>
      <c r="AO1035" s="200"/>
      <c r="AP1035" s="200"/>
      <c r="AQ1035" s="200"/>
      <c r="AR1035" s="200"/>
      <c r="AS1035" s="200"/>
      <c r="AT1035" s="200"/>
    </row>
    <row r="1036" spans="1:46" ht="16.5" customHeight="1">
      <c r="A1036" s="432"/>
      <c r="B1036" s="307"/>
      <c r="C1036" s="200"/>
      <c r="D1036" s="200"/>
      <c r="E1036" s="200"/>
      <c r="F1036" s="200"/>
      <c r="G1036" s="200"/>
      <c r="H1036" s="200"/>
      <c r="I1036" s="200"/>
      <c r="J1036" s="200"/>
      <c r="K1036" s="200"/>
      <c r="L1036" s="200"/>
      <c r="M1036" s="200"/>
      <c r="N1036" s="200"/>
      <c r="O1036" s="200"/>
      <c r="P1036" s="200"/>
      <c r="Q1036" s="353"/>
      <c r="R1036" s="353"/>
      <c r="S1036" s="353"/>
      <c r="T1036" s="353"/>
      <c r="U1036" s="353"/>
      <c r="V1036" s="353"/>
      <c r="W1036" s="200"/>
      <c r="X1036" s="200"/>
      <c r="Y1036" s="200"/>
      <c r="Z1036" s="200"/>
      <c r="AA1036" s="200"/>
      <c r="AB1036" s="200"/>
      <c r="AC1036" s="200"/>
      <c r="AD1036" s="200"/>
      <c r="AE1036" s="200"/>
      <c r="AF1036" s="200"/>
      <c r="AG1036" s="200"/>
      <c r="AH1036" s="200"/>
      <c r="AI1036" s="200"/>
      <c r="AJ1036" s="200"/>
      <c r="AK1036" s="200"/>
      <c r="AL1036" s="200"/>
      <c r="AM1036" s="200"/>
      <c r="AN1036" s="200"/>
      <c r="AO1036" s="200"/>
      <c r="AP1036" s="200"/>
      <c r="AQ1036" s="200"/>
      <c r="AR1036" s="200"/>
      <c r="AS1036" s="200"/>
      <c r="AT1036" s="200"/>
    </row>
    <row r="1037" spans="1:46" ht="16.5" customHeight="1">
      <c r="A1037" s="432"/>
      <c r="B1037" s="307"/>
      <c r="C1037" s="200"/>
      <c r="D1037" s="200"/>
      <c r="E1037" s="200"/>
      <c r="F1037" s="200"/>
      <c r="G1037" s="200"/>
      <c r="H1037" s="200"/>
      <c r="I1037" s="200"/>
      <c r="J1037" s="200"/>
      <c r="K1037" s="200"/>
      <c r="L1037" s="200"/>
      <c r="M1037" s="200"/>
      <c r="N1037" s="200"/>
      <c r="O1037" s="200"/>
      <c r="P1037" s="200"/>
      <c r="Q1037" s="353"/>
      <c r="R1037" s="353"/>
      <c r="S1037" s="353"/>
      <c r="T1037" s="353"/>
      <c r="U1037" s="353"/>
      <c r="V1037" s="353"/>
      <c r="W1037" s="200"/>
      <c r="X1037" s="200"/>
      <c r="Y1037" s="200"/>
      <c r="Z1037" s="200"/>
      <c r="AA1037" s="200"/>
      <c r="AB1037" s="200"/>
      <c r="AC1037" s="200"/>
      <c r="AD1037" s="200"/>
      <c r="AE1037" s="200"/>
      <c r="AF1037" s="200"/>
      <c r="AG1037" s="200"/>
      <c r="AH1037" s="200"/>
      <c r="AI1037" s="200"/>
      <c r="AJ1037" s="200"/>
      <c r="AK1037" s="200"/>
      <c r="AL1037" s="200"/>
      <c r="AM1037" s="200"/>
      <c r="AN1037" s="200"/>
      <c r="AO1037" s="200"/>
      <c r="AP1037" s="200"/>
      <c r="AQ1037" s="200"/>
      <c r="AR1037" s="200"/>
      <c r="AS1037" s="200"/>
      <c r="AT1037" s="200"/>
    </row>
    <row r="1038" spans="1:46" ht="16.5" customHeight="1">
      <c r="A1038" s="432"/>
      <c r="B1038" s="307"/>
      <c r="C1038" s="200"/>
      <c r="D1038" s="200"/>
      <c r="E1038" s="200"/>
      <c r="F1038" s="200"/>
      <c r="G1038" s="200"/>
      <c r="H1038" s="200"/>
      <c r="I1038" s="200"/>
      <c r="J1038" s="200"/>
      <c r="K1038" s="200"/>
      <c r="L1038" s="200"/>
      <c r="M1038" s="200"/>
      <c r="N1038" s="200"/>
      <c r="O1038" s="200"/>
      <c r="P1038" s="200"/>
      <c r="Q1038" s="353"/>
      <c r="R1038" s="353"/>
      <c r="S1038" s="353"/>
      <c r="T1038" s="353"/>
      <c r="U1038" s="353"/>
      <c r="V1038" s="353"/>
      <c r="W1038" s="200"/>
      <c r="X1038" s="200"/>
      <c r="Y1038" s="200"/>
      <c r="Z1038" s="200"/>
      <c r="AA1038" s="200"/>
      <c r="AB1038" s="200"/>
      <c r="AC1038" s="200"/>
      <c r="AD1038" s="200"/>
      <c r="AE1038" s="200"/>
      <c r="AF1038" s="200"/>
      <c r="AG1038" s="200"/>
      <c r="AH1038" s="200"/>
      <c r="AI1038" s="200"/>
      <c r="AJ1038" s="200"/>
      <c r="AK1038" s="200"/>
      <c r="AL1038" s="200"/>
      <c r="AM1038" s="200"/>
      <c r="AN1038" s="200"/>
      <c r="AO1038" s="200"/>
      <c r="AP1038" s="200"/>
      <c r="AQ1038" s="200"/>
      <c r="AR1038" s="200"/>
      <c r="AS1038" s="200"/>
      <c r="AT1038" s="200"/>
    </row>
    <row r="1039" spans="1:46" ht="16.5" customHeight="1">
      <c r="A1039" s="432"/>
      <c r="B1039" s="307"/>
      <c r="C1039" s="200"/>
      <c r="D1039" s="200"/>
      <c r="E1039" s="200"/>
      <c r="F1039" s="200"/>
      <c r="G1039" s="200"/>
      <c r="H1039" s="200"/>
      <c r="I1039" s="200"/>
      <c r="J1039" s="200"/>
      <c r="K1039" s="200"/>
      <c r="L1039" s="200"/>
      <c r="M1039" s="200"/>
      <c r="N1039" s="200"/>
      <c r="O1039" s="200"/>
      <c r="P1039" s="200"/>
      <c r="Q1039" s="353"/>
      <c r="R1039" s="353"/>
      <c r="S1039" s="353"/>
      <c r="T1039" s="353"/>
      <c r="U1039" s="353"/>
      <c r="V1039" s="353"/>
      <c r="W1039" s="200"/>
      <c r="X1039" s="200"/>
      <c r="Y1039" s="200"/>
      <c r="Z1039" s="200"/>
      <c r="AA1039" s="200"/>
      <c r="AB1039" s="200"/>
      <c r="AC1039" s="200"/>
      <c r="AD1039" s="200"/>
      <c r="AE1039" s="200"/>
      <c r="AF1039" s="200"/>
      <c r="AG1039" s="200"/>
      <c r="AH1039" s="200"/>
      <c r="AI1039" s="200"/>
      <c r="AJ1039" s="200"/>
      <c r="AK1039" s="200"/>
      <c r="AL1039" s="200"/>
      <c r="AM1039" s="200"/>
      <c r="AN1039" s="200"/>
      <c r="AO1039" s="200"/>
      <c r="AP1039" s="200"/>
      <c r="AQ1039" s="200"/>
      <c r="AR1039" s="200"/>
      <c r="AS1039" s="200"/>
      <c r="AT1039" s="200"/>
    </row>
    <row r="1040" spans="1:46" ht="16.5" customHeight="1">
      <c r="A1040" s="432"/>
      <c r="B1040" s="307"/>
      <c r="C1040" s="200"/>
      <c r="D1040" s="200"/>
      <c r="E1040" s="200"/>
      <c r="F1040" s="200"/>
      <c r="G1040" s="200"/>
      <c r="H1040" s="200"/>
      <c r="I1040" s="200"/>
      <c r="J1040" s="200"/>
      <c r="K1040" s="200"/>
      <c r="L1040" s="200"/>
      <c r="M1040" s="200"/>
      <c r="N1040" s="200"/>
      <c r="O1040" s="200"/>
      <c r="P1040" s="200"/>
      <c r="Q1040" s="353"/>
      <c r="R1040" s="353"/>
      <c r="S1040" s="353"/>
      <c r="T1040" s="353"/>
      <c r="U1040" s="353"/>
      <c r="V1040" s="353"/>
      <c r="W1040" s="200"/>
      <c r="X1040" s="200"/>
      <c r="Y1040" s="200"/>
      <c r="Z1040" s="200"/>
      <c r="AA1040" s="200"/>
      <c r="AB1040" s="200"/>
      <c r="AC1040" s="200"/>
      <c r="AD1040" s="200"/>
      <c r="AE1040" s="200"/>
      <c r="AF1040" s="200"/>
      <c r="AG1040" s="200"/>
      <c r="AH1040" s="200"/>
      <c r="AI1040" s="200"/>
      <c r="AJ1040" s="200"/>
      <c r="AK1040" s="200"/>
      <c r="AL1040" s="200"/>
      <c r="AM1040" s="200"/>
      <c r="AN1040" s="200"/>
      <c r="AO1040" s="200"/>
      <c r="AP1040" s="200"/>
      <c r="AQ1040" s="200"/>
      <c r="AR1040" s="200"/>
      <c r="AS1040" s="200"/>
      <c r="AT1040" s="200"/>
    </row>
    <row r="1041" spans="1:46" ht="16.5" customHeight="1">
      <c r="A1041" s="432"/>
      <c r="B1041" s="307"/>
      <c r="C1041" s="200"/>
      <c r="D1041" s="200"/>
      <c r="E1041" s="200"/>
      <c r="F1041" s="200"/>
      <c r="G1041" s="200"/>
      <c r="H1041" s="200"/>
      <c r="I1041" s="200"/>
      <c r="J1041" s="200"/>
      <c r="K1041" s="200"/>
      <c r="L1041" s="200"/>
      <c r="M1041" s="200"/>
      <c r="N1041" s="200"/>
      <c r="O1041" s="200"/>
      <c r="P1041" s="200"/>
      <c r="Q1041" s="353"/>
      <c r="R1041" s="353"/>
      <c r="S1041" s="353"/>
      <c r="T1041" s="353"/>
      <c r="U1041" s="353"/>
      <c r="V1041" s="353"/>
      <c r="W1041" s="200"/>
      <c r="X1041" s="200"/>
      <c r="Y1041" s="200"/>
      <c r="Z1041" s="200"/>
      <c r="AA1041" s="200"/>
      <c r="AB1041" s="200"/>
      <c r="AC1041" s="200"/>
      <c r="AD1041" s="200"/>
      <c r="AE1041" s="200"/>
      <c r="AF1041" s="200"/>
      <c r="AG1041" s="200"/>
      <c r="AH1041" s="200"/>
      <c r="AI1041" s="200"/>
      <c r="AJ1041" s="200"/>
      <c r="AK1041" s="200"/>
      <c r="AL1041" s="200"/>
      <c r="AM1041" s="200"/>
      <c r="AN1041" s="200"/>
      <c r="AO1041" s="200"/>
      <c r="AP1041" s="200"/>
      <c r="AQ1041" s="200"/>
      <c r="AR1041" s="200"/>
      <c r="AS1041" s="200"/>
      <c r="AT1041" s="200"/>
    </row>
    <row r="1042" spans="1:46" ht="16.5" customHeight="1">
      <c r="A1042" s="432"/>
      <c r="B1042" s="307"/>
      <c r="C1042" s="200"/>
      <c r="D1042" s="200"/>
      <c r="E1042" s="200"/>
      <c r="F1042" s="200"/>
      <c r="G1042" s="200"/>
      <c r="H1042" s="200"/>
      <c r="I1042" s="200"/>
      <c r="J1042" s="200"/>
      <c r="K1042" s="200"/>
      <c r="L1042" s="200"/>
      <c r="M1042" s="200"/>
      <c r="N1042" s="200"/>
      <c r="O1042" s="200"/>
      <c r="P1042" s="200"/>
      <c r="Q1042" s="353"/>
      <c r="R1042" s="353"/>
      <c r="S1042" s="353"/>
      <c r="T1042" s="353"/>
      <c r="U1042" s="353"/>
      <c r="V1042" s="353"/>
      <c r="W1042" s="200"/>
      <c r="X1042" s="200"/>
      <c r="Y1042" s="200"/>
      <c r="Z1042" s="200"/>
      <c r="AA1042" s="200"/>
      <c r="AB1042" s="200"/>
      <c r="AC1042" s="200"/>
      <c r="AD1042" s="200"/>
      <c r="AE1042" s="200"/>
      <c r="AF1042" s="200"/>
      <c r="AG1042" s="200"/>
      <c r="AH1042" s="200"/>
      <c r="AI1042" s="200"/>
      <c r="AJ1042" s="200"/>
      <c r="AK1042" s="200"/>
      <c r="AL1042" s="200"/>
      <c r="AM1042" s="200"/>
      <c r="AN1042" s="200"/>
      <c r="AO1042" s="200"/>
      <c r="AP1042" s="200"/>
      <c r="AQ1042" s="200"/>
      <c r="AR1042" s="200"/>
      <c r="AS1042" s="200"/>
      <c r="AT1042" s="200"/>
    </row>
    <row r="1043" spans="1:46" ht="16.5" customHeight="1">
      <c r="A1043" s="432"/>
      <c r="B1043" s="307"/>
      <c r="C1043" s="200"/>
      <c r="D1043" s="200"/>
      <c r="E1043" s="200"/>
      <c r="F1043" s="200"/>
      <c r="G1043" s="200"/>
      <c r="H1043" s="200"/>
      <c r="I1043" s="200"/>
      <c r="J1043" s="200"/>
      <c r="K1043" s="200"/>
      <c r="L1043" s="200"/>
      <c r="M1043" s="200"/>
      <c r="N1043" s="200"/>
      <c r="O1043" s="200"/>
      <c r="P1043" s="200"/>
      <c r="Q1043" s="353"/>
      <c r="R1043" s="353"/>
      <c r="S1043" s="353"/>
      <c r="T1043" s="353"/>
      <c r="U1043" s="353"/>
      <c r="V1043" s="353"/>
      <c r="W1043" s="200"/>
      <c r="X1043" s="200"/>
      <c r="Y1043" s="200"/>
      <c r="Z1043" s="200"/>
      <c r="AA1043" s="200"/>
      <c r="AB1043" s="200"/>
      <c r="AC1043" s="200"/>
      <c r="AD1043" s="200"/>
      <c r="AE1043" s="200"/>
      <c r="AF1043" s="200"/>
      <c r="AG1043" s="200"/>
      <c r="AH1043" s="200"/>
      <c r="AI1043" s="200"/>
      <c r="AJ1043" s="200"/>
      <c r="AK1043" s="200"/>
      <c r="AL1043" s="200"/>
      <c r="AM1043" s="200"/>
      <c r="AN1043" s="200"/>
      <c r="AO1043" s="200"/>
      <c r="AP1043" s="200"/>
      <c r="AQ1043" s="200"/>
      <c r="AR1043" s="200"/>
      <c r="AS1043" s="200"/>
      <c r="AT1043" s="200"/>
    </row>
    <row r="1044" spans="1:46" ht="16.5" customHeight="1">
      <c r="A1044" s="432"/>
      <c r="B1044" s="307"/>
      <c r="C1044" s="200"/>
      <c r="D1044" s="200"/>
      <c r="E1044" s="200"/>
      <c r="F1044" s="200"/>
      <c r="G1044" s="200"/>
      <c r="H1044" s="200"/>
      <c r="I1044" s="200"/>
      <c r="J1044" s="200"/>
      <c r="K1044" s="200"/>
      <c r="L1044" s="200"/>
      <c r="M1044" s="200"/>
      <c r="N1044" s="200"/>
      <c r="O1044" s="200"/>
      <c r="P1044" s="200"/>
      <c r="Q1044" s="353"/>
      <c r="R1044" s="353"/>
      <c r="S1044" s="353"/>
      <c r="T1044" s="353"/>
      <c r="U1044" s="353"/>
      <c r="V1044" s="353"/>
      <c r="W1044" s="200"/>
      <c r="X1044" s="200"/>
      <c r="Y1044" s="200"/>
      <c r="Z1044" s="200"/>
      <c r="AA1044" s="200"/>
      <c r="AB1044" s="200"/>
      <c r="AC1044" s="200"/>
      <c r="AD1044" s="200"/>
      <c r="AE1044" s="200"/>
      <c r="AF1044" s="200"/>
      <c r="AG1044" s="200"/>
      <c r="AH1044" s="200"/>
      <c r="AI1044" s="200"/>
      <c r="AJ1044" s="200"/>
      <c r="AK1044" s="200"/>
      <c r="AL1044" s="200"/>
      <c r="AM1044" s="200"/>
      <c r="AN1044" s="200"/>
      <c r="AO1044" s="200"/>
      <c r="AP1044" s="200"/>
      <c r="AQ1044" s="200"/>
      <c r="AR1044" s="200"/>
      <c r="AS1044" s="200"/>
      <c r="AT1044" s="200"/>
    </row>
    <row r="1045" spans="1:46" ht="16.5" customHeight="1">
      <c r="A1045" s="432"/>
      <c r="B1045" s="307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353"/>
      <c r="R1045" s="353"/>
      <c r="S1045" s="353"/>
      <c r="T1045" s="353"/>
      <c r="U1045" s="353"/>
      <c r="V1045" s="353"/>
      <c r="W1045" s="200"/>
      <c r="X1045" s="200"/>
      <c r="Y1045" s="200"/>
      <c r="Z1045" s="200"/>
      <c r="AA1045" s="200"/>
      <c r="AB1045" s="200"/>
      <c r="AC1045" s="200"/>
      <c r="AD1045" s="200"/>
      <c r="AE1045" s="200"/>
      <c r="AF1045" s="200"/>
      <c r="AG1045" s="200"/>
      <c r="AH1045" s="200"/>
      <c r="AI1045" s="200"/>
      <c r="AJ1045" s="200"/>
      <c r="AK1045" s="200"/>
      <c r="AL1045" s="200"/>
      <c r="AM1045" s="200"/>
      <c r="AN1045" s="200"/>
      <c r="AO1045" s="200"/>
      <c r="AP1045" s="200"/>
      <c r="AQ1045" s="200"/>
      <c r="AR1045" s="200"/>
      <c r="AS1045" s="200"/>
      <c r="AT1045" s="200"/>
    </row>
    <row r="1046" spans="1:46" ht="16.5" customHeight="1">
      <c r="A1046" s="432"/>
      <c r="B1046" s="307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200"/>
      <c r="Q1046" s="353"/>
      <c r="R1046" s="353"/>
      <c r="S1046" s="353"/>
      <c r="T1046" s="353"/>
      <c r="U1046" s="353"/>
      <c r="V1046" s="353"/>
      <c r="W1046" s="200"/>
      <c r="X1046" s="200"/>
      <c r="Y1046" s="200"/>
      <c r="Z1046" s="200"/>
      <c r="AA1046" s="200"/>
      <c r="AB1046" s="200"/>
      <c r="AC1046" s="200"/>
      <c r="AD1046" s="200"/>
      <c r="AE1046" s="200"/>
      <c r="AF1046" s="200"/>
      <c r="AG1046" s="200"/>
      <c r="AH1046" s="200"/>
      <c r="AI1046" s="200"/>
      <c r="AJ1046" s="200"/>
      <c r="AK1046" s="200"/>
      <c r="AL1046" s="200"/>
      <c r="AM1046" s="200"/>
      <c r="AN1046" s="200"/>
      <c r="AO1046" s="200"/>
      <c r="AP1046" s="200"/>
      <c r="AQ1046" s="200"/>
      <c r="AR1046" s="200"/>
      <c r="AS1046" s="200"/>
      <c r="AT1046" s="200"/>
    </row>
    <row r="1047" spans="1:46" ht="16.5" customHeight="1">
      <c r="A1047" s="432"/>
      <c r="B1047" s="307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200"/>
      <c r="Q1047" s="353"/>
      <c r="R1047" s="353"/>
      <c r="S1047" s="353"/>
      <c r="T1047" s="353"/>
      <c r="U1047" s="353"/>
      <c r="V1047" s="353"/>
      <c r="W1047" s="200"/>
      <c r="X1047" s="200"/>
      <c r="Y1047" s="200"/>
      <c r="Z1047" s="200"/>
      <c r="AA1047" s="200"/>
      <c r="AB1047" s="200"/>
      <c r="AC1047" s="200"/>
      <c r="AD1047" s="200"/>
      <c r="AE1047" s="200"/>
      <c r="AF1047" s="200"/>
      <c r="AG1047" s="200"/>
      <c r="AH1047" s="200"/>
      <c r="AI1047" s="200"/>
      <c r="AJ1047" s="200"/>
      <c r="AK1047" s="200"/>
      <c r="AL1047" s="200"/>
      <c r="AM1047" s="200"/>
      <c r="AN1047" s="200"/>
      <c r="AO1047" s="200"/>
      <c r="AP1047" s="200"/>
      <c r="AQ1047" s="200"/>
      <c r="AR1047" s="200"/>
      <c r="AS1047" s="200"/>
      <c r="AT1047" s="200"/>
    </row>
    <row r="1048" spans="1:46" ht="16.5" customHeight="1">
      <c r="A1048" s="432"/>
      <c r="B1048" s="307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200"/>
      <c r="Q1048" s="353"/>
      <c r="R1048" s="353"/>
      <c r="S1048" s="353"/>
      <c r="T1048" s="353"/>
      <c r="U1048" s="353"/>
      <c r="V1048" s="353"/>
      <c r="W1048" s="200"/>
      <c r="X1048" s="200"/>
      <c r="Y1048" s="200"/>
      <c r="Z1048" s="200"/>
      <c r="AA1048" s="200"/>
      <c r="AB1048" s="200"/>
      <c r="AC1048" s="200"/>
      <c r="AD1048" s="200"/>
      <c r="AE1048" s="200"/>
      <c r="AF1048" s="200"/>
      <c r="AG1048" s="200"/>
      <c r="AH1048" s="200"/>
      <c r="AI1048" s="200"/>
      <c r="AJ1048" s="200"/>
      <c r="AK1048" s="200"/>
      <c r="AL1048" s="200"/>
      <c r="AM1048" s="200"/>
      <c r="AN1048" s="200"/>
      <c r="AO1048" s="200"/>
      <c r="AP1048" s="200"/>
      <c r="AQ1048" s="200"/>
      <c r="AR1048" s="200"/>
      <c r="AS1048" s="200"/>
      <c r="AT1048" s="200"/>
    </row>
    <row r="1049" spans="1:46" ht="16.5" customHeight="1">
      <c r="A1049" s="432"/>
      <c r="B1049" s="307"/>
      <c r="C1049" s="200"/>
      <c r="D1049" s="200"/>
      <c r="E1049" s="200"/>
      <c r="F1049" s="200"/>
      <c r="G1049" s="200"/>
      <c r="H1049" s="200"/>
      <c r="I1049" s="200"/>
      <c r="J1049" s="200"/>
      <c r="K1049" s="200"/>
      <c r="L1049" s="200"/>
      <c r="M1049" s="200"/>
      <c r="N1049" s="200"/>
      <c r="O1049" s="200"/>
      <c r="P1049" s="200"/>
      <c r="Q1049" s="353"/>
      <c r="R1049" s="353"/>
      <c r="S1049" s="353"/>
      <c r="T1049" s="353"/>
      <c r="U1049" s="353"/>
      <c r="V1049" s="353"/>
      <c r="W1049" s="200"/>
      <c r="X1049" s="200"/>
      <c r="Y1049" s="200"/>
      <c r="Z1049" s="200"/>
      <c r="AA1049" s="200"/>
      <c r="AB1049" s="200"/>
      <c r="AC1049" s="200"/>
      <c r="AD1049" s="200"/>
      <c r="AE1049" s="200"/>
      <c r="AF1049" s="200"/>
      <c r="AG1049" s="200"/>
      <c r="AH1049" s="200"/>
      <c r="AI1049" s="200"/>
      <c r="AJ1049" s="200"/>
      <c r="AK1049" s="200"/>
      <c r="AL1049" s="200"/>
      <c r="AM1049" s="200"/>
      <c r="AN1049" s="200"/>
      <c r="AO1049" s="200"/>
      <c r="AP1049" s="200"/>
      <c r="AQ1049" s="200"/>
      <c r="AR1049" s="200"/>
      <c r="AS1049" s="200"/>
      <c r="AT1049" s="200"/>
    </row>
    <row r="1050" spans="1:46" ht="16.5" customHeight="1">
      <c r="A1050" s="432"/>
      <c r="B1050" s="307"/>
      <c r="C1050" s="200"/>
      <c r="D1050" s="200"/>
      <c r="E1050" s="200"/>
      <c r="F1050" s="200"/>
      <c r="G1050" s="200"/>
      <c r="H1050" s="200"/>
      <c r="I1050" s="200"/>
      <c r="J1050" s="200"/>
      <c r="K1050" s="200"/>
      <c r="L1050" s="200"/>
      <c r="M1050" s="200"/>
      <c r="N1050" s="200"/>
      <c r="O1050" s="200"/>
      <c r="P1050" s="200"/>
      <c r="Q1050" s="353"/>
      <c r="R1050" s="353"/>
      <c r="S1050" s="353"/>
      <c r="T1050" s="353"/>
      <c r="U1050" s="353"/>
      <c r="V1050" s="353"/>
      <c r="W1050" s="200"/>
      <c r="X1050" s="200"/>
      <c r="Y1050" s="200"/>
      <c r="Z1050" s="200"/>
      <c r="AA1050" s="200"/>
      <c r="AB1050" s="200"/>
      <c r="AC1050" s="200"/>
      <c r="AD1050" s="200"/>
      <c r="AE1050" s="200"/>
      <c r="AF1050" s="200"/>
      <c r="AG1050" s="200"/>
      <c r="AH1050" s="200"/>
      <c r="AI1050" s="200"/>
      <c r="AJ1050" s="200"/>
      <c r="AK1050" s="200"/>
      <c r="AL1050" s="200"/>
      <c r="AM1050" s="200"/>
      <c r="AN1050" s="200"/>
      <c r="AO1050" s="200"/>
      <c r="AP1050" s="200"/>
      <c r="AQ1050" s="200"/>
      <c r="AR1050" s="200"/>
      <c r="AS1050" s="200"/>
      <c r="AT1050" s="200"/>
    </row>
    <row r="1051" spans="1:46" ht="16.5" customHeight="1">
      <c r="A1051" s="432"/>
      <c r="B1051" s="307"/>
      <c r="C1051" s="200"/>
      <c r="D1051" s="200"/>
      <c r="E1051" s="200"/>
      <c r="F1051" s="200"/>
      <c r="G1051" s="200"/>
      <c r="H1051" s="200"/>
      <c r="I1051" s="200"/>
      <c r="J1051" s="200"/>
      <c r="K1051" s="200"/>
      <c r="L1051" s="200"/>
      <c r="M1051" s="200"/>
      <c r="N1051" s="200"/>
      <c r="O1051" s="200"/>
      <c r="P1051" s="200"/>
      <c r="Q1051" s="353"/>
      <c r="R1051" s="353"/>
      <c r="S1051" s="353"/>
      <c r="T1051" s="353"/>
      <c r="U1051" s="353"/>
      <c r="V1051" s="353"/>
      <c r="W1051" s="200"/>
      <c r="X1051" s="200"/>
      <c r="Y1051" s="200"/>
      <c r="Z1051" s="200"/>
      <c r="AA1051" s="200"/>
      <c r="AB1051" s="200"/>
      <c r="AC1051" s="200"/>
      <c r="AD1051" s="200"/>
      <c r="AE1051" s="200"/>
      <c r="AF1051" s="200"/>
      <c r="AG1051" s="200"/>
      <c r="AH1051" s="200"/>
      <c r="AI1051" s="200"/>
      <c r="AJ1051" s="200"/>
      <c r="AK1051" s="200"/>
      <c r="AL1051" s="200"/>
      <c r="AM1051" s="200"/>
      <c r="AN1051" s="200"/>
      <c r="AO1051" s="200"/>
      <c r="AP1051" s="200"/>
      <c r="AQ1051" s="200"/>
      <c r="AR1051" s="200"/>
      <c r="AS1051" s="200"/>
      <c r="AT1051" s="200"/>
    </row>
    <row r="1052" spans="1:46" ht="16.5" customHeight="1">
      <c r="A1052" s="432"/>
      <c r="B1052" s="307"/>
      <c r="C1052" s="200"/>
      <c r="D1052" s="200"/>
      <c r="E1052" s="200"/>
      <c r="F1052" s="200"/>
      <c r="G1052" s="200"/>
      <c r="H1052" s="200"/>
      <c r="I1052" s="200"/>
      <c r="J1052" s="200"/>
      <c r="K1052" s="200"/>
      <c r="L1052" s="200"/>
      <c r="M1052" s="200"/>
      <c r="N1052" s="200"/>
      <c r="O1052" s="200"/>
      <c r="P1052" s="200"/>
      <c r="Q1052" s="353"/>
      <c r="R1052" s="353"/>
      <c r="S1052" s="353"/>
      <c r="T1052" s="353"/>
      <c r="U1052" s="353"/>
      <c r="V1052" s="353"/>
      <c r="W1052" s="200"/>
      <c r="X1052" s="200"/>
      <c r="Y1052" s="200"/>
      <c r="Z1052" s="200"/>
      <c r="AA1052" s="200"/>
      <c r="AB1052" s="200"/>
      <c r="AC1052" s="200"/>
      <c r="AD1052" s="200"/>
      <c r="AE1052" s="200"/>
      <c r="AF1052" s="200"/>
      <c r="AG1052" s="200"/>
      <c r="AH1052" s="200"/>
      <c r="AI1052" s="200"/>
      <c r="AJ1052" s="200"/>
      <c r="AK1052" s="200"/>
      <c r="AL1052" s="200"/>
      <c r="AM1052" s="200"/>
      <c r="AN1052" s="200"/>
      <c r="AO1052" s="200"/>
      <c r="AP1052" s="200"/>
      <c r="AQ1052" s="200"/>
      <c r="AR1052" s="200"/>
      <c r="AS1052" s="200"/>
      <c r="AT1052" s="200"/>
    </row>
    <row r="1053" spans="1:46" ht="16.5" customHeight="1">
      <c r="A1053" s="432"/>
      <c r="B1053" s="307"/>
      <c r="C1053" s="200"/>
      <c r="D1053" s="200"/>
      <c r="E1053" s="200"/>
      <c r="F1053" s="200"/>
      <c r="G1053" s="200"/>
      <c r="H1053" s="200"/>
      <c r="I1053" s="200"/>
      <c r="J1053" s="200"/>
      <c r="K1053" s="200"/>
      <c r="L1053" s="200"/>
      <c r="M1053" s="200"/>
      <c r="N1053" s="200"/>
      <c r="O1053" s="200"/>
      <c r="P1053" s="200"/>
      <c r="Q1053" s="353"/>
      <c r="R1053" s="353"/>
      <c r="S1053" s="353"/>
      <c r="T1053" s="353"/>
      <c r="U1053" s="353"/>
      <c r="V1053" s="353"/>
      <c r="W1053" s="200"/>
      <c r="X1053" s="200"/>
      <c r="Y1053" s="200"/>
      <c r="Z1053" s="200"/>
      <c r="AA1053" s="200"/>
      <c r="AB1053" s="200"/>
      <c r="AC1053" s="200"/>
      <c r="AD1053" s="200"/>
      <c r="AE1053" s="200"/>
      <c r="AF1053" s="200"/>
      <c r="AG1053" s="200"/>
      <c r="AH1053" s="200"/>
      <c r="AI1053" s="200"/>
      <c r="AJ1053" s="200"/>
      <c r="AK1053" s="200"/>
      <c r="AL1053" s="200"/>
      <c r="AM1053" s="200"/>
      <c r="AN1053" s="200"/>
      <c r="AO1053" s="200"/>
      <c r="AP1053" s="200"/>
      <c r="AQ1053" s="200"/>
      <c r="AR1053" s="200"/>
      <c r="AS1053" s="200"/>
      <c r="AT1053" s="200"/>
    </row>
    <row r="1054" spans="1:46" ht="16.5" customHeight="1">
      <c r="A1054" s="432"/>
      <c r="B1054" s="307"/>
      <c r="C1054" s="200"/>
      <c r="D1054" s="200"/>
      <c r="E1054" s="200"/>
      <c r="F1054" s="200"/>
      <c r="G1054" s="200"/>
      <c r="H1054" s="200"/>
      <c r="I1054" s="200"/>
      <c r="J1054" s="200"/>
      <c r="K1054" s="200"/>
      <c r="L1054" s="200"/>
      <c r="M1054" s="200"/>
      <c r="N1054" s="200"/>
      <c r="O1054" s="200"/>
      <c r="P1054" s="200"/>
      <c r="Q1054" s="353"/>
      <c r="R1054" s="353"/>
      <c r="S1054" s="353"/>
      <c r="T1054" s="353"/>
      <c r="U1054" s="353"/>
      <c r="V1054" s="353"/>
      <c r="W1054" s="200"/>
      <c r="X1054" s="200"/>
      <c r="Y1054" s="200"/>
      <c r="Z1054" s="200"/>
      <c r="AA1054" s="200"/>
      <c r="AB1054" s="200"/>
      <c r="AC1054" s="200"/>
      <c r="AD1054" s="200"/>
      <c r="AE1054" s="200"/>
      <c r="AF1054" s="200"/>
      <c r="AG1054" s="200"/>
      <c r="AH1054" s="200"/>
      <c r="AI1054" s="200"/>
      <c r="AJ1054" s="200"/>
      <c r="AK1054" s="200"/>
      <c r="AL1054" s="200"/>
      <c r="AM1054" s="200"/>
      <c r="AN1054" s="200"/>
      <c r="AO1054" s="200"/>
      <c r="AP1054" s="200"/>
      <c r="AQ1054" s="200"/>
      <c r="AR1054" s="200"/>
      <c r="AS1054" s="200"/>
      <c r="AT1054" s="200"/>
    </row>
    <row r="1055" spans="1:46" ht="16.5" customHeight="1">
      <c r="A1055" s="432"/>
      <c r="B1055" s="307"/>
      <c r="C1055" s="200"/>
      <c r="D1055" s="200"/>
      <c r="E1055" s="200"/>
      <c r="F1055" s="200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200"/>
      <c r="Q1055" s="353"/>
      <c r="R1055" s="353"/>
      <c r="S1055" s="353"/>
      <c r="T1055" s="353"/>
      <c r="U1055" s="353"/>
      <c r="V1055" s="353"/>
      <c r="W1055" s="200"/>
      <c r="X1055" s="200"/>
      <c r="Y1055" s="200"/>
      <c r="Z1055" s="200"/>
      <c r="AA1055" s="200"/>
      <c r="AB1055" s="200"/>
      <c r="AC1055" s="200"/>
      <c r="AD1055" s="200"/>
      <c r="AE1055" s="200"/>
      <c r="AF1055" s="200"/>
      <c r="AG1055" s="200"/>
      <c r="AH1055" s="200"/>
      <c r="AI1055" s="200"/>
      <c r="AJ1055" s="200"/>
      <c r="AK1055" s="200"/>
      <c r="AL1055" s="200"/>
      <c r="AM1055" s="200"/>
      <c r="AN1055" s="200"/>
      <c r="AO1055" s="200"/>
      <c r="AP1055" s="200"/>
      <c r="AQ1055" s="200"/>
      <c r="AR1055" s="200"/>
      <c r="AS1055" s="200"/>
      <c r="AT1055" s="200"/>
    </row>
    <row r="1056" spans="1:46" ht="16.5" customHeight="1">
      <c r="A1056" s="432"/>
      <c r="B1056" s="307"/>
      <c r="C1056" s="200"/>
      <c r="D1056" s="200"/>
      <c r="E1056" s="200"/>
      <c r="F1056" s="200"/>
      <c r="G1056" s="200"/>
      <c r="H1056" s="200"/>
      <c r="I1056" s="200"/>
      <c r="J1056" s="200"/>
      <c r="K1056" s="200"/>
      <c r="L1056" s="200"/>
      <c r="M1056" s="200"/>
      <c r="N1056" s="200"/>
      <c r="O1056" s="200"/>
      <c r="P1056" s="200"/>
      <c r="Q1056" s="353"/>
      <c r="R1056" s="353"/>
      <c r="S1056" s="353"/>
      <c r="T1056" s="353"/>
      <c r="U1056" s="353"/>
      <c r="V1056" s="353"/>
      <c r="W1056" s="200"/>
      <c r="X1056" s="200"/>
      <c r="Y1056" s="200"/>
      <c r="Z1056" s="200"/>
      <c r="AA1056" s="200"/>
      <c r="AB1056" s="200"/>
      <c r="AC1056" s="200"/>
      <c r="AD1056" s="200"/>
      <c r="AE1056" s="200"/>
      <c r="AF1056" s="200"/>
      <c r="AG1056" s="200"/>
      <c r="AH1056" s="200"/>
      <c r="AI1056" s="200"/>
      <c r="AJ1056" s="200"/>
      <c r="AK1056" s="200"/>
      <c r="AL1056" s="200"/>
      <c r="AM1056" s="200"/>
      <c r="AN1056" s="200"/>
      <c r="AO1056" s="200"/>
      <c r="AP1056" s="200"/>
      <c r="AQ1056" s="200"/>
      <c r="AR1056" s="200"/>
      <c r="AS1056" s="200"/>
      <c r="AT1056" s="200"/>
    </row>
    <row r="1057" spans="1:46" ht="16.5" customHeight="1">
      <c r="A1057" s="432"/>
      <c r="B1057" s="307"/>
      <c r="C1057" s="200"/>
      <c r="D1057" s="200"/>
      <c r="E1057" s="200"/>
      <c r="F1057" s="200"/>
      <c r="G1057" s="200"/>
      <c r="H1057" s="200"/>
      <c r="I1057" s="200"/>
      <c r="J1057" s="200"/>
      <c r="K1057" s="200"/>
      <c r="L1057" s="200"/>
      <c r="M1057" s="200"/>
      <c r="N1057" s="200"/>
      <c r="O1057" s="200"/>
      <c r="P1057" s="200"/>
      <c r="Q1057" s="353"/>
      <c r="R1057" s="353"/>
      <c r="S1057" s="353"/>
      <c r="T1057" s="353"/>
      <c r="U1057" s="353"/>
      <c r="V1057" s="353"/>
      <c r="W1057" s="200"/>
      <c r="X1057" s="200"/>
      <c r="Y1057" s="200"/>
      <c r="Z1057" s="200"/>
      <c r="AA1057" s="200"/>
      <c r="AB1057" s="200"/>
      <c r="AC1057" s="200"/>
      <c r="AD1057" s="200"/>
      <c r="AE1057" s="200"/>
      <c r="AF1057" s="200"/>
      <c r="AG1057" s="200"/>
      <c r="AH1057" s="200"/>
      <c r="AI1057" s="200"/>
      <c r="AJ1057" s="200"/>
      <c r="AK1057" s="200"/>
      <c r="AL1057" s="200"/>
      <c r="AM1057" s="200"/>
      <c r="AN1057" s="200"/>
      <c r="AO1057" s="200"/>
      <c r="AP1057" s="200"/>
      <c r="AQ1057" s="200"/>
      <c r="AR1057" s="200"/>
      <c r="AS1057" s="200"/>
      <c r="AT1057" s="200"/>
    </row>
    <row r="1058" spans="1:46" ht="16.5" customHeight="1">
      <c r="A1058" s="432"/>
      <c r="B1058" s="307"/>
      <c r="C1058" s="200"/>
      <c r="D1058" s="200"/>
      <c r="E1058" s="200"/>
      <c r="F1058" s="200"/>
      <c r="G1058" s="200"/>
      <c r="H1058" s="200"/>
      <c r="I1058" s="200"/>
      <c r="J1058" s="200"/>
      <c r="K1058" s="200"/>
      <c r="L1058" s="200"/>
      <c r="M1058" s="200"/>
      <c r="N1058" s="200"/>
      <c r="O1058" s="200"/>
      <c r="P1058" s="200"/>
      <c r="Q1058" s="353"/>
      <c r="R1058" s="353"/>
      <c r="S1058" s="353"/>
      <c r="T1058" s="353"/>
      <c r="U1058" s="353"/>
      <c r="V1058" s="353"/>
      <c r="W1058" s="200"/>
      <c r="X1058" s="200"/>
      <c r="Y1058" s="200"/>
      <c r="Z1058" s="200"/>
      <c r="AA1058" s="200"/>
      <c r="AB1058" s="200"/>
      <c r="AC1058" s="200"/>
      <c r="AD1058" s="200"/>
      <c r="AE1058" s="200"/>
      <c r="AF1058" s="200"/>
      <c r="AG1058" s="200"/>
      <c r="AH1058" s="200"/>
      <c r="AI1058" s="200"/>
      <c r="AJ1058" s="200"/>
      <c r="AK1058" s="200"/>
      <c r="AL1058" s="200"/>
      <c r="AM1058" s="200"/>
      <c r="AN1058" s="200"/>
      <c r="AO1058" s="200"/>
      <c r="AP1058" s="200"/>
      <c r="AQ1058" s="200"/>
      <c r="AR1058" s="200"/>
      <c r="AS1058" s="200"/>
      <c r="AT1058" s="200"/>
    </row>
    <row r="1059" spans="1:46" ht="16.5" customHeight="1">
      <c r="A1059" s="432"/>
      <c r="B1059" s="307"/>
      <c r="C1059" s="200"/>
      <c r="D1059" s="200"/>
      <c r="E1059" s="200"/>
      <c r="F1059" s="200"/>
      <c r="G1059" s="200"/>
      <c r="H1059" s="200"/>
      <c r="I1059" s="200"/>
      <c r="J1059" s="200"/>
      <c r="K1059" s="200"/>
      <c r="L1059" s="200"/>
      <c r="M1059" s="200"/>
      <c r="N1059" s="200"/>
      <c r="O1059" s="200"/>
      <c r="P1059" s="200"/>
      <c r="Q1059" s="353"/>
      <c r="R1059" s="353"/>
      <c r="S1059" s="353"/>
      <c r="T1059" s="353"/>
      <c r="U1059" s="353"/>
      <c r="V1059" s="353"/>
      <c r="W1059" s="200"/>
      <c r="X1059" s="200"/>
      <c r="Y1059" s="200"/>
      <c r="Z1059" s="200"/>
      <c r="AA1059" s="200"/>
      <c r="AB1059" s="200"/>
      <c r="AC1059" s="200"/>
      <c r="AD1059" s="200"/>
      <c r="AE1059" s="200"/>
      <c r="AF1059" s="200"/>
      <c r="AG1059" s="200"/>
      <c r="AH1059" s="200"/>
      <c r="AI1059" s="200"/>
      <c r="AJ1059" s="200"/>
      <c r="AK1059" s="200"/>
      <c r="AL1059" s="200"/>
      <c r="AM1059" s="200"/>
      <c r="AN1059" s="200"/>
      <c r="AO1059" s="200"/>
      <c r="AP1059" s="200"/>
      <c r="AQ1059" s="200"/>
      <c r="AR1059" s="200"/>
      <c r="AS1059" s="200"/>
      <c r="AT1059" s="200"/>
    </row>
    <row r="1060" spans="1:46" ht="16.5" customHeight="1">
      <c r="A1060" s="432"/>
      <c r="B1060" s="307"/>
      <c r="C1060" s="200"/>
      <c r="D1060" s="200"/>
      <c r="E1060" s="200"/>
      <c r="F1060" s="200"/>
      <c r="G1060" s="200"/>
      <c r="H1060" s="200"/>
      <c r="I1060" s="200"/>
      <c r="J1060" s="200"/>
      <c r="K1060" s="200"/>
      <c r="L1060" s="200"/>
      <c r="M1060" s="200"/>
      <c r="N1060" s="200"/>
      <c r="O1060" s="200"/>
      <c r="P1060" s="200"/>
      <c r="Q1060" s="353"/>
      <c r="R1060" s="353"/>
      <c r="S1060" s="353"/>
      <c r="T1060" s="353"/>
      <c r="U1060" s="353"/>
      <c r="V1060" s="353"/>
      <c r="W1060" s="200"/>
      <c r="X1060" s="200"/>
      <c r="Y1060" s="200"/>
      <c r="Z1060" s="200"/>
      <c r="AA1060" s="200"/>
      <c r="AB1060" s="200"/>
      <c r="AC1060" s="200"/>
      <c r="AD1060" s="200"/>
      <c r="AE1060" s="200"/>
      <c r="AF1060" s="200"/>
      <c r="AG1060" s="200"/>
      <c r="AH1060" s="200"/>
      <c r="AI1060" s="200"/>
      <c r="AJ1060" s="200"/>
      <c r="AK1060" s="200"/>
      <c r="AL1060" s="200"/>
      <c r="AM1060" s="200"/>
      <c r="AN1060" s="200"/>
      <c r="AO1060" s="200"/>
      <c r="AP1060" s="200"/>
      <c r="AQ1060" s="200"/>
      <c r="AR1060" s="200"/>
      <c r="AS1060" s="200"/>
      <c r="AT1060" s="200"/>
    </row>
    <row r="1061" spans="1:46" ht="16.5" customHeight="1">
      <c r="A1061" s="432"/>
      <c r="B1061" s="307"/>
      <c r="C1061" s="200"/>
      <c r="D1061" s="200"/>
      <c r="E1061" s="200"/>
      <c r="F1061" s="200"/>
      <c r="G1061" s="200"/>
      <c r="H1061" s="200"/>
      <c r="I1061" s="200"/>
      <c r="J1061" s="200"/>
      <c r="K1061" s="200"/>
      <c r="L1061" s="200"/>
      <c r="M1061" s="200"/>
      <c r="N1061" s="200"/>
      <c r="O1061" s="200"/>
      <c r="P1061" s="200"/>
      <c r="Q1061" s="353"/>
      <c r="R1061" s="353"/>
      <c r="S1061" s="353"/>
      <c r="T1061" s="353"/>
      <c r="U1061" s="353"/>
      <c r="V1061" s="353"/>
      <c r="W1061" s="200"/>
      <c r="X1061" s="200"/>
      <c r="Y1061" s="200"/>
      <c r="Z1061" s="200"/>
      <c r="AA1061" s="200"/>
      <c r="AB1061" s="200"/>
      <c r="AC1061" s="200"/>
      <c r="AD1061" s="200"/>
      <c r="AE1061" s="200"/>
      <c r="AF1061" s="200"/>
      <c r="AG1061" s="200"/>
      <c r="AH1061" s="200"/>
      <c r="AI1061" s="200"/>
      <c r="AJ1061" s="200"/>
      <c r="AK1061" s="200"/>
      <c r="AL1061" s="200"/>
      <c r="AM1061" s="200"/>
      <c r="AN1061" s="200"/>
      <c r="AO1061" s="200"/>
      <c r="AP1061" s="200"/>
      <c r="AQ1061" s="200"/>
      <c r="AR1061" s="200"/>
      <c r="AS1061" s="200"/>
      <c r="AT1061" s="200"/>
    </row>
    <row r="1062" spans="1:46" ht="16.5" customHeight="1">
      <c r="A1062" s="432"/>
      <c r="B1062" s="307"/>
      <c r="C1062" s="200"/>
      <c r="D1062" s="200"/>
      <c r="E1062" s="200"/>
      <c r="F1062" s="200"/>
      <c r="G1062" s="200"/>
      <c r="H1062" s="200"/>
      <c r="I1062" s="200"/>
      <c r="J1062" s="200"/>
      <c r="K1062" s="200"/>
      <c r="L1062" s="200"/>
      <c r="M1062" s="200"/>
      <c r="N1062" s="200"/>
      <c r="O1062" s="200"/>
      <c r="P1062" s="200"/>
      <c r="Q1062" s="353"/>
      <c r="R1062" s="353"/>
      <c r="S1062" s="353"/>
      <c r="T1062" s="353"/>
      <c r="U1062" s="353"/>
      <c r="V1062" s="353"/>
      <c r="W1062" s="200"/>
      <c r="X1062" s="200"/>
      <c r="Y1062" s="200"/>
      <c r="Z1062" s="200"/>
      <c r="AA1062" s="200"/>
      <c r="AB1062" s="200"/>
      <c r="AC1062" s="200"/>
      <c r="AD1062" s="200"/>
      <c r="AE1062" s="200"/>
      <c r="AF1062" s="200"/>
      <c r="AG1062" s="200"/>
      <c r="AH1062" s="200"/>
      <c r="AI1062" s="200"/>
      <c r="AJ1062" s="200"/>
      <c r="AK1062" s="200"/>
      <c r="AL1062" s="200"/>
      <c r="AM1062" s="200"/>
      <c r="AN1062" s="200"/>
      <c r="AO1062" s="200"/>
      <c r="AP1062" s="200"/>
      <c r="AQ1062" s="200"/>
      <c r="AR1062" s="200"/>
      <c r="AS1062" s="200"/>
      <c r="AT1062" s="200"/>
    </row>
    <row r="1063" spans="1:46" ht="16.5" customHeight="1">
      <c r="A1063" s="432"/>
      <c r="B1063" s="307"/>
      <c r="C1063" s="200"/>
      <c r="D1063" s="200"/>
      <c r="E1063" s="200"/>
      <c r="F1063" s="200"/>
      <c r="G1063" s="200"/>
      <c r="H1063" s="200"/>
      <c r="I1063" s="200"/>
      <c r="J1063" s="200"/>
      <c r="K1063" s="200"/>
      <c r="L1063" s="200"/>
      <c r="M1063" s="200"/>
      <c r="N1063" s="200"/>
      <c r="O1063" s="200"/>
      <c r="P1063" s="200"/>
      <c r="Q1063" s="353"/>
      <c r="R1063" s="353"/>
      <c r="S1063" s="353"/>
      <c r="T1063" s="353"/>
      <c r="U1063" s="353"/>
      <c r="V1063" s="353"/>
      <c r="W1063" s="200"/>
      <c r="X1063" s="200"/>
      <c r="Y1063" s="200"/>
      <c r="Z1063" s="200"/>
      <c r="AA1063" s="200"/>
      <c r="AB1063" s="200"/>
      <c r="AC1063" s="200"/>
      <c r="AD1063" s="200"/>
      <c r="AE1063" s="200"/>
      <c r="AF1063" s="200"/>
      <c r="AG1063" s="200"/>
      <c r="AH1063" s="200"/>
      <c r="AI1063" s="200"/>
      <c r="AJ1063" s="200"/>
      <c r="AK1063" s="200"/>
      <c r="AL1063" s="200"/>
      <c r="AM1063" s="200"/>
      <c r="AN1063" s="200"/>
      <c r="AO1063" s="200"/>
      <c r="AP1063" s="200"/>
      <c r="AQ1063" s="200"/>
      <c r="AR1063" s="200"/>
      <c r="AS1063" s="200"/>
      <c r="AT1063" s="200"/>
    </row>
    <row r="1064" spans="1:46" ht="16.5" customHeight="1">
      <c r="A1064" s="432"/>
      <c r="B1064" s="307"/>
      <c r="C1064" s="200"/>
      <c r="D1064" s="200"/>
      <c r="E1064" s="200"/>
      <c r="F1064" s="200"/>
      <c r="G1064" s="200"/>
      <c r="H1064" s="200"/>
      <c r="I1064" s="200"/>
      <c r="J1064" s="200"/>
      <c r="K1064" s="200"/>
      <c r="L1064" s="200"/>
      <c r="M1064" s="200"/>
      <c r="N1064" s="200"/>
      <c r="O1064" s="200"/>
      <c r="P1064" s="200"/>
      <c r="Q1064" s="353"/>
      <c r="R1064" s="353"/>
      <c r="S1064" s="353"/>
      <c r="T1064" s="353"/>
      <c r="U1064" s="353"/>
      <c r="V1064" s="353"/>
      <c r="W1064" s="200"/>
      <c r="X1064" s="200"/>
      <c r="Y1064" s="200"/>
      <c r="Z1064" s="200"/>
      <c r="AA1064" s="200"/>
      <c r="AB1064" s="200"/>
      <c r="AC1064" s="200"/>
      <c r="AD1064" s="200"/>
      <c r="AE1064" s="200"/>
      <c r="AF1064" s="200"/>
      <c r="AG1064" s="200"/>
      <c r="AH1064" s="200"/>
      <c r="AI1064" s="200"/>
      <c r="AJ1064" s="200"/>
      <c r="AK1064" s="200"/>
      <c r="AL1064" s="200"/>
      <c r="AM1064" s="200"/>
      <c r="AN1064" s="200"/>
      <c r="AO1064" s="200"/>
      <c r="AP1064" s="200"/>
      <c r="AQ1064" s="200"/>
      <c r="AR1064" s="200"/>
      <c r="AS1064" s="200"/>
      <c r="AT1064" s="200"/>
    </row>
    <row r="1065" spans="1:46" ht="16.5" customHeight="1">
      <c r="A1065" s="432"/>
      <c r="B1065" s="307"/>
      <c r="C1065" s="200"/>
      <c r="D1065" s="200"/>
      <c r="E1065" s="200"/>
      <c r="F1065" s="200"/>
      <c r="G1065" s="200"/>
      <c r="H1065" s="200"/>
      <c r="I1065" s="200"/>
      <c r="J1065" s="200"/>
      <c r="K1065" s="200"/>
      <c r="L1065" s="200"/>
      <c r="M1065" s="200"/>
      <c r="N1065" s="200"/>
      <c r="O1065" s="200"/>
      <c r="P1065" s="200"/>
      <c r="Q1065" s="353"/>
      <c r="R1065" s="353"/>
      <c r="S1065" s="353"/>
      <c r="T1065" s="353"/>
      <c r="U1065" s="353"/>
      <c r="V1065" s="353"/>
      <c r="W1065" s="200"/>
      <c r="X1065" s="200"/>
      <c r="Y1065" s="200"/>
      <c r="Z1065" s="200"/>
      <c r="AA1065" s="200"/>
      <c r="AB1065" s="200"/>
      <c r="AC1065" s="200"/>
      <c r="AD1065" s="200"/>
      <c r="AE1065" s="200"/>
      <c r="AF1065" s="200"/>
      <c r="AG1065" s="200"/>
      <c r="AH1065" s="200"/>
      <c r="AI1065" s="200"/>
      <c r="AJ1065" s="200"/>
      <c r="AK1065" s="200"/>
      <c r="AL1065" s="200"/>
      <c r="AM1065" s="200"/>
      <c r="AN1065" s="200"/>
      <c r="AO1065" s="200"/>
      <c r="AP1065" s="200"/>
      <c r="AQ1065" s="200"/>
      <c r="AR1065" s="200"/>
      <c r="AS1065" s="200"/>
      <c r="AT1065" s="200"/>
    </row>
    <row r="1066" spans="1:46" ht="16.5" customHeight="1">
      <c r="A1066" s="432"/>
      <c r="B1066" s="307"/>
      <c r="C1066" s="200"/>
      <c r="D1066" s="200"/>
      <c r="E1066" s="200"/>
      <c r="F1066" s="200"/>
      <c r="G1066" s="200"/>
      <c r="H1066" s="200"/>
      <c r="I1066" s="200"/>
      <c r="J1066" s="200"/>
      <c r="K1066" s="200"/>
      <c r="L1066" s="200"/>
      <c r="M1066" s="200"/>
      <c r="N1066" s="200"/>
      <c r="O1066" s="200"/>
      <c r="P1066" s="200"/>
      <c r="Q1066" s="353"/>
      <c r="R1066" s="353"/>
      <c r="S1066" s="353"/>
      <c r="T1066" s="353"/>
      <c r="U1066" s="353"/>
      <c r="V1066" s="353"/>
      <c r="W1066" s="200"/>
      <c r="X1066" s="200"/>
      <c r="Y1066" s="200"/>
      <c r="Z1066" s="200"/>
      <c r="AA1066" s="200"/>
      <c r="AB1066" s="200"/>
      <c r="AC1066" s="200"/>
      <c r="AD1066" s="200"/>
      <c r="AE1066" s="200"/>
      <c r="AF1066" s="200"/>
      <c r="AG1066" s="200"/>
      <c r="AH1066" s="200"/>
      <c r="AI1066" s="200"/>
      <c r="AJ1066" s="200"/>
      <c r="AK1066" s="200"/>
      <c r="AL1066" s="200"/>
      <c r="AM1066" s="200"/>
      <c r="AN1066" s="200"/>
      <c r="AO1066" s="200"/>
      <c r="AP1066" s="200"/>
      <c r="AQ1066" s="200"/>
      <c r="AR1066" s="200"/>
      <c r="AS1066" s="200"/>
      <c r="AT1066" s="200"/>
    </row>
    <row r="1067" spans="1:46" ht="16.5" customHeight="1">
      <c r="A1067" s="432"/>
      <c r="B1067" s="307"/>
      <c r="C1067" s="200"/>
      <c r="D1067" s="200"/>
      <c r="E1067" s="200"/>
      <c r="F1067" s="200"/>
      <c r="G1067" s="200"/>
      <c r="H1067" s="200"/>
      <c r="I1067" s="200"/>
      <c r="J1067" s="200"/>
      <c r="K1067" s="200"/>
      <c r="L1067" s="200"/>
      <c r="M1067" s="200"/>
      <c r="N1067" s="200"/>
      <c r="O1067" s="200"/>
      <c r="P1067" s="200"/>
      <c r="Q1067" s="353"/>
      <c r="R1067" s="353"/>
      <c r="S1067" s="353"/>
      <c r="T1067" s="353"/>
      <c r="U1067" s="353"/>
      <c r="V1067" s="353"/>
      <c r="W1067" s="200"/>
      <c r="X1067" s="200"/>
      <c r="Y1067" s="200"/>
      <c r="Z1067" s="200"/>
      <c r="AA1067" s="200"/>
      <c r="AB1067" s="200"/>
      <c r="AC1067" s="200"/>
      <c r="AD1067" s="200"/>
      <c r="AE1067" s="200"/>
      <c r="AF1067" s="200"/>
      <c r="AG1067" s="200"/>
      <c r="AH1067" s="200"/>
      <c r="AI1067" s="200"/>
      <c r="AJ1067" s="200"/>
      <c r="AK1067" s="200"/>
      <c r="AL1067" s="200"/>
      <c r="AM1067" s="200"/>
      <c r="AN1067" s="200"/>
      <c r="AO1067" s="200"/>
      <c r="AP1067" s="200"/>
      <c r="AQ1067" s="200"/>
      <c r="AR1067" s="200"/>
      <c r="AS1067" s="200"/>
      <c r="AT1067" s="200"/>
    </row>
    <row r="1068" spans="1:46" ht="16.5" customHeight="1">
      <c r="A1068" s="432"/>
      <c r="B1068" s="307"/>
      <c r="C1068" s="200"/>
      <c r="D1068" s="200"/>
      <c r="E1068" s="200"/>
      <c r="F1068" s="200"/>
      <c r="G1068" s="200"/>
      <c r="H1068" s="200"/>
      <c r="I1068" s="200"/>
      <c r="J1068" s="200"/>
      <c r="K1068" s="200"/>
      <c r="L1068" s="200"/>
      <c r="M1068" s="200"/>
      <c r="N1068" s="200"/>
      <c r="O1068" s="200"/>
      <c r="P1068" s="200"/>
      <c r="Q1068" s="353"/>
      <c r="R1068" s="353"/>
      <c r="S1068" s="353"/>
      <c r="T1068" s="353"/>
      <c r="U1068" s="353"/>
      <c r="V1068" s="353"/>
      <c r="W1068" s="200"/>
      <c r="X1068" s="200"/>
      <c r="Y1068" s="200"/>
      <c r="Z1068" s="200"/>
      <c r="AA1068" s="200"/>
      <c r="AB1068" s="200"/>
      <c r="AC1068" s="200"/>
      <c r="AD1068" s="200"/>
      <c r="AE1068" s="200"/>
      <c r="AF1068" s="200"/>
      <c r="AG1068" s="200"/>
      <c r="AH1068" s="200"/>
      <c r="AI1068" s="200"/>
      <c r="AJ1068" s="200"/>
      <c r="AK1068" s="200"/>
      <c r="AL1068" s="200"/>
      <c r="AM1068" s="200"/>
      <c r="AN1068" s="200"/>
      <c r="AO1068" s="200"/>
      <c r="AP1068" s="200"/>
      <c r="AQ1068" s="200"/>
      <c r="AR1068" s="200"/>
      <c r="AS1068" s="200"/>
      <c r="AT1068" s="200"/>
    </row>
    <row r="1069" spans="1:46" ht="16.5" customHeight="1">
      <c r="A1069" s="432"/>
      <c r="B1069" s="307"/>
      <c r="C1069" s="200"/>
      <c r="D1069" s="200"/>
      <c r="E1069" s="200"/>
      <c r="F1069" s="200"/>
      <c r="G1069" s="200"/>
      <c r="H1069" s="200"/>
      <c r="I1069" s="200"/>
      <c r="J1069" s="200"/>
      <c r="K1069" s="200"/>
      <c r="L1069" s="200"/>
      <c r="M1069" s="200"/>
      <c r="N1069" s="200"/>
      <c r="O1069" s="200"/>
      <c r="P1069" s="200"/>
      <c r="Q1069" s="353"/>
      <c r="R1069" s="353"/>
      <c r="S1069" s="353"/>
      <c r="T1069" s="353"/>
      <c r="U1069" s="353"/>
      <c r="V1069" s="353"/>
      <c r="W1069" s="200"/>
      <c r="X1069" s="200"/>
      <c r="Y1069" s="200"/>
      <c r="Z1069" s="200"/>
      <c r="AA1069" s="200"/>
      <c r="AB1069" s="200"/>
      <c r="AC1069" s="200"/>
      <c r="AD1069" s="200"/>
      <c r="AE1069" s="200"/>
      <c r="AF1069" s="200"/>
      <c r="AG1069" s="200"/>
      <c r="AH1069" s="200"/>
      <c r="AI1069" s="200"/>
      <c r="AJ1069" s="200"/>
      <c r="AK1069" s="200"/>
      <c r="AL1069" s="200"/>
      <c r="AM1069" s="200"/>
      <c r="AN1069" s="200"/>
      <c r="AO1069" s="200"/>
      <c r="AP1069" s="200"/>
      <c r="AQ1069" s="200"/>
      <c r="AR1069" s="200"/>
      <c r="AS1069" s="200"/>
      <c r="AT1069" s="200"/>
    </row>
    <row r="1070" spans="1:46" ht="16.5" customHeight="1">
      <c r="A1070" s="432"/>
      <c r="B1070" s="307"/>
      <c r="C1070" s="200"/>
      <c r="D1070" s="200"/>
      <c r="E1070" s="200"/>
      <c r="F1070" s="200"/>
      <c r="G1070" s="200"/>
      <c r="H1070" s="200"/>
      <c r="I1070" s="200"/>
      <c r="J1070" s="200"/>
      <c r="K1070" s="200"/>
      <c r="L1070" s="200"/>
      <c r="M1070" s="200"/>
      <c r="N1070" s="200"/>
      <c r="O1070" s="200"/>
      <c r="P1070" s="200"/>
      <c r="Q1070" s="353"/>
      <c r="R1070" s="353"/>
      <c r="S1070" s="353"/>
      <c r="T1070" s="353"/>
      <c r="U1070" s="353"/>
      <c r="V1070" s="353"/>
      <c r="W1070" s="200"/>
      <c r="X1070" s="200"/>
      <c r="Y1070" s="200"/>
      <c r="Z1070" s="200"/>
      <c r="AA1070" s="200"/>
      <c r="AB1070" s="200"/>
      <c r="AC1070" s="200"/>
      <c r="AD1070" s="200"/>
      <c r="AE1070" s="200"/>
      <c r="AF1070" s="200"/>
      <c r="AG1070" s="200"/>
      <c r="AH1070" s="200"/>
      <c r="AI1070" s="200"/>
      <c r="AJ1070" s="200"/>
      <c r="AK1070" s="200"/>
      <c r="AL1070" s="200"/>
      <c r="AM1070" s="200"/>
      <c r="AN1070" s="200"/>
      <c r="AO1070" s="200"/>
      <c r="AP1070" s="200"/>
      <c r="AQ1070" s="200"/>
      <c r="AR1070" s="200"/>
      <c r="AS1070" s="200"/>
      <c r="AT1070" s="200"/>
    </row>
    <row r="1071" spans="1:46" ht="16.5" customHeight="1">
      <c r="A1071" s="432"/>
      <c r="B1071" s="307"/>
      <c r="C1071" s="200"/>
      <c r="D1071" s="200"/>
      <c r="E1071" s="200"/>
      <c r="F1071" s="200"/>
      <c r="G1071" s="200"/>
      <c r="H1071" s="200"/>
      <c r="I1071" s="200"/>
      <c r="J1071" s="200"/>
      <c r="K1071" s="200"/>
      <c r="L1071" s="200"/>
      <c r="M1071" s="200"/>
      <c r="N1071" s="200"/>
      <c r="O1071" s="200"/>
      <c r="P1071" s="200"/>
      <c r="Q1071" s="353"/>
      <c r="R1071" s="353"/>
      <c r="S1071" s="353"/>
      <c r="T1071" s="353"/>
      <c r="U1071" s="353"/>
      <c r="V1071" s="353"/>
      <c r="W1071" s="200"/>
      <c r="X1071" s="200"/>
      <c r="Y1071" s="200"/>
      <c r="Z1071" s="200"/>
      <c r="AA1071" s="200"/>
      <c r="AB1071" s="200"/>
      <c r="AC1071" s="200"/>
      <c r="AD1071" s="200"/>
      <c r="AE1071" s="200"/>
      <c r="AF1071" s="200"/>
      <c r="AG1071" s="200"/>
      <c r="AH1071" s="200"/>
      <c r="AI1071" s="200"/>
      <c r="AJ1071" s="200"/>
      <c r="AK1071" s="200"/>
      <c r="AL1071" s="200"/>
      <c r="AM1071" s="200"/>
      <c r="AN1071" s="200"/>
      <c r="AO1071" s="200"/>
      <c r="AP1071" s="200"/>
      <c r="AQ1071" s="200"/>
      <c r="AR1071" s="200"/>
      <c r="AS1071" s="200"/>
      <c r="AT1071" s="200"/>
    </row>
    <row r="1072" spans="1:46" ht="16.5" customHeight="1">
      <c r="A1072" s="432"/>
      <c r="B1072" s="307"/>
      <c r="C1072" s="200"/>
      <c r="D1072" s="200"/>
      <c r="E1072" s="200"/>
      <c r="F1072" s="200"/>
      <c r="G1072" s="200"/>
      <c r="H1072" s="200"/>
      <c r="I1072" s="200"/>
      <c r="J1072" s="200"/>
      <c r="K1072" s="200"/>
      <c r="L1072" s="200"/>
      <c r="M1072" s="200"/>
      <c r="N1072" s="200"/>
      <c r="O1072" s="200"/>
      <c r="P1072" s="200"/>
      <c r="Q1072" s="353"/>
      <c r="R1072" s="353"/>
      <c r="S1072" s="353"/>
      <c r="T1072" s="353"/>
      <c r="U1072" s="353"/>
      <c r="V1072" s="353"/>
      <c r="W1072" s="200"/>
      <c r="X1072" s="200"/>
      <c r="Y1072" s="200"/>
      <c r="Z1072" s="200"/>
      <c r="AA1072" s="200"/>
      <c r="AB1072" s="200"/>
      <c r="AC1072" s="200"/>
      <c r="AD1072" s="200"/>
      <c r="AE1072" s="200"/>
      <c r="AF1072" s="200"/>
      <c r="AG1072" s="200"/>
      <c r="AH1072" s="200"/>
      <c r="AI1072" s="200"/>
      <c r="AJ1072" s="200"/>
      <c r="AK1072" s="200"/>
      <c r="AL1072" s="200"/>
      <c r="AM1072" s="200"/>
      <c r="AN1072" s="200"/>
      <c r="AO1072" s="200"/>
      <c r="AP1072" s="200"/>
      <c r="AQ1072" s="200"/>
      <c r="AR1072" s="200"/>
      <c r="AS1072" s="200"/>
      <c r="AT1072" s="200"/>
    </row>
    <row r="1073" spans="1:46" ht="16.5" customHeight="1">
      <c r="A1073" s="432"/>
      <c r="B1073" s="307"/>
      <c r="C1073" s="200"/>
      <c r="D1073" s="200"/>
      <c r="E1073" s="200"/>
      <c r="F1073" s="200"/>
      <c r="G1073" s="200"/>
      <c r="H1073" s="200"/>
      <c r="I1073" s="200"/>
      <c r="J1073" s="200"/>
      <c r="K1073" s="200"/>
      <c r="L1073" s="200"/>
      <c r="M1073" s="200"/>
      <c r="N1073" s="200"/>
      <c r="O1073" s="200"/>
      <c r="P1073" s="200"/>
      <c r="Q1073" s="353"/>
      <c r="R1073" s="353"/>
      <c r="S1073" s="353"/>
      <c r="T1073" s="353"/>
      <c r="U1073" s="353"/>
      <c r="V1073" s="353"/>
      <c r="W1073" s="200"/>
      <c r="X1073" s="200"/>
      <c r="Y1073" s="200"/>
      <c r="Z1073" s="200"/>
      <c r="AA1073" s="200"/>
      <c r="AB1073" s="200"/>
      <c r="AC1073" s="200"/>
      <c r="AD1073" s="200"/>
      <c r="AE1073" s="200"/>
      <c r="AF1073" s="200"/>
      <c r="AG1073" s="200"/>
      <c r="AH1073" s="200"/>
      <c r="AI1073" s="200"/>
      <c r="AJ1073" s="200"/>
      <c r="AK1073" s="200"/>
      <c r="AL1073" s="200"/>
      <c r="AM1073" s="200"/>
      <c r="AN1073" s="200"/>
      <c r="AO1073" s="200"/>
      <c r="AP1073" s="200"/>
      <c r="AQ1073" s="200"/>
      <c r="AR1073" s="200"/>
      <c r="AS1073" s="200"/>
      <c r="AT1073" s="200"/>
    </row>
    <row r="1074" spans="1:46" ht="16.5" customHeight="1">
      <c r="A1074" s="432"/>
      <c r="B1074" s="307"/>
      <c r="C1074" s="200"/>
      <c r="D1074" s="200"/>
      <c r="E1074" s="200"/>
      <c r="F1074" s="200"/>
      <c r="G1074" s="200"/>
      <c r="H1074" s="200"/>
      <c r="I1074" s="200"/>
      <c r="J1074" s="200"/>
      <c r="K1074" s="200"/>
      <c r="L1074" s="200"/>
      <c r="M1074" s="200"/>
      <c r="N1074" s="200"/>
      <c r="O1074" s="200"/>
      <c r="P1074" s="200"/>
      <c r="Q1074" s="353"/>
      <c r="R1074" s="353"/>
      <c r="S1074" s="353"/>
      <c r="T1074" s="353"/>
      <c r="U1074" s="353"/>
      <c r="V1074" s="353"/>
      <c r="W1074" s="200"/>
      <c r="X1074" s="200"/>
      <c r="Y1074" s="200"/>
      <c r="Z1074" s="200"/>
      <c r="AA1074" s="200"/>
      <c r="AB1074" s="200"/>
      <c r="AC1074" s="200"/>
      <c r="AD1074" s="200"/>
      <c r="AE1074" s="200"/>
      <c r="AF1074" s="200"/>
      <c r="AG1074" s="200"/>
      <c r="AH1074" s="200"/>
      <c r="AI1074" s="200"/>
      <c r="AJ1074" s="200"/>
      <c r="AK1074" s="200"/>
      <c r="AL1074" s="200"/>
      <c r="AM1074" s="200"/>
      <c r="AN1074" s="200"/>
      <c r="AO1074" s="200"/>
      <c r="AP1074" s="200"/>
      <c r="AQ1074" s="200"/>
      <c r="AR1074" s="200"/>
      <c r="AS1074" s="200"/>
      <c r="AT1074" s="200"/>
    </row>
    <row r="1075" spans="1:46" ht="16.5" customHeight="1">
      <c r="A1075" s="432"/>
      <c r="B1075" s="307"/>
      <c r="C1075" s="200"/>
      <c r="D1075" s="200"/>
      <c r="E1075" s="200"/>
      <c r="F1075" s="200"/>
      <c r="G1075" s="200"/>
      <c r="H1075" s="200"/>
      <c r="I1075" s="200"/>
      <c r="J1075" s="200"/>
      <c r="K1075" s="200"/>
      <c r="L1075" s="200"/>
      <c r="M1075" s="200"/>
      <c r="N1075" s="200"/>
      <c r="O1075" s="200"/>
      <c r="P1075" s="200"/>
      <c r="Q1075" s="353"/>
      <c r="R1075" s="353"/>
      <c r="S1075" s="353"/>
      <c r="T1075" s="353"/>
      <c r="U1075" s="353"/>
      <c r="V1075" s="353"/>
      <c r="W1075" s="200"/>
      <c r="X1075" s="200"/>
      <c r="Y1075" s="200"/>
      <c r="Z1075" s="200"/>
      <c r="AA1075" s="200"/>
      <c r="AB1075" s="200"/>
      <c r="AC1075" s="200"/>
      <c r="AD1075" s="200"/>
      <c r="AE1075" s="200"/>
      <c r="AF1075" s="200"/>
      <c r="AG1075" s="200"/>
      <c r="AH1075" s="200"/>
      <c r="AI1075" s="200"/>
      <c r="AJ1075" s="200"/>
      <c r="AK1075" s="200"/>
      <c r="AL1075" s="200"/>
      <c r="AM1075" s="200"/>
      <c r="AN1075" s="200"/>
      <c r="AO1075" s="200"/>
      <c r="AP1075" s="200"/>
      <c r="AQ1075" s="200"/>
      <c r="AR1075" s="200"/>
      <c r="AS1075" s="200"/>
      <c r="AT1075" s="200"/>
    </row>
    <row r="1076" spans="1:46" ht="16.5" customHeight="1">
      <c r="A1076" s="432"/>
      <c r="B1076" s="307"/>
      <c r="C1076" s="200"/>
      <c r="D1076" s="200"/>
      <c r="E1076" s="200"/>
      <c r="F1076" s="200"/>
      <c r="G1076" s="200"/>
      <c r="H1076" s="200"/>
      <c r="I1076" s="200"/>
      <c r="J1076" s="200"/>
      <c r="K1076" s="200"/>
      <c r="L1076" s="200"/>
      <c r="M1076" s="200"/>
      <c r="N1076" s="200"/>
      <c r="O1076" s="200"/>
      <c r="P1076" s="200"/>
      <c r="Q1076" s="353"/>
      <c r="R1076" s="353"/>
      <c r="S1076" s="353"/>
      <c r="T1076" s="353"/>
      <c r="U1076" s="353"/>
      <c r="V1076" s="353"/>
      <c r="W1076" s="200"/>
      <c r="X1076" s="200"/>
      <c r="Y1076" s="200"/>
      <c r="Z1076" s="200"/>
      <c r="AA1076" s="200"/>
      <c r="AB1076" s="200"/>
      <c r="AC1076" s="200"/>
      <c r="AD1076" s="200"/>
      <c r="AE1076" s="200"/>
      <c r="AF1076" s="200"/>
      <c r="AG1076" s="200"/>
      <c r="AH1076" s="200"/>
      <c r="AI1076" s="200"/>
      <c r="AJ1076" s="200"/>
      <c r="AK1076" s="200"/>
      <c r="AL1076" s="200"/>
      <c r="AM1076" s="200"/>
      <c r="AN1076" s="200"/>
      <c r="AO1076" s="200"/>
      <c r="AP1076" s="200"/>
      <c r="AQ1076" s="200"/>
      <c r="AR1076" s="200"/>
      <c r="AS1076" s="200"/>
      <c r="AT1076" s="200"/>
    </row>
    <row r="1077" spans="1:46" ht="16.5" customHeight="1">
      <c r="A1077" s="432"/>
      <c r="B1077" s="307"/>
      <c r="C1077" s="200"/>
      <c r="D1077" s="200"/>
      <c r="E1077" s="200"/>
      <c r="F1077" s="200"/>
      <c r="G1077" s="200"/>
      <c r="H1077" s="200"/>
      <c r="I1077" s="200"/>
      <c r="J1077" s="200"/>
      <c r="K1077" s="200"/>
      <c r="L1077" s="200"/>
      <c r="M1077" s="200"/>
      <c r="N1077" s="200"/>
      <c r="O1077" s="200"/>
      <c r="P1077" s="200"/>
      <c r="Q1077" s="353"/>
      <c r="R1077" s="353"/>
      <c r="S1077" s="353"/>
      <c r="T1077" s="353"/>
      <c r="U1077" s="353"/>
      <c r="V1077" s="353"/>
      <c r="W1077" s="200"/>
      <c r="X1077" s="200"/>
      <c r="Y1077" s="200"/>
      <c r="Z1077" s="200"/>
      <c r="AA1077" s="200"/>
      <c r="AB1077" s="200"/>
      <c r="AC1077" s="200"/>
      <c r="AD1077" s="200"/>
      <c r="AE1077" s="200"/>
      <c r="AF1077" s="200"/>
      <c r="AG1077" s="200"/>
      <c r="AH1077" s="200"/>
      <c r="AI1077" s="200"/>
      <c r="AJ1077" s="200"/>
      <c r="AK1077" s="200"/>
      <c r="AL1077" s="200"/>
      <c r="AM1077" s="200"/>
      <c r="AN1077" s="200"/>
      <c r="AO1077" s="200"/>
      <c r="AP1077" s="200"/>
      <c r="AQ1077" s="200"/>
      <c r="AR1077" s="200"/>
      <c r="AS1077" s="200"/>
      <c r="AT1077" s="200"/>
    </row>
    <row r="1078" spans="1:46" ht="16.5" customHeight="1">
      <c r="A1078" s="432"/>
      <c r="B1078" s="307"/>
      <c r="C1078" s="200"/>
      <c r="D1078" s="200"/>
      <c r="E1078" s="200"/>
      <c r="F1078" s="200"/>
      <c r="G1078" s="200"/>
      <c r="H1078" s="200"/>
      <c r="I1078" s="200"/>
      <c r="J1078" s="200"/>
      <c r="K1078" s="200"/>
      <c r="L1078" s="200"/>
      <c r="M1078" s="200"/>
      <c r="N1078" s="200"/>
      <c r="O1078" s="200"/>
      <c r="P1078" s="200"/>
      <c r="Q1078" s="353"/>
      <c r="R1078" s="353"/>
      <c r="S1078" s="353"/>
      <c r="T1078" s="353"/>
      <c r="U1078" s="353"/>
      <c r="V1078" s="353"/>
      <c r="W1078" s="200"/>
      <c r="X1078" s="200"/>
      <c r="Y1078" s="200"/>
      <c r="Z1078" s="200"/>
      <c r="AA1078" s="200"/>
      <c r="AB1078" s="200"/>
      <c r="AC1078" s="200"/>
      <c r="AD1078" s="200"/>
      <c r="AE1078" s="200"/>
      <c r="AF1078" s="200"/>
      <c r="AG1078" s="200"/>
      <c r="AH1078" s="200"/>
      <c r="AI1078" s="200"/>
      <c r="AJ1078" s="200"/>
      <c r="AK1078" s="200"/>
      <c r="AL1078" s="200"/>
      <c r="AM1078" s="200"/>
      <c r="AN1078" s="200"/>
      <c r="AO1078" s="200"/>
      <c r="AP1078" s="200"/>
      <c r="AQ1078" s="200"/>
      <c r="AR1078" s="200"/>
      <c r="AS1078" s="200"/>
      <c r="AT1078" s="200"/>
    </row>
    <row r="1079" spans="1:46" ht="16.5" customHeight="1">
      <c r="A1079" s="432"/>
      <c r="B1079" s="307"/>
      <c r="C1079" s="200"/>
      <c r="D1079" s="200"/>
      <c r="E1079" s="200"/>
      <c r="F1079" s="200"/>
      <c r="G1079" s="200"/>
      <c r="H1079" s="200"/>
      <c r="I1079" s="200"/>
      <c r="J1079" s="200"/>
      <c r="K1079" s="200"/>
      <c r="L1079" s="200"/>
      <c r="M1079" s="200"/>
      <c r="N1079" s="200"/>
      <c r="O1079" s="200"/>
      <c r="P1079" s="200"/>
      <c r="Q1079" s="353"/>
      <c r="R1079" s="353"/>
      <c r="S1079" s="353"/>
      <c r="T1079" s="353"/>
      <c r="U1079" s="353"/>
      <c r="V1079" s="353"/>
      <c r="W1079" s="200"/>
      <c r="X1079" s="200"/>
      <c r="Y1079" s="200"/>
      <c r="Z1079" s="200"/>
      <c r="AA1079" s="200"/>
      <c r="AB1079" s="200"/>
      <c r="AC1079" s="200"/>
      <c r="AD1079" s="200"/>
      <c r="AE1079" s="200"/>
      <c r="AF1079" s="200"/>
      <c r="AG1079" s="200"/>
      <c r="AH1079" s="200"/>
      <c r="AI1079" s="200"/>
      <c r="AJ1079" s="200"/>
      <c r="AK1079" s="200"/>
      <c r="AL1079" s="200"/>
      <c r="AM1079" s="200"/>
      <c r="AN1079" s="200"/>
      <c r="AO1079" s="200"/>
      <c r="AP1079" s="200"/>
      <c r="AQ1079" s="200"/>
      <c r="AR1079" s="200"/>
      <c r="AS1079" s="200"/>
      <c r="AT1079" s="200"/>
    </row>
    <row r="1080" spans="1:46" ht="16.5" customHeight="1">
      <c r="A1080" s="432"/>
      <c r="B1080" s="307"/>
      <c r="C1080" s="200"/>
      <c r="D1080" s="200"/>
      <c r="E1080" s="200"/>
      <c r="F1080" s="200"/>
      <c r="G1080" s="200"/>
      <c r="H1080" s="200"/>
      <c r="I1080" s="200"/>
      <c r="J1080" s="200"/>
      <c r="K1080" s="200"/>
      <c r="L1080" s="200"/>
      <c r="M1080" s="200"/>
      <c r="N1080" s="200"/>
      <c r="O1080" s="200"/>
      <c r="P1080" s="200"/>
      <c r="Q1080" s="353"/>
      <c r="R1080" s="353"/>
      <c r="S1080" s="353"/>
      <c r="T1080" s="353"/>
      <c r="U1080" s="353"/>
      <c r="V1080" s="353"/>
      <c r="W1080" s="200"/>
      <c r="X1080" s="200"/>
      <c r="Y1080" s="200"/>
      <c r="Z1080" s="200"/>
      <c r="AA1080" s="200"/>
      <c r="AB1080" s="200"/>
      <c r="AC1080" s="200"/>
      <c r="AD1080" s="200"/>
      <c r="AE1080" s="200"/>
      <c r="AF1080" s="200"/>
      <c r="AG1080" s="200"/>
      <c r="AH1080" s="200"/>
      <c r="AI1080" s="200"/>
      <c r="AJ1080" s="200"/>
      <c r="AK1080" s="200"/>
      <c r="AL1080" s="200"/>
      <c r="AM1080" s="200"/>
      <c r="AN1080" s="200"/>
      <c r="AO1080" s="200"/>
      <c r="AP1080" s="200"/>
      <c r="AQ1080" s="200"/>
      <c r="AR1080" s="200"/>
      <c r="AS1080" s="200"/>
      <c r="AT1080" s="200"/>
    </row>
    <row r="1081" spans="1:46" ht="16.5" customHeight="1">
      <c r="A1081" s="432"/>
      <c r="B1081" s="307"/>
      <c r="C1081" s="200"/>
      <c r="D1081" s="200"/>
      <c r="E1081" s="200"/>
      <c r="F1081" s="200"/>
      <c r="G1081" s="200"/>
      <c r="H1081" s="200"/>
      <c r="I1081" s="200"/>
      <c r="J1081" s="200"/>
      <c r="K1081" s="200"/>
      <c r="L1081" s="200"/>
      <c r="M1081" s="200"/>
      <c r="N1081" s="200"/>
      <c r="O1081" s="200"/>
      <c r="P1081" s="200"/>
      <c r="Q1081" s="353"/>
      <c r="R1081" s="353"/>
      <c r="S1081" s="353"/>
      <c r="T1081" s="353"/>
      <c r="U1081" s="353"/>
      <c r="V1081" s="353"/>
      <c r="W1081" s="200"/>
      <c r="X1081" s="200"/>
      <c r="Y1081" s="200"/>
      <c r="Z1081" s="200"/>
      <c r="AA1081" s="200"/>
      <c r="AB1081" s="200"/>
      <c r="AC1081" s="200"/>
      <c r="AD1081" s="200"/>
      <c r="AE1081" s="200"/>
      <c r="AF1081" s="200"/>
      <c r="AG1081" s="200"/>
      <c r="AH1081" s="200"/>
      <c r="AI1081" s="200"/>
      <c r="AJ1081" s="200"/>
      <c r="AK1081" s="200"/>
      <c r="AL1081" s="200"/>
      <c r="AM1081" s="200"/>
      <c r="AN1081" s="200"/>
      <c r="AO1081" s="200"/>
      <c r="AP1081" s="200"/>
      <c r="AQ1081" s="200"/>
      <c r="AR1081" s="200"/>
      <c r="AS1081" s="200"/>
      <c r="AT1081" s="200"/>
    </row>
    <row r="1082" spans="1:46" ht="16.5" customHeight="1">
      <c r="A1082" s="432"/>
      <c r="B1082" s="307"/>
      <c r="C1082" s="200"/>
      <c r="D1082" s="200"/>
      <c r="E1082" s="200"/>
      <c r="F1082" s="200"/>
      <c r="G1082" s="200"/>
      <c r="H1082" s="200"/>
      <c r="I1082" s="200"/>
      <c r="J1082" s="200"/>
      <c r="K1082" s="200"/>
      <c r="L1082" s="200"/>
      <c r="M1082" s="200"/>
      <c r="N1082" s="200"/>
      <c r="O1082" s="200"/>
      <c r="P1082" s="200"/>
      <c r="Q1082" s="353"/>
      <c r="R1082" s="353"/>
      <c r="S1082" s="353"/>
      <c r="T1082" s="353"/>
      <c r="U1082" s="353"/>
      <c r="V1082" s="353"/>
      <c r="W1082" s="200"/>
      <c r="X1082" s="200"/>
      <c r="Y1082" s="200"/>
      <c r="Z1082" s="200"/>
      <c r="AA1082" s="200"/>
      <c r="AB1082" s="200"/>
      <c r="AC1082" s="200"/>
      <c r="AD1082" s="200"/>
      <c r="AE1082" s="200"/>
      <c r="AF1082" s="200"/>
      <c r="AG1082" s="200"/>
      <c r="AH1082" s="200"/>
      <c r="AI1082" s="200"/>
      <c r="AJ1082" s="200"/>
      <c r="AK1082" s="200"/>
      <c r="AL1082" s="200"/>
      <c r="AM1082" s="200"/>
      <c r="AN1082" s="200"/>
      <c r="AO1082" s="200"/>
      <c r="AP1082" s="200"/>
      <c r="AQ1082" s="200"/>
      <c r="AR1082" s="200"/>
      <c r="AS1082" s="200"/>
      <c r="AT1082" s="200"/>
    </row>
    <row r="1083" spans="1:46" ht="16.5" customHeight="1">
      <c r="A1083" s="432"/>
      <c r="B1083" s="307"/>
      <c r="C1083" s="200"/>
      <c r="D1083" s="200"/>
      <c r="E1083" s="200"/>
      <c r="F1083" s="200"/>
      <c r="G1083" s="200"/>
      <c r="H1083" s="200"/>
      <c r="I1083" s="200"/>
      <c r="J1083" s="200"/>
      <c r="K1083" s="200"/>
      <c r="L1083" s="200"/>
      <c r="M1083" s="200"/>
      <c r="N1083" s="200"/>
      <c r="O1083" s="200"/>
      <c r="P1083" s="200"/>
      <c r="Q1083" s="353"/>
      <c r="R1083" s="353"/>
      <c r="S1083" s="353"/>
      <c r="T1083" s="353"/>
      <c r="U1083" s="353"/>
      <c r="V1083" s="353"/>
      <c r="W1083" s="200"/>
      <c r="X1083" s="200"/>
      <c r="Y1083" s="200"/>
      <c r="Z1083" s="200"/>
      <c r="AA1083" s="200"/>
      <c r="AB1083" s="200"/>
      <c r="AC1083" s="200"/>
      <c r="AD1083" s="200"/>
      <c r="AE1083" s="200"/>
      <c r="AF1083" s="200"/>
      <c r="AG1083" s="200"/>
      <c r="AH1083" s="200"/>
      <c r="AI1083" s="200"/>
      <c r="AJ1083" s="200"/>
      <c r="AK1083" s="200"/>
      <c r="AL1083" s="200"/>
      <c r="AM1083" s="200"/>
      <c r="AN1083" s="200"/>
      <c r="AO1083" s="200"/>
      <c r="AP1083" s="200"/>
      <c r="AQ1083" s="200"/>
      <c r="AR1083" s="200"/>
      <c r="AS1083" s="200"/>
      <c r="AT1083" s="200"/>
    </row>
    <row r="1084" spans="1:46" ht="16.5" customHeight="1">
      <c r="A1084" s="432"/>
      <c r="B1084" s="307"/>
      <c r="C1084" s="200"/>
      <c r="D1084" s="200"/>
      <c r="E1084" s="200"/>
      <c r="F1084" s="200"/>
      <c r="G1084" s="200"/>
      <c r="H1084" s="200"/>
      <c r="I1084" s="200"/>
      <c r="J1084" s="200"/>
      <c r="K1084" s="200"/>
      <c r="L1084" s="200"/>
      <c r="M1084" s="200"/>
      <c r="N1084" s="200"/>
      <c r="O1084" s="200"/>
      <c r="P1084" s="200"/>
      <c r="Q1084" s="353"/>
      <c r="R1084" s="353"/>
      <c r="S1084" s="353"/>
      <c r="T1084" s="353"/>
      <c r="U1084" s="353"/>
      <c r="V1084" s="353"/>
      <c r="W1084" s="200"/>
      <c r="X1084" s="200"/>
      <c r="Y1084" s="200"/>
      <c r="Z1084" s="200"/>
      <c r="AA1084" s="200"/>
      <c r="AB1084" s="200"/>
      <c r="AC1084" s="200"/>
      <c r="AD1084" s="200"/>
      <c r="AE1084" s="200"/>
      <c r="AF1084" s="200"/>
      <c r="AG1084" s="200"/>
      <c r="AH1084" s="200"/>
      <c r="AI1084" s="200"/>
      <c r="AJ1084" s="200"/>
      <c r="AK1084" s="200"/>
      <c r="AL1084" s="200"/>
      <c r="AM1084" s="200"/>
      <c r="AN1084" s="200"/>
      <c r="AO1084" s="200"/>
      <c r="AP1084" s="200"/>
      <c r="AQ1084" s="200"/>
      <c r="AR1084" s="200"/>
      <c r="AS1084" s="200"/>
      <c r="AT1084" s="200"/>
    </row>
    <row r="1085" spans="1:46" ht="16.5" customHeight="1">
      <c r="A1085" s="432"/>
      <c r="B1085" s="307"/>
      <c r="C1085" s="200"/>
      <c r="D1085" s="200"/>
      <c r="E1085" s="200"/>
      <c r="F1085" s="200"/>
      <c r="G1085" s="200"/>
      <c r="H1085" s="200"/>
      <c r="I1085" s="200"/>
      <c r="J1085" s="200"/>
      <c r="K1085" s="200"/>
      <c r="L1085" s="200"/>
      <c r="M1085" s="200"/>
      <c r="N1085" s="200"/>
      <c r="O1085" s="200"/>
      <c r="P1085" s="200"/>
      <c r="Q1085" s="353"/>
      <c r="R1085" s="353"/>
      <c r="S1085" s="353"/>
      <c r="T1085" s="353"/>
      <c r="U1085" s="353"/>
      <c r="V1085" s="353"/>
      <c r="W1085" s="200"/>
      <c r="X1085" s="200"/>
      <c r="Y1085" s="200"/>
      <c r="Z1085" s="200"/>
      <c r="AA1085" s="200"/>
      <c r="AB1085" s="200"/>
      <c r="AC1085" s="200"/>
      <c r="AD1085" s="200"/>
      <c r="AE1085" s="200"/>
      <c r="AF1085" s="200"/>
      <c r="AG1085" s="200"/>
      <c r="AH1085" s="200"/>
      <c r="AI1085" s="200"/>
      <c r="AJ1085" s="200"/>
      <c r="AK1085" s="200"/>
      <c r="AL1085" s="200"/>
      <c r="AM1085" s="200"/>
      <c r="AN1085" s="200"/>
      <c r="AO1085" s="200"/>
      <c r="AP1085" s="200"/>
      <c r="AQ1085" s="200"/>
      <c r="AR1085" s="200"/>
      <c r="AS1085" s="200"/>
      <c r="AT1085" s="200"/>
    </row>
    <row r="1086" spans="1:46" ht="16.5" customHeight="1">
      <c r="A1086" s="432"/>
      <c r="B1086" s="307"/>
      <c r="C1086" s="200"/>
      <c r="D1086" s="200"/>
      <c r="E1086" s="200"/>
      <c r="F1086" s="200"/>
      <c r="G1086" s="200"/>
      <c r="H1086" s="200"/>
      <c r="I1086" s="200"/>
      <c r="J1086" s="200"/>
      <c r="K1086" s="200"/>
      <c r="L1086" s="200"/>
      <c r="M1086" s="200"/>
      <c r="N1086" s="200"/>
      <c r="O1086" s="200"/>
      <c r="P1086" s="200"/>
      <c r="Q1086" s="353"/>
      <c r="R1086" s="353"/>
      <c r="S1086" s="353"/>
      <c r="T1086" s="353"/>
      <c r="U1086" s="353"/>
      <c r="V1086" s="353"/>
      <c r="W1086" s="200"/>
      <c r="X1086" s="200"/>
      <c r="Y1086" s="200"/>
      <c r="Z1086" s="200"/>
      <c r="AA1086" s="200"/>
      <c r="AB1086" s="200"/>
      <c r="AC1086" s="200"/>
      <c r="AD1086" s="200"/>
      <c r="AE1086" s="200"/>
      <c r="AF1086" s="200"/>
      <c r="AG1086" s="200"/>
      <c r="AH1086" s="200"/>
      <c r="AI1086" s="200"/>
      <c r="AJ1086" s="200"/>
      <c r="AK1086" s="200"/>
      <c r="AL1086" s="200"/>
      <c r="AM1086" s="200"/>
      <c r="AN1086" s="200"/>
      <c r="AO1086" s="200"/>
      <c r="AP1086" s="200"/>
      <c r="AQ1086" s="200"/>
      <c r="AR1086" s="200"/>
      <c r="AS1086" s="200"/>
      <c r="AT1086" s="200"/>
    </row>
    <row r="1087" spans="1:46" ht="16.5" customHeight="1">
      <c r="A1087" s="432"/>
      <c r="B1087" s="307"/>
      <c r="C1087" s="200"/>
      <c r="D1087" s="200"/>
      <c r="E1087" s="200"/>
      <c r="F1087" s="200"/>
      <c r="G1087" s="200"/>
      <c r="H1087" s="200"/>
      <c r="I1087" s="200"/>
      <c r="J1087" s="200"/>
      <c r="K1087" s="200"/>
      <c r="L1087" s="200"/>
      <c r="M1087" s="200"/>
      <c r="N1087" s="200"/>
      <c r="O1087" s="200"/>
      <c r="P1087" s="200"/>
      <c r="Q1087" s="353"/>
      <c r="R1087" s="353"/>
      <c r="S1087" s="353"/>
      <c r="T1087" s="353"/>
      <c r="U1087" s="353"/>
      <c r="V1087" s="353"/>
      <c r="W1087" s="200"/>
      <c r="X1087" s="200"/>
      <c r="Y1087" s="200"/>
      <c r="Z1087" s="200"/>
      <c r="AA1087" s="200"/>
      <c r="AB1087" s="200"/>
      <c r="AC1087" s="200"/>
      <c r="AD1087" s="200"/>
      <c r="AE1087" s="200"/>
      <c r="AF1087" s="200"/>
      <c r="AG1087" s="200"/>
      <c r="AH1087" s="200"/>
      <c r="AI1087" s="200"/>
      <c r="AJ1087" s="200"/>
      <c r="AK1087" s="200"/>
      <c r="AL1087" s="200"/>
      <c r="AM1087" s="200"/>
      <c r="AN1087" s="200"/>
      <c r="AO1087" s="200"/>
      <c r="AP1087" s="200"/>
      <c r="AQ1087" s="200"/>
      <c r="AR1087" s="200"/>
      <c r="AS1087" s="200"/>
      <c r="AT1087" s="200"/>
    </row>
    <row r="1088" spans="1:46" ht="16.5" customHeight="1">
      <c r="A1088" s="432"/>
      <c r="B1088" s="307"/>
      <c r="C1088" s="200"/>
      <c r="D1088" s="200"/>
      <c r="E1088" s="200"/>
      <c r="F1088" s="200"/>
      <c r="G1088" s="200"/>
      <c r="H1088" s="200"/>
      <c r="I1088" s="200"/>
      <c r="J1088" s="200"/>
      <c r="K1088" s="200"/>
      <c r="L1088" s="200"/>
      <c r="M1088" s="200"/>
      <c r="N1088" s="200"/>
      <c r="O1088" s="200"/>
      <c r="P1088" s="200"/>
      <c r="Q1088" s="353"/>
      <c r="R1088" s="353"/>
      <c r="S1088" s="353"/>
      <c r="T1088" s="353"/>
      <c r="U1088" s="353"/>
      <c r="V1088" s="353"/>
      <c r="W1088" s="200"/>
      <c r="X1088" s="200"/>
      <c r="Y1088" s="200"/>
      <c r="Z1088" s="200"/>
      <c r="AA1088" s="200"/>
      <c r="AB1088" s="200"/>
      <c r="AC1088" s="200"/>
      <c r="AD1088" s="200"/>
      <c r="AE1088" s="200"/>
      <c r="AF1088" s="200"/>
      <c r="AG1088" s="200"/>
      <c r="AH1088" s="200"/>
      <c r="AI1088" s="200"/>
      <c r="AJ1088" s="200"/>
      <c r="AK1088" s="200"/>
      <c r="AL1088" s="200"/>
      <c r="AM1088" s="200"/>
      <c r="AN1088" s="200"/>
      <c r="AO1088" s="200"/>
      <c r="AP1088" s="200"/>
      <c r="AQ1088" s="200"/>
      <c r="AR1088" s="200"/>
      <c r="AS1088" s="200"/>
      <c r="AT1088" s="200"/>
    </row>
    <row r="1089" spans="1:46" ht="16.5" customHeight="1">
      <c r="A1089" s="432"/>
      <c r="B1089" s="307"/>
      <c r="C1089" s="200"/>
      <c r="D1089" s="200"/>
      <c r="E1089" s="200"/>
      <c r="F1089" s="200"/>
      <c r="G1089" s="200"/>
      <c r="H1089" s="200"/>
      <c r="I1089" s="200"/>
      <c r="J1089" s="200"/>
      <c r="K1089" s="200"/>
      <c r="L1089" s="200"/>
      <c r="M1089" s="200"/>
      <c r="N1089" s="200"/>
      <c r="O1089" s="200"/>
      <c r="P1089" s="200"/>
      <c r="Q1089" s="353"/>
      <c r="R1089" s="353"/>
      <c r="S1089" s="353"/>
      <c r="T1089" s="353"/>
      <c r="U1089" s="353"/>
      <c r="V1089" s="353"/>
      <c r="W1089" s="200"/>
      <c r="X1089" s="200"/>
      <c r="Y1089" s="200"/>
      <c r="Z1089" s="200"/>
      <c r="AA1089" s="200"/>
      <c r="AB1089" s="200"/>
      <c r="AC1089" s="200"/>
      <c r="AD1089" s="200"/>
      <c r="AE1089" s="200"/>
      <c r="AF1089" s="200"/>
      <c r="AG1089" s="200"/>
      <c r="AH1089" s="200"/>
      <c r="AI1089" s="200"/>
      <c r="AJ1089" s="200"/>
      <c r="AK1089" s="200"/>
      <c r="AL1089" s="200"/>
      <c r="AM1089" s="200"/>
      <c r="AN1089" s="200"/>
      <c r="AO1089" s="200"/>
      <c r="AP1089" s="200"/>
      <c r="AQ1089" s="200"/>
      <c r="AR1089" s="200"/>
      <c r="AS1089" s="200"/>
      <c r="AT1089" s="200"/>
    </row>
    <row r="1090" spans="1:46" ht="16.5" customHeight="1">
      <c r="A1090" s="432"/>
      <c r="B1090" s="307"/>
      <c r="C1090" s="200"/>
      <c r="D1090" s="200"/>
      <c r="E1090" s="200"/>
      <c r="F1090" s="200"/>
      <c r="G1090" s="200"/>
      <c r="H1090" s="200"/>
      <c r="I1090" s="200"/>
      <c r="J1090" s="200"/>
      <c r="K1090" s="200"/>
      <c r="L1090" s="200"/>
      <c r="M1090" s="200"/>
      <c r="N1090" s="200"/>
      <c r="O1090" s="200"/>
      <c r="P1090" s="200"/>
      <c r="Q1090" s="353"/>
      <c r="R1090" s="353"/>
      <c r="S1090" s="353"/>
      <c r="T1090" s="353"/>
      <c r="U1090" s="353"/>
      <c r="V1090" s="353"/>
      <c r="W1090" s="200"/>
      <c r="X1090" s="200"/>
      <c r="Y1090" s="200"/>
      <c r="Z1090" s="200"/>
      <c r="AA1090" s="200"/>
      <c r="AB1090" s="200"/>
      <c r="AC1090" s="200"/>
      <c r="AD1090" s="200"/>
      <c r="AE1090" s="200"/>
      <c r="AF1090" s="200"/>
      <c r="AG1090" s="200"/>
      <c r="AH1090" s="200"/>
      <c r="AI1090" s="200"/>
      <c r="AJ1090" s="200"/>
      <c r="AK1090" s="200"/>
      <c r="AL1090" s="200"/>
      <c r="AM1090" s="200"/>
      <c r="AN1090" s="200"/>
      <c r="AO1090" s="200"/>
      <c r="AP1090" s="200"/>
      <c r="AQ1090" s="200"/>
      <c r="AR1090" s="200"/>
      <c r="AS1090" s="200"/>
      <c r="AT1090" s="200"/>
    </row>
    <row r="1091" spans="1:46" ht="16.5" customHeight="1">
      <c r="A1091" s="432"/>
      <c r="B1091" s="307"/>
      <c r="C1091" s="200"/>
      <c r="D1091" s="200"/>
      <c r="E1091" s="200"/>
      <c r="F1091" s="200"/>
      <c r="G1091" s="200"/>
      <c r="H1091" s="200"/>
      <c r="I1091" s="200"/>
      <c r="J1091" s="200"/>
      <c r="K1091" s="200"/>
      <c r="L1091" s="200"/>
      <c r="M1091" s="200"/>
      <c r="N1091" s="200"/>
      <c r="O1091" s="200"/>
      <c r="P1091" s="200"/>
      <c r="Q1091" s="353"/>
      <c r="R1091" s="353"/>
      <c r="S1091" s="353"/>
      <c r="T1091" s="353"/>
      <c r="U1091" s="353"/>
      <c r="V1091" s="353"/>
      <c r="W1091" s="200"/>
      <c r="X1091" s="200"/>
      <c r="Y1091" s="200"/>
      <c r="Z1091" s="200"/>
      <c r="AA1091" s="200"/>
      <c r="AB1091" s="200"/>
      <c r="AC1091" s="200"/>
      <c r="AD1091" s="200"/>
      <c r="AE1091" s="200"/>
      <c r="AF1091" s="200"/>
      <c r="AG1091" s="200"/>
      <c r="AH1091" s="200"/>
      <c r="AI1091" s="200"/>
      <c r="AJ1091" s="200"/>
      <c r="AK1091" s="200"/>
      <c r="AL1091" s="200"/>
      <c r="AM1091" s="200"/>
      <c r="AN1091" s="200"/>
      <c r="AO1091" s="200"/>
      <c r="AP1091" s="200"/>
      <c r="AQ1091" s="200"/>
      <c r="AR1091" s="200"/>
      <c r="AS1091" s="200"/>
      <c r="AT1091" s="200"/>
    </row>
    <row r="1092" spans="1:46" ht="16.5" customHeight="1">
      <c r="A1092" s="432"/>
      <c r="B1092" s="307"/>
      <c r="C1092" s="200"/>
      <c r="D1092" s="200"/>
      <c r="E1092" s="200"/>
      <c r="F1092" s="200"/>
      <c r="G1092" s="200"/>
      <c r="H1092" s="200"/>
      <c r="I1092" s="200"/>
      <c r="J1092" s="200"/>
      <c r="K1092" s="200"/>
      <c r="L1092" s="200"/>
      <c r="M1092" s="200"/>
      <c r="N1092" s="200"/>
      <c r="O1092" s="200"/>
      <c r="P1092" s="200"/>
      <c r="Q1092" s="353"/>
      <c r="R1092" s="353"/>
      <c r="S1092" s="353"/>
      <c r="T1092" s="353"/>
      <c r="U1092" s="353"/>
      <c r="V1092" s="353"/>
      <c r="W1092" s="200"/>
      <c r="X1092" s="200"/>
      <c r="Y1092" s="200"/>
      <c r="Z1092" s="200"/>
      <c r="AA1092" s="200"/>
      <c r="AB1092" s="200"/>
      <c r="AC1092" s="200"/>
      <c r="AD1092" s="200"/>
      <c r="AE1092" s="200"/>
      <c r="AF1092" s="200"/>
      <c r="AG1092" s="200"/>
      <c r="AH1092" s="200"/>
      <c r="AI1092" s="200"/>
      <c r="AJ1092" s="200"/>
      <c r="AK1092" s="200"/>
      <c r="AL1092" s="200"/>
      <c r="AM1092" s="200"/>
      <c r="AN1092" s="200"/>
      <c r="AO1092" s="200"/>
      <c r="AP1092" s="200"/>
      <c r="AQ1092" s="200"/>
      <c r="AR1092" s="200"/>
      <c r="AS1092" s="200"/>
      <c r="AT1092" s="200"/>
    </row>
    <row r="1093" spans="1:46" ht="16.5" customHeight="1">
      <c r="A1093" s="432"/>
      <c r="B1093" s="307"/>
      <c r="C1093" s="200"/>
      <c r="D1093" s="200"/>
      <c r="E1093" s="200"/>
      <c r="F1093" s="200"/>
      <c r="G1093" s="200"/>
      <c r="H1093" s="200"/>
      <c r="I1093" s="200"/>
      <c r="J1093" s="200"/>
      <c r="K1093" s="200"/>
      <c r="L1093" s="200"/>
      <c r="M1093" s="200"/>
      <c r="N1093" s="200"/>
      <c r="O1093" s="200"/>
      <c r="P1093" s="200"/>
      <c r="Q1093" s="353"/>
      <c r="R1093" s="353"/>
      <c r="S1093" s="353"/>
      <c r="T1093" s="353"/>
      <c r="U1093" s="353"/>
      <c r="V1093" s="353"/>
      <c r="W1093" s="200"/>
      <c r="X1093" s="200"/>
      <c r="Y1093" s="200"/>
      <c r="Z1093" s="200"/>
      <c r="AA1093" s="200"/>
      <c r="AB1093" s="200"/>
      <c r="AC1093" s="200"/>
      <c r="AD1093" s="200"/>
      <c r="AE1093" s="200"/>
      <c r="AF1093" s="200"/>
      <c r="AG1093" s="200"/>
      <c r="AH1093" s="200"/>
      <c r="AI1093" s="200"/>
      <c r="AJ1093" s="200"/>
      <c r="AK1093" s="200"/>
      <c r="AL1093" s="200"/>
      <c r="AM1093" s="200"/>
      <c r="AN1093" s="200"/>
      <c r="AO1093" s="200"/>
      <c r="AP1093" s="200"/>
      <c r="AQ1093" s="200"/>
      <c r="AR1093" s="200"/>
      <c r="AS1093" s="200"/>
      <c r="AT1093" s="200"/>
    </row>
    <row r="1094" spans="1:46" ht="16.5" customHeight="1">
      <c r="A1094" s="432"/>
      <c r="B1094" s="307"/>
      <c r="C1094" s="200"/>
      <c r="D1094" s="200"/>
      <c r="E1094" s="200"/>
      <c r="F1094" s="200"/>
      <c r="G1094" s="200"/>
      <c r="H1094" s="200"/>
      <c r="I1094" s="200"/>
      <c r="J1094" s="200"/>
      <c r="K1094" s="200"/>
      <c r="L1094" s="200"/>
      <c r="M1094" s="200"/>
      <c r="N1094" s="200"/>
      <c r="O1094" s="200"/>
      <c r="P1094" s="200"/>
      <c r="Q1094" s="353"/>
      <c r="R1094" s="353"/>
      <c r="S1094" s="353"/>
      <c r="T1094" s="353"/>
      <c r="U1094" s="353"/>
      <c r="V1094" s="353"/>
      <c r="W1094" s="200"/>
      <c r="X1094" s="200"/>
      <c r="Y1094" s="200"/>
      <c r="Z1094" s="200"/>
      <c r="AA1094" s="200"/>
      <c r="AB1094" s="200"/>
      <c r="AC1094" s="200"/>
      <c r="AD1094" s="200"/>
      <c r="AE1094" s="200"/>
      <c r="AF1094" s="200"/>
      <c r="AG1094" s="200"/>
      <c r="AH1094" s="200"/>
      <c r="AI1094" s="200"/>
      <c r="AJ1094" s="200"/>
      <c r="AK1094" s="200"/>
      <c r="AL1094" s="200"/>
      <c r="AM1094" s="200"/>
      <c r="AN1094" s="200"/>
      <c r="AO1094" s="200"/>
      <c r="AP1094" s="200"/>
      <c r="AQ1094" s="200"/>
      <c r="AR1094" s="200"/>
      <c r="AS1094" s="200"/>
      <c r="AT1094" s="200"/>
    </row>
    <row r="1095" spans="1:46" ht="16.5" customHeight="1">
      <c r="A1095" s="432"/>
      <c r="B1095" s="307"/>
      <c r="C1095" s="200"/>
      <c r="D1095" s="200"/>
      <c r="E1095" s="200"/>
      <c r="F1095" s="200"/>
      <c r="G1095" s="200"/>
      <c r="H1095" s="200"/>
      <c r="I1095" s="200"/>
      <c r="J1095" s="200"/>
      <c r="K1095" s="200"/>
      <c r="L1095" s="200"/>
      <c r="M1095" s="200"/>
      <c r="N1095" s="200"/>
      <c r="O1095" s="200"/>
      <c r="P1095" s="200"/>
      <c r="Q1095" s="353"/>
      <c r="R1095" s="353"/>
      <c r="S1095" s="353"/>
      <c r="T1095" s="353"/>
      <c r="U1095" s="353"/>
      <c r="V1095" s="353"/>
      <c r="W1095" s="200"/>
      <c r="X1095" s="200"/>
      <c r="Y1095" s="200"/>
      <c r="Z1095" s="200"/>
      <c r="AA1095" s="200"/>
      <c r="AB1095" s="200"/>
      <c r="AC1095" s="200"/>
      <c r="AD1095" s="200"/>
      <c r="AE1095" s="200"/>
      <c r="AF1095" s="200"/>
      <c r="AG1095" s="200"/>
      <c r="AH1095" s="200"/>
      <c r="AI1095" s="200"/>
      <c r="AJ1095" s="200"/>
      <c r="AK1095" s="200"/>
      <c r="AL1095" s="200"/>
      <c r="AM1095" s="200"/>
      <c r="AN1095" s="200"/>
      <c r="AO1095" s="200"/>
      <c r="AP1095" s="200"/>
      <c r="AQ1095" s="200"/>
      <c r="AR1095" s="200"/>
      <c r="AS1095" s="200"/>
      <c r="AT1095" s="200"/>
    </row>
    <row r="1096" spans="1:46" ht="16.5" customHeight="1">
      <c r="A1096" s="432"/>
      <c r="B1096" s="307"/>
      <c r="C1096" s="200"/>
      <c r="D1096" s="200"/>
      <c r="E1096" s="200"/>
      <c r="F1096" s="200"/>
      <c r="G1096" s="200"/>
      <c r="H1096" s="200"/>
      <c r="I1096" s="200"/>
      <c r="J1096" s="200"/>
      <c r="K1096" s="200"/>
      <c r="L1096" s="200"/>
      <c r="M1096" s="200"/>
      <c r="N1096" s="200"/>
      <c r="O1096" s="200"/>
      <c r="P1096" s="200"/>
      <c r="Q1096" s="353"/>
      <c r="R1096" s="353"/>
      <c r="S1096" s="353"/>
      <c r="T1096" s="353"/>
      <c r="U1096" s="353"/>
      <c r="V1096" s="353"/>
      <c r="W1096" s="200"/>
      <c r="X1096" s="200"/>
      <c r="Y1096" s="200"/>
      <c r="Z1096" s="200"/>
      <c r="AA1096" s="200"/>
      <c r="AB1096" s="200"/>
      <c r="AC1096" s="200"/>
      <c r="AD1096" s="200"/>
      <c r="AE1096" s="200"/>
      <c r="AF1096" s="200"/>
      <c r="AG1096" s="200"/>
      <c r="AH1096" s="200"/>
      <c r="AI1096" s="200"/>
      <c r="AJ1096" s="200"/>
      <c r="AK1096" s="200"/>
      <c r="AL1096" s="200"/>
      <c r="AM1096" s="200"/>
      <c r="AN1096" s="200"/>
      <c r="AO1096" s="200"/>
      <c r="AP1096" s="200"/>
      <c r="AQ1096" s="200"/>
      <c r="AR1096" s="200"/>
      <c r="AS1096" s="200"/>
      <c r="AT1096" s="200"/>
    </row>
    <row r="1097" spans="1:46" ht="16.5" customHeight="1">
      <c r="A1097" s="432"/>
      <c r="B1097" s="307"/>
      <c r="C1097" s="200"/>
      <c r="D1097" s="200"/>
      <c r="E1097" s="200"/>
      <c r="F1097" s="200"/>
      <c r="G1097" s="200"/>
      <c r="H1097" s="200"/>
      <c r="I1097" s="200"/>
      <c r="J1097" s="200"/>
      <c r="K1097" s="200"/>
      <c r="L1097" s="200"/>
      <c r="M1097" s="200"/>
      <c r="N1097" s="200"/>
      <c r="O1097" s="200"/>
      <c r="P1097" s="200"/>
      <c r="Q1097" s="353"/>
      <c r="R1097" s="353"/>
      <c r="S1097" s="353"/>
      <c r="T1097" s="353"/>
      <c r="U1097" s="353"/>
      <c r="V1097" s="353"/>
      <c r="W1097" s="200"/>
      <c r="X1097" s="200"/>
      <c r="Y1097" s="200"/>
      <c r="Z1097" s="200"/>
      <c r="AA1097" s="200"/>
      <c r="AB1097" s="200"/>
      <c r="AC1097" s="200"/>
      <c r="AD1097" s="200"/>
      <c r="AE1097" s="200"/>
      <c r="AF1097" s="200"/>
      <c r="AG1097" s="200"/>
      <c r="AH1097" s="200"/>
      <c r="AI1097" s="200"/>
      <c r="AJ1097" s="200"/>
      <c r="AK1097" s="200"/>
      <c r="AL1097" s="200"/>
      <c r="AM1097" s="200"/>
      <c r="AN1097" s="200"/>
      <c r="AO1097" s="200"/>
      <c r="AP1097" s="200"/>
      <c r="AQ1097" s="200"/>
      <c r="AR1097" s="200"/>
      <c r="AS1097" s="200"/>
      <c r="AT1097" s="200"/>
    </row>
    <row r="1098" spans="1:46" ht="16.5" customHeight="1">
      <c r="A1098" s="432"/>
      <c r="B1098" s="307"/>
      <c r="C1098" s="200"/>
      <c r="D1098" s="200"/>
      <c r="E1098" s="200"/>
      <c r="F1098" s="200"/>
      <c r="G1098" s="200"/>
      <c r="H1098" s="200"/>
      <c r="I1098" s="200"/>
      <c r="J1098" s="200"/>
      <c r="K1098" s="200"/>
      <c r="L1098" s="200"/>
      <c r="M1098" s="200"/>
      <c r="N1098" s="200"/>
      <c r="O1098" s="200"/>
      <c r="P1098" s="200"/>
      <c r="Q1098" s="353"/>
      <c r="R1098" s="353"/>
      <c r="S1098" s="353"/>
      <c r="T1098" s="353"/>
      <c r="U1098" s="353"/>
      <c r="V1098" s="353"/>
      <c r="W1098" s="200"/>
      <c r="X1098" s="200"/>
      <c r="Y1098" s="200"/>
      <c r="Z1098" s="200"/>
      <c r="AA1098" s="200"/>
      <c r="AB1098" s="200"/>
      <c r="AC1098" s="200"/>
      <c r="AD1098" s="200"/>
      <c r="AE1098" s="200"/>
      <c r="AF1098" s="200"/>
      <c r="AG1098" s="200"/>
      <c r="AH1098" s="200"/>
      <c r="AI1098" s="200"/>
      <c r="AJ1098" s="200"/>
      <c r="AK1098" s="200"/>
      <c r="AL1098" s="200"/>
      <c r="AM1098" s="200"/>
      <c r="AN1098" s="200"/>
      <c r="AO1098" s="200"/>
      <c r="AP1098" s="200"/>
      <c r="AQ1098" s="200"/>
      <c r="AR1098" s="200"/>
      <c r="AS1098" s="200"/>
      <c r="AT1098" s="200"/>
    </row>
    <row r="1099" spans="1:46" ht="16.5" customHeight="1">
      <c r="A1099" s="432"/>
      <c r="B1099" s="307"/>
      <c r="C1099" s="200"/>
      <c r="D1099" s="200"/>
      <c r="E1099" s="200"/>
      <c r="F1099" s="200"/>
      <c r="G1099" s="200"/>
      <c r="H1099" s="200"/>
      <c r="I1099" s="200"/>
      <c r="J1099" s="200"/>
      <c r="K1099" s="200"/>
      <c r="L1099" s="200"/>
      <c r="M1099" s="200"/>
      <c r="N1099" s="200"/>
      <c r="O1099" s="200"/>
      <c r="P1099" s="200"/>
      <c r="Q1099" s="353"/>
      <c r="R1099" s="353"/>
      <c r="S1099" s="353"/>
      <c r="T1099" s="353"/>
      <c r="U1099" s="353"/>
      <c r="V1099" s="353"/>
      <c r="W1099" s="200"/>
      <c r="X1099" s="200"/>
      <c r="Y1099" s="200"/>
      <c r="Z1099" s="200"/>
      <c r="AA1099" s="200"/>
      <c r="AB1099" s="200"/>
      <c r="AC1099" s="200"/>
      <c r="AD1099" s="200"/>
      <c r="AE1099" s="200"/>
      <c r="AF1099" s="200"/>
      <c r="AG1099" s="200"/>
      <c r="AH1099" s="200"/>
      <c r="AI1099" s="200"/>
      <c r="AJ1099" s="200"/>
      <c r="AK1099" s="200"/>
      <c r="AL1099" s="200"/>
      <c r="AM1099" s="200"/>
      <c r="AN1099" s="200"/>
      <c r="AO1099" s="200"/>
      <c r="AP1099" s="200"/>
      <c r="AQ1099" s="200"/>
      <c r="AR1099" s="200"/>
      <c r="AS1099" s="200"/>
      <c r="AT1099" s="200"/>
    </row>
    <row r="1100" spans="1:46" ht="16.5" customHeight="1">
      <c r="A1100" s="432"/>
      <c r="B1100" s="307"/>
      <c r="C1100" s="200"/>
      <c r="D1100" s="200"/>
      <c r="E1100" s="200"/>
      <c r="F1100" s="200"/>
      <c r="G1100" s="200"/>
      <c r="H1100" s="200"/>
      <c r="I1100" s="200"/>
      <c r="J1100" s="200"/>
      <c r="K1100" s="200"/>
      <c r="L1100" s="200"/>
      <c r="M1100" s="200"/>
      <c r="N1100" s="200"/>
      <c r="O1100" s="200"/>
      <c r="P1100" s="200"/>
      <c r="Q1100" s="353"/>
      <c r="R1100" s="353"/>
      <c r="S1100" s="353"/>
      <c r="T1100" s="353"/>
      <c r="U1100" s="353"/>
      <c r="V1100" s="353"/>
      <c r="W1100" s="200"/>
      <c r="X1100" s="200"/>
      <c r="Y1100" s="200"/>
      <c r="Z1100" s="200"/>
      <c r="AA1100" s="200"/>
      <c r="AB1100" s="200"/>
      <c r="AC1100" s="200"/>
      <c r="AD1100" s="200"/>
      <c r="AE1100" s="200"/>
      <c r="AF1100" s="200"/>
      <c r="AG1100" s="200"/>
      <c r="AH1100" s="200"/>
      <c r="AI1100" s="200"/>
      <c r="AJ1100" s="200"/>
      <c r="AK1100" s="200"/>
      <c r="AL1100" s="200"/>
      <c r="AM1100" s="200"/>
      <c r="AN1100" s="200"/>
      <c r="AO1100" s="200"/>
      <c r="AP1100" s="200"/>
      <c r="AQ1100" s="200"/>
      <c r="AR1100" s="200"/>
      <c r="AS1100" s="200"/>
      <c r="AT1100" s="200"/>
    </row>
    <row r="1101" spans="1:46" ht="16.5" customHeight="1">
      <c r="A1101" s="432"/>
      <c r="B1101" s="307"/>
      <c r="C1101" s="200"/>
      <c r="D1101" s="200"/>
      <c r="E1101" s="200"/>
      <c r="F1101" s="200"/>
      <c r="G1101" s="200"/>
      <c r="H1101" s="200"/>
      <c r="I1101" s="200"/>
      <c r="J1101" s="200"/>
      <c r="K1101" s="200"/>
      <c r="L1101" s="200"/>
      <c r="M1101" s="200"/>
      <c r="N1101" s="200"/>
      <c r="O1101" s="200"/>
      <c r="P1101" s="200"/>
      <c r="Q1101" s="353"/>
      <c r="R1101" s="353"/>
      <c r="S1101" s="353"/>
      <c r="T1101" s="353"/>
      <c r="U1101" s="353"/>
      <c r="V1101" s="353"/>
      <c r="W1101" s="200"/>
      <c r="X1101" s="200"/>
      <c r="Y1101" s="200"/>
      <c r="Z1101" s="200"/>
      <c r="AA1101" s="200"/>
      <c r="AB1101" s="200"/>
      <c r="AC1101" s="200"/>
      <c r="AD1101" s="200"/>
      <c r="AE1101" s="200"/>
      <c r="AF1101" s="200"/>
      <c r="AG1101" s="200"/>
      <c r="AH1101" s="200"/>
      <c r="AI1101" s="200"/>
      <c r="AJ1101" s="200"/>
      <c r="AK1101" s="200"/>
      <c r="AL1101" s="200"/>
      <c r="AM1101" s="200"/>
      <c r="AN1101" s="200"/>
      <c r="AO1101" s="200"/>
      <c r="AP1101" s="200"/>
      <c r="AQ1101" s="200"/>
      <c r="AR1101" s="200"/>
      <c r="AS1101" s="200"/>
      <c r="AT1101" s="200"/>
    </row>
    <row r="1102" spans="1:46" ht="16.5" customHeight="1">
      <c r="A1102" s="432"/>
      <c r="B1102" s="307"/>
      <c r="C1102" s="200"/>
      <c r="D1102" s="200"/>
      <c r="E1102" s="200"/>
      <c r="F1102" s="200"/>
      <c r="G1102" s="200"/>
      <c r="H1102" s="200"/>
      <c r="I1102" s="200"/>
      <c r="J1102" s="200"/>
      <c r="K1102" s="200"/>
      <c r="L1102" s="200"/>
      <c r="M1102" s="200"/>
      <c r="N1102" s="200"/>
      <c r="O1102" s="200"/>
      <c r="P1102" s="200"/>
      <c r="Q1102" s="353"/>
      <c r="R1102" s="353"/>
      <c r="S1102" s="353"/>
      <c r="T1102" s="353"/>
      <c r="U1102" s="353"/>
      <c r="V1102" s="353"/>
      <c r="W1102" s="200"/>
      <c r="X1102" s="200"/>
      <c r="Y1102" s="200"/>
      <c r="Z1102" s="200"/>
      <c r="AA1102" s="200"/>
      <c r="AB1102" s="200"/>
      <c r="AC1102" s="200"/>
      <c r="AD1102" s="200"/>
      <c r="AE1102" s="200"/>
      <c r="AF1102" s="200"/>
      <c r="AG1102" s="200"/>
      <c r="AH1102" s="200"/>
      <c r="AI1102" s="200"/>
      <c r="AJ1102" s="200"/>
      <c r="AK1102" s="200"/>
      <c r="AL1102" s="200"/>
      <c r="AM1102" s="200"/>
      <c r="AN1102" s="200"/>
      <c r="AO1102" s="200"/>
      <c r="AP1102" s="200"/>
      <c r="AQ1102" s="200"/>
      <c r="AR1102" s="200"/>
      <c r="AS1102" s="200"/>
      <c r="AT1102" s="200"/>
    </row>
    <row r="1103" spans="1:46" ht="16.5" customHeight="1">
      <c r="A1103" s="432"/>
      <c r="B1103" s="307"/>
      <c r="C1103" s="200"/>
      <c r="D1103" s="200"/>
      <c r="E1103" s="200"/>
      <c r="F1103" s="200"/>
      <c r="G1103" s="200"/>
      <c r="H1103" s="200"/>
      <c r="I1103" s="200"/>
      <c r="J1103" s="200"/>
      <c r="K1103" s="200"/>
      <c r="L1103" s="200"/>
      <c r="M1103" s="200"/>
      <c r="N1103" s="200"/>
      <c r="O1103" s="200"/>
      <c r="P1103" s="200"/>
      <c r="Q1103" s="353"/>
      <c r="R1103" s="353"/>
      <c r="S1103" s="353"/>
      <c r="T1103" s="353"/>
      <c r="U1103" s="353"/>
      <c r="V1103" s="353"/>
      <c r="W1103" s="200"/>
      <c r="X1103" s="200"/>
      <c r="Y1103" s="200"/>
      <c r="Z1103" s="200"/>
      <c r="AA1103" s="200"/>
      <c r="AB1103" s="200"/>
      <c r="AC1103" s="200"/>
      <c r="AD1103" s="200"/>
      <c r="AE1103" s="200"/>
      <c r="AF1103" s="200"/>
      <c r="AG1103" s="200"/>
      <c r="AH1103" s="200"/>
      <c r="AI1103" s="200"/>
      <c r="AJ1103" s="200"/>
      <c r="AK1103" s="200"/>
      <c r="AL1103" s="200"/>
      <c r="AM1103" s="200"/>
      <c r="AN1103" s="200"/>
      <c r="AO1103" s="200"/>
      <c r="AP1103" s="200"/>
      <c r="AQ1103" s="200"/>
      <c r="AR1103" s="200"/>
      <c r="AS1103" s="200"/>
      <c r="AT1103" s="200"/>
    </row>
    <row r="1104" spans="1:46" ht="16.5" customHeight="1">
      <c r="A1104" s="432"/>
      <c r="B1104" s="307"/>
      <c r="C1104" s="200"/>
      <c r="D1104" s="200"/>
      <c r="E1104" s="200"/>
      <c r="F1104" s="200"/>
      <c r="G1104" s="200"/>
      <c r="H1104" s="200"/>
      <c r="I1104" s="200"/>
      <c r="J1104" s="200"/>
      <c r="K1104" s="200"/>
      <c r="L1104" s="200"/>
      <c r="M1104" s="200"/>
      <c r="N1104" s="200"/>
      <c r="O1104" s="200"/>
      <c r="P1104" s="200"/>
      <c r="Q1104" s="353"/>
      <c r="R1104" s="353"/>
      <c r="S1104" s="353"/>
      <c r="T1104" s="353"/>
      <c r="U1104" s="353"/>
      <c r="V1104" s="353"/>
      <c r="W1104" s="200"/>
      <c r="X1104" s="200"/>
      <c r="Y1104" s="200"/>
      <c r="Z1104" s="200"/>
      <c r="AA1104" s="200"/>
      <c r="AB1104" s="200"/>
      <c r="AC1104" s="200"/>
      <c r="AD1104" s="200"/>
      <c r="AE1104" s="200"/>
      <c r="AF1104" s="200"/>
      <c r="AG1104" s="200"/>
      <c r="AH1104" s="200"/>
      <c r="AI1104" s="200"/>
      <c r="AJ1104" s="200"/>
      <c r="AK1104" s="200"/>
      <c r="AL1104" s="200"/>
      <c r="AM1104" s="200"/>
      <c r="AN1104" s="200"/>
      <c r="AO1104" s="200"/>
      <c r="AP1104" s="200"/>
      <c r="AQ1104" s="200"/>
      <c r="AR1104" s="200"/>
      <c r="AS1104" s="200"/>
      <c r="AT1104" s="200"/>
    </row>
    <row r="1105" spans="1:46" ht="16.5" customHeight="1">
      <c r="A1105" s="432"/>
      <c r="B1105" s="307"/>
      <c r="C1105" s="200"/>
      <c r="D1105" s="200"/>
      <c r="E1105" s="200"/>
      <c r="F1105" s="200"/>
      <c r="G1105" s="200"/>
      <c r="H1105" s="200"/>
      <c r="I1105" s="200"/>
      <c r="J1105" s="200"/>
      <c r="K1105" s="200"/>
      <c r="L1105" s="200"/>
      <c r="M1105" s="200"/>
      <c r="N1105" s="200"/>
      <c r="O1105" s="200"/>
      <c r="P1105" s="200"/>
      <c r="Q1105" s="353"/>
      <c r="R1105" s="353"/>
      <c r="S1105" s="353"/>
      <c r="T1105" s="353"/>
      <c r="U1105" s="353"/>
      <c r="V1105" s="353"/>
      <c r="W1105" s="200"/>
      <c r="X1105" s="200"/>
      <c r="Y1105" s="200"/>
      <c r="Z1105" s="200"/>
      <c r="AA1105" s="200"/>
      <c r="AB1105" s="200"/>
      <c r="AC1105" s="200"/>
      <c r="AD1105" s="200"/>
      <c r="AE1105" s="200"/>
      <c r="AF1105" s="200"/>
      <c r="AG1105" s="200"/>
      <c r="AH1105" s="200"/>
      <c r="AI1105" s="200"/>
      <c r="AJ1105" s="200"/>
      <c r="AK1105" s="200"/>
      <c r="AL1105" s="200"/>
      <c r="AM1105" s="200"/>
      <c r="AN1105" s="200"/>
      <c r="AO1105" s="200"/>
      <c r="AP1105" s="200"/>
      <c r="AQ1105" s="200"/>
      <c r="AR1105" s="200"/>
      <c r="AS1105" s="200"/>
      <c r="AT1105" s="200"/>
    </row>
    <row r="1106" spans="1:46" ht="16.5" customHeight="1">
      <c r="A1106" s="432"/>
      <c r="B1106" s="307"/>
      <c r="C1106" s="200"/>
      <c r="D1106" s="200"/>
      <c r="E1106" s="200"/>
      <c r="F1106" s="200"/>
      <c r="G1106" s="200"/>
      <c r="H1106" s="200"/>
      <c r="I1106" s="200"/>
      <c r="J1106" s="200"/>
      <c r="K1106" s="200"/>
      <c r="L1106" s="200"/>
      <c r="M1106" s="200"/>
      <c r="N1106" s="200"/>
      <c r="O1106" s="200"/>
      <c r="P1106" s="200"/>
      <c r="Q1106" s="353"/>
      <c r="R1106" s="353"/>
      <c r="S1106" s="353"/>
      <c r="T1106" s="353"/>
      <c r="U1106" s="353"/>
      <c r="V1106" s="353"/>
      <c r="W1106" s="200"/>
      <c r="X1106" s="200"/>
      <c r="Y1106" s="200"/>
      <c r="Z1106" s="200"/>
      <c r="AA1106" s="200"/>
      <c r="AB1106" s="200"/>
      <c r="AC1106" s="200"/>
      <c r="AD1106" s="200"/>
      <c r="AE1106" s="200"/>
      <c r="AF1106" s="200"/>
      <c r="AG1106" s="200"/>
      <c r="AH1106" s="200"/>
      <c r="AI1106" s="200"/>
      <c r="AJ1106" s="200"/>
      <c r="AK1106" s="200"/>
      <c r="AL1106" s="200"/>
      <c r="AM1106" s="200"/>
      <c r="AN1106" s="200"/>
      <c r="AO1106" s="200"/>
      <c r="AP1106" s="200"/>
      <c r="AQ1106" s="200"/>
      <c r="AR1106" s="200"/>
      <c r="AS1106" s="200"/>
      <c r="AT1106" s="200"/>
    </row>
    <row r="1107" spans="1:46" ht="16.5" customHeight="1">
      <c r="A1107" s="432"/>
      <c r="B1107" s="307"/>
      <c r="C1107" s="200"/>
      <c r="D1107" s="200"/>
      <c r="E1107" s="200"/>
      <c r="F1107" s="200"/>
      <c r="G1107" s="200"/>
      <c r="H1107" s="200"/>
      <c r="I1107" s="200"/>
      <c r="J1107" s="200"/>
      <c r="K1107" s="200"/>
      <c r="L1107" s="200"/>
      <c r="M1107" s="200"/>
      <c r="N1107" s="200"/>
      <c r="O1107" s="200"/>
      <c r="P1107" s="200"/>
      <c r="Q1107" s="353"/>
      <c r="R1107" s="353"/>
      <c r="S1107" s="353"/>
      <c r="T1107" s="353"/>
      <c r="U1107" s="353"/>
      <c r="V1107" s="353"/>
      <c r="W1107" s="200"/>
      <c r="X1107" s="200"/>
      <c r="Y1107" s="200"/>
      <c r="Z1107" s="200"/>
      <c r="AA1107" s="200"/>
      <c r="AB1107" s="200"/>
      <c r="AC1107" s="200"/>
      <c r="AD1107" s="200"/>
      <c r="AE1107" s="200"/>
      <c r="AF1107" s="200"/>
      <c r="AG1107" s="200"/>
      <c r="AH1107" s="200"/>
      <c r="AI1107" s="200"/>
      <c r="AJ1107" s="200"/>
      <c r="AK1107" s="200"/>
      <c r="AL1107" s="200"/>
      <c r="AM1107" s="200"/>
      <c r="AN1107" s="200"/>
      <c r="AO1107" s="200"/>
      <c r="AP1107" s="200"/>
      <c r="AQ1107" s="200"/>
      <c r="AR1107" s="200"/>
      <c r="AS1107" s="200"/>
      <c r="AT1107" s="200"/>
    </row>
    <row r="1108" spans="1:46" ht="16.5" customHeight="1">
      <c r="A1108" s="432"/>
      <c r="B1108" s="307"/>
      <c r="C1108" s="200"/>
      <c r="D1108" s="200"/>
      <c r="E1108" s="200"/>
      <c r="F1108" s="200"/>
      <c r="G1108" s="200"/>
      <c r="H1108" s="200"/>
      <c r="I1108" s="200"/>
      <c r="J1108" s="200"/>
      <c r="K1108" s="200"/>
      <c r="L1108" s="200"/>
      <c r="M1108" s="200"/>
      <c r="N1108" s="200"/>
      <c r="O1108" s="200"/>
      <c r="P1108" s="200"/>
      <c r="Q1108" s="353"/>
      <c r="R1108" s="353"/>
      <c r="S1108" s="353"/>
      <c r="T1108" s="353"/>
      <c r="U1108" s="353"/>
      <c r="V1108" s="353"/>
      <c r="W1108" s="200"/>
      <c r="X1108" s="200"/>
      <c r="Y1108" s="200"/>
      <c r="Z1108" s="200"/>
      <c r="AA1108" s="200"/>
      <c r="AB1108" s="200"/>
      <c r="AC1108" s="200"/>
      <c r="AD1108" s="200"/>
      <c r="AE1108" s="200"/>
      <c r="AF1108" s="200"/>
      <c r="AG1108" s="200"/>
      <c r="AH1108" s="200"/>
      <c r="AI1108" s="200"/>
      <c r="AJ1108" s="200"/>
      <c r="AK1108" s="200"/>
      <c r="AL1108" s="200"/>
      <c r="AM1108" s="200"/>
      <c r="AN1108" s="200"/>
      <c r="AO1108" s="200"/>
      <c r="AP1108" s="200"/>
      <c r="AQ1108" s="200"/>
      <c r="AR1108" s="200"/>
      <c r="AS1108" s="200"/>
      <c r="AT1108" s="200"/>
    </row>
    <row r="1109" spans="1:46" ht="16.5" customHeight="1">
      <c r="A1109" s="432"/>
      <c r="B1109" s="307"/>
      <c r="C1109" s="200"/>
      <c r="D1109" s="200"/>
      <c r="E1109" s="200"/>
      <c r="F1109" s="200"/>
      <c r="G1109" s="200"/>
      <c r="H1109" s="200"/>
      <c r="I1109" s="200"/>
      <c r="J1109" s="200"/>
      <c r="K1109" s="200"/>
      <c r="L1109" s="200"/>
      <c r="M1109" s="200"/>
      <c r="N1109" s="200"/>
      <c r="O1109" s="200"/>
      <c r="P1109" s="200"/>
      <c r="Q1109" s="353"/>
      <c r="R1109" s="353"/>
      <c r="S1109" s="353"/>
      <c r="T1109" s="353"/>
      <c r="U1109" s="353"/>
      <c r="V1109" s="353"/>
      <c r="W1109" s="200"/>
      <c r="X1109" s="200"/>
      <c r="Y1109" s="200"/>
      <c r="Z1109" s="200"/>
      <c r="AA1109" s="200"/>
      <c r="AB1109" s="200"/>
      <c r="AC1109" s="200"/>
      <c r="AD1109" s="200"/>
      <c r="AE1109" s="200"/>
      <c r="AF1109" s="200"/>
      <c r="AG1109" s="200"/>
      <c r="AH1109" s="200"/>
      <c r="AI1109" s="200"/>
      <c r="AJ1109" s="200"/>
      <c r="AK1109" s="200"/>
      <c r="AL1109" s="200"/>
      <c r="AM1109" s="200"/>
      <c r="AN1109" s="200"/>
      <c r="AO1109" s="200"/>
      <c r="AP1109" s="200"/>
      <c r="AQ1109" s="200"/>
      <c r="AR1109" s="200"/>
      <c r="AS1109" s="200"/>
      <c r="AT1109" s="200"/>
    </row>
    <row r="1110" spans="1:46" ht="16.5" customHeight="1">
      <c r="A1110" s="432"/>
      <c r="B1110" s="307"/>
      <c r="C1110" s="200"/>
      <c r="D1110" s="200"/>
      <c r="E1110" s="200"/>
      <c r="F1110" s="200"/>
      <c r="G1110" s="200"/>
      <c r="H1110" s="200"/>
      <c r="I1110" s="200"/>
      <c r="J1110" s="200"/>
      <c r="K1110" s="200"/>
      <c r="L1110" s="200"/>
      <c r="M1110" s="200"/>
      <c r="N1110" s="200"/>
      <c r="O1110" s="200"/>
      <c r="P1110" s="200"/>
      <c r="Q1110" s="353"/>
      <c r="R1110" s="353"/>
      <c r="S1110" s="353"/>
      <c r="T1110" s="353"/>
      <c r="U1110" s="353"/>
      <c r="V1110" s="353"/>
      <c r="W1110" s="200"/>
      <c r="X1110" s="200"/>
      <c r="Y1110" s="200"/>
      <c r="Z1110" s="200"/>
      <c r="AA1110" s="200"/>
      <c r="AB1110" s="200"/>
      <c r="AC1110" s="200"/>
      <c r="AD1110" s="200"/>
      <c r="AE1110" s="200"/>
      <c r="AF1110" s="200"/>
      <c r="AG1110" s="200"/>
      <c r="AH1110" s="200"/>
      <c r="AI1110" s="200"/>
      <c r="AJ1110" s="200"/>
      <c r="AK1110" s="200"/>
      <c r="AL1110" s="200"/>
      <c r="AM1110" s="200"/>
      <c r="AN1110" s="200"/>
      <c r="AO1110" s="200"/>
      <c r="AP1110" s="200"/>
      <c r="AQ1110" s="200"/>
      <c r="AR1110" s="200"/>
      <c r="AS1110" s="200"/>
      <c r="AT1110" s="200"/>
    </row>
    <row r="1111" spans="1:46" ht="16.5" customHeight="1">
      <c r="A1111" s="432"/>
      <c r="B1111" s="307"/>
      <c r="C1111" s="200"/>
      <c r="D1111" s="200"/>
      <c r="E1111" s="200"/>
      <c r="F1111" s="200"/>
      <c r="G1111" s="200"/>
      <c r="H1111" s="200"/>
      <c r="I1111" s="200"/>
      <c r="J1111" s="200"/>
      <c r="K1111" s="200"/>
      <c r="L1111" s="200"/>
      <c r="M1111" s="200"/>
      <c r="N1111" s="200"/>
      <c r="O1111" s="200"/>
      <c r="P1111" s="200"/>
      <c r="Q1111" s="353"/>
      <c r="R1111" s="353"/>
      <c r="S1111" s="353"/>
      <c r="T1111" s="353"/>
      <c r="U1111" s="353"/>
      <c r="V1111" s="353"/>
      <c r="W1111" s="200"/>
      <c r="X1111" s="200"/>
      <c r="Y1111" s="200"/>
      <c r="Z1111" s="200"/>
      <c r="AA1111" s="200"/>
      <c r="AB1111" s="200"/>
      <c r="AC1111" s="200"/>
      <c r="AD1111" s="200"/>
      <c r="AE1111" s="200"/>
      <c r="AF1111" s="200"/>
      <c r="AG1111" s="200"/>
      <c r="AH1111" s="200"/>
      <c r="AI1111" s="200"/>
      <c r="AJ1111" s="200"/>
      <c r="AK1111" s="200"/>
      <c r="AL1111" s="200"/>
      <c r="AM1111" s="200"/>
      <c r="AN1111" s="200"/>
      <c r="AO1111" s="200"/>
      <c r="AP1111" s="200"/>
      <c r="AQ1111" s="200"/>
      <c r="AR1111" s="200"/>
      <c r="AS1111" s="200"/>
      <c r="AT1111" s="200"/>
    </row>
    <row r="1112" spans="1:46" ht="16.5" customHeight="1">
      <c r="A1112" s="432"/>
      <c r="B1112" s="307"/>
      <c r="C1112" s="200"/>
      <c r="D1112" s="200"/>
      <c r="E1112" s="200"/>
      <c r="F1112" s="200"/>
      <c r="G1112" s="200"/>
      <c r="H1112" s="200"/>
      <c r="I1112" s="200"/>
      <c r="J1112" s="200"/>
      <c r="K1112" s="200"/>
      <c r="L1112" s="200"/>
      <c r="M1112" s="200"/>
      <c r="N1112" s="200"/>
      <c r="O1112" s="200"/>
      <c r="P1112" s="200"/>
      <c r="Q1112" s="353"/>
      <c r="R1112" s="353"/>
      <c r="S1112" s="353"/>
      <c r="T1112" s="353"/>
      <c r="U1112" s="353"/>
      <c r="V1112" s="353"/>
      <c r="W1112" s="200"/>
      <c r="X1112" s="200"/>
      <c r="Y1112" s="200"/>
      <c r="Z1112" s="200"/>
      <c r="AA1112" s="200"/>
      <c r="AB1112" s="200"/>
      <c r="AC1112" s="200"/>
      <c r="AD1112" s="200"/>
      <c r="AE1112" s="200"/>
      <c r="AF1112" s="200"/>
      <c r="AG1112" s="200"/>
      <c r="AH1112" s="200"/>
      <c r="AI1112" s="200"/>
      <c r="AJ1112" s="200"/>
      <c r="AK1112" s="200"/>
      <c r="AL1112" s="200"/>
      <c r="AM1112" s="200"/>
      <c r="AN1112" s="200"/>
      <c r="AO1112" s="200"/>
      <c r="AP1112" s="200"/>
      <c r="AQ1112" s="200"/>
      <c r="AR1112" s="200"/>
      <c r="AS1112" s="200"/>
      <c r="AT1112" s="200"/>
    </row>
    <row r="1113" spans="1:46" ht="16.5" customHeight="1">
      <c r="A1113" s="432"/>
      <c r="B1113" s="307"/>
      <c r="C1113" s="200"/>
      <c r="D1113" s="200"/>
      <c r="E1113" s="200"/>
      <c r="F1113" s="200"/>
      <c r="G1113" s="200"/>
      <c r="H1113" s="200"/>
      <c r="I1113" s="200"/>
      <c r="J1113" s="200"/>
      <c r="K1113" s="200"/>
      <c r="L1113" s="200"/>
      <c r="M1113" s="200"/>
      <c r="N1113" s="200"/>
      <c r="O1113" s="200"/>
      <c r="P1113" s="200"/>
      <c r="Q1113" s="353"/>
      <c r="R1113" s="353"/>
      <c r="S1113" s="353"/>
      <c r="T1113" s="353"/>
      <c r="U1113" s="353"/>
      <c r="V1113" s="353"/>
      <c r="W1113" s="200"/>
      <c r="X1113" s="200"/>
      <c r="Y1113" s="200"/>
      <c r="Z1113" s="200"/>
      <c r="AA1113" s="200"/>
      <c r="AB1113" s="200"/>
      <c r="AC1113" s="200"/>
      <c r="AD1113" s="200"/>
      <c r="AE1113" s="200"/>
      <c r="AF1113" s="200"/>
      <c r="AG1113" s="200"/>
      <c r="AH1113" s="200"/>
      <c r="AI1113" s="200"/>
      <c r="AJ1113" s="200"/>
      <c r="AK1113" s="200"/>
      <c r="AL1113" s="200"/>
      <c r="AM1113" s="200"/>
      <c r="AN1113" s="200"/>
      <c r="AO1113" s="200"/>
      <c r="AP1113" s="200"/>
      <c r="AQ1113" s="200"/>
      <c r="AR1113" s="200"/>
      <c r="AS1113" s="200"/>
      <c r="AT1113" s="200"/>
    </row>
    <row r="1114" spans="1:46" ht="16.5" customHeight="1">
      <c r="A1114" s="432"/>
      <c r="B1114" s="307"/>
      <c r="C1114" s="200"/>
      <c r="D1114" s="200"/>
      <c r="E1114" s="200"/>
      <c r="F1114" s="200"/>
      <c r="G1114" s="200"/>
      <c r="H1114" s="200"/>
      <c r="I1114" s="200"/>
      <c r="J1114" s="200"/>
      <c r="K1114" s="200"/>
      <c r="L1114" s="200"/>
      <c r="M1114" s="200"/>
      <c r="N1114" s="200"/>
      <c r="O1114" s="200"/>
      <c r="P1114" s="200"/>
      <c r="Q1114" s="353"/>
      <c r="R1114" s="353"/>
      <c r="S1114" s="353"/>
      <c r="T1114" s="353"/>
      <c r="U1114" s="353"/>
      <c r="V1114" s="353"/>
      <c r="W1114" s="200"/>
      <c r="X1114" s="200"/>
      <c r="Y1114" s="200"/>
      <c r="Z1114" s="200"/>
      <c r="AA1114" s="200"/>
      <c r="AB1114" s="200"/>
      <c r="AC1114" s="200"/>
      <c r="AD1114" s="200"/>
      <c r="AE1114" s="200"/>
      <c r="AF1114" s="200"/>
      <c r="AG1114" s="200"/>
      <c r="AH1114" s="200"/>
      <c r="AI1114" s="200"/>
      <c r="AJ1114" s="200"/>
      <c r="AK1114" s="200"/>
      <c r="AL1114" s="200"/>
      <c r="AM1114" s="200"/>
      <c r="AN1114" s="200"/>
      <c r="AO1114" s="200"/>
      <c r="AP1114" s="200"/>
      <c r="AQ1114" s="200"/>
      <c r="AR1114" s="200"/>
      <c r="AS1114" s="200"/>
      <c r="AT1114" s="200"/>
    </row>
    <row r="1115" spans="1:46" ht="16.5" customHeight="1">
      <c r="A1115" s="432"/>
      <c r="B1115" s="307"/>
      <c r="C1115" s="200"/>
      <c r="D1115" s="200"/>
      <c r="E1115" s="200"/>
      <c r="F1115" s="200"/>
      <c r="G1115" s="200"/>
      <c r="H1115" s="200"/>
      <c r="I1115" s="200"/>
      <c r="J1115" s="200"/>
      <c r="K1115" s="200"/>
      <c r="L1115" s="200"/>
      <c r="M1115" s="200"/>
      <c r="N1115" s="200"/>
      <c r="O1115" s="200"/>
      <c r="P1115" s="200"/>
      <c r="Q1115" s="353"/>
      <c r="R1115" s="353"/>
      <c r="S1115" s="353"/>
      <c r="T1115" s="353"/>
      <c r="U1115" s="353"/>
      <c r="V1115" s="353"/>
      <c r="W1115" s="200"/>
      <c r="X1115" s="200"/>
      <c r="Y1115" s="200"/>
      <c r="Z1115" s="200"/>
      <c r="AA1115" s="200"/>
      <c r="AB1115" s="200"/>
      <c r="AC1115" s="200"/>
      <c r="AD1115" s="200"/>
      <c r="AE1115" s="200"/>
      <c r="AF1115" s="200"/>
      <c r="AG1115" s="200"/>
      <c r="AH1115" s="200"/>
      <c r="AI1115" s="200"/>
      <c r="AJ1115" s="200"/>
      <c r="AK1115" s="200"/>
      <c r="AL1115" s="200"/>
      <c r="AM1115" s="200"/>
      <c r="AN1115" s="200"/>
      <c r="AO1115" s="200"/>
      <c r="AP1115" s="200"/>
      <c r="AQ1115" s="200"/>
      <c r="AR1115" s="200"/>
      <c r="AS1115" s="200"/>
      <c r="AT1115" s="200"/>
    </row>
    <row r="1116" spans="1:46" ht="16.5" customHeight="1">
      <c r="A1116" s="432"/>
      <c r="B1116" s="307"/>
      <c r="C1116" s="200"/>
      <c r="D1116" s="200"/>
      <c r="E1116" s="200"/>
      <c r="F1116" s="200"/>
      <c r="G1116" s="200"/>
      <c r="H1116" s="200"/>
      <c r="I1116" s="200"/>
      <c r="J1116" s="200"/>
      <c r="K1116" s="200"/>
      <c r="L1116" s="200"/>
      <c r="M1116" s="200"/>
      <c r="N1116" s="200"/>
      <c r="O1116" s="200"/>
      <c r="P1116" s="200"/>
      <c r="Q1116" s="353"/>
      <c r="R1116" s="353"/>
      <c r="S1116" s="353"/>
      <c r="T1116" s="353"/>
      <c r="U1116" s="353"/>
      <c r="V1116" s="353"/>
      <c r="W1116" s="200"/>
      <c r="X1116" s="200"/>
      <c r="Y1116" s="200"/>
      <c r="Z1116" s="200"/>
      <c r="AA1116" s="200"/>
      <c r="AB1116" s="200"/>
      <c r="AC1116" s="200"/>
      <c r="AD1116" s="200"/>
      <c r="AE1116" s="200"/>
      <c r="AF1116" s="200"/>
      <c r="AG1116" s="200"/>
      <c r="AH1116" s="200"/>
      <c r="AI1116" s="200"/>
      <c r="AJ1116" s="200"/>
      <c r="AK1116" s="200"/>
      <c r="AL1116" s="200"/>
      <c r="AM1116" s="200"/>
      <c r="AN1116" s="200"/>
      <c r="AO1116" s="200"/>
      <c r="AP1116" s="200"/>
      <c r="AQ1116" s="200"/>
      <c r="AR1116" s="200"/>
      <c r="AS1116" s="200"/>
      <c r="AT1116" s="200"/>
    </row>
    <row r="1117" spans="1:46" ht="16.5" customHeight="1">
      <c r="A1117" s="432"/>
      <c r="B1117" s="307"/>
      <c r="C1117" s="200"/>
      <c r="D1117" s="200"/>
      <c r="E1117" s="200"/>
      <c r="F1117" s="200"/>
      <c r="G1117" s="200"/>
      <c r="H1117" s="200"/>
      <c r="I1117" s="200"/>
      <c r="J1117" s="200"/>
      <c r="K1117" s="200"/>
      <c r="L1117" s="200"/>
      <c r="M1117" s="200"/>
      <c r="N1117" s="200"/>
      <c r="O1117" s="200"/>
      <c r="P1117" s="200"/>
      <c r="Q1117" s="353"/>
      <c r="R1117" s="353"/>
      <c r="S1117" s="353"/>
      <c r="T1117" s="353"/>
      <c r="U1117" s="353"/>
      <c r="V1117" s="353"/>
      <c r="W1117" s="200"/>
      <c r="X1117" s="200"/>
      <c r="Y1117" s="200"/>
      <c r="Z1117" s="200"/>
      <c r="AA1117" s="200"/>
      <c r="AB1117" s="200"/>
      <c r="AC1117" s="200"/>
      <c r="AD1117" s="200"/>
      <c r="AE1117" s="200"/>
      <c r="AF1117" s="200"/>
      <c r="AG1117" s="200"/>
      <c r="AH1117" s="200"/>
      <c r="AI1117" s="200"/>
      <c r="AJ1117" s="200"/>
      <c r="AK1117" s="200"/>
      <c r="AL1117" s="200"/>
      <c r="AM1117" s="200"/>
      <c r="AN1117" s="200"/>
      <c r="AO1117" s="200"/>
      <c r="AP1117" s="200"/>
      <c r="AQ1117" s="200"/>
      <c r="AR1117" s="200"/>
      <c r="AS1117" s="200"/>
      <c r="AT1117" s="200"/>
    </row>
    <row r="1118" spans="1:46" ht="16.5" customHeight="1">
      <c r="A1118" s="432"/>
      <c r="B1118" s="307"/>
      <c r="C1118" s="200"/>
      <c r="D1118" s="200"/>
      <c r="E1118" s="200"/>
      <c r="F1118" s="200"/>
      <c r="G1118" s="200"/>
      <c r="H1118" s="200"/>
      <c r="I1118" s="200"/>
      <c r="J1118" s="200"/>
      <c r="K1118" s="200"/>
      <c r="L1118" s="200"/>
      <c r="M1118" s="200"/>
      <c r="N1118" s="200"/>
      <c r="O1118" s="200"/>
      <c r="P1118" s="200"/>
      <c r="Q1118" s="353"/>
      <c r="R1118" s="353"/>
      <c r="S1118" s="353"/>
      <c r="T1118" s="353"/>
      <c r="U1118" s="353"/>
      <c r="V1118" s="353"/>
      <c r="W1118" s="200"/>
      <c r="X1118" s="200"/>
      <c r="Y1118" s="200"/>
      <c r="Z1118" s="200"/>
      <c r="AA1118" s="200"/>
      <c r="AB1118" s="200"/>
      <c r="AC1118" s="200"/>
      <c r="AD1118" s="200"/>
      <c r="AE1118" s="200"/>
      <c r="AF1118" s="200"/>
      <c r="AG1118" s="200"/>
      <c r="AH1118" s="200"/>
      <c r="AI1118" s="200"/>
      <c r="AJ1118" s="200"/>
      <c r="AK1118" s="200"/>
      <c r="AL1118" s="200"/>
      <c r="AM1118" s="200"/>
      <c r="AN1118" s="200"/>
      <c r="AO1118" s="200"/>
      <c r="AP1118" s="200"/>
      <c r="AQ1118" s="200"/>
      <c r="AR1118" s="200"/>
      <c r="AS1118" s="200"/>
      <c r="AT1118" s="200"/>
    </row>
    <row r="1119" spans="1:46" ht="16.5" customHeight="1">
      <c r="A1119" s="432"/>
      <c r="B1119" s="307"/>
      <c r="C1119" s="200"/>
      <c r="D1119" s="200"/>
      <c r="E1119" s="200"/>
      <c r="F1119" s="200"/>
      <c r="G1119" s="200"/>
      <c r="H1119" s="200"/>
      <c r="I1119" s="200"/>
      <c r="J1119" s="200"/>
      <c r="K1119" s="200"/>
      <c r="L1119" s="200"/>
      <c r="M1119" s="200"/>
      <c r="N1119" s="200"/>
      <c r="O1119" s="200"/>
      <c r="P1119" s="200"/>
      <c r="Q1119" s="353"/>
      <c r="R1119" s="353"/>
      <c r="S1119" s="353"/>
      <c r="T1119" s="353"/>
      <c r="U1119" s="353"/>
      <c r="V1119" s="353"/>
      <c r="W1119" s="200"/>
      <c r="X1119" s="200"/>
      <c r="Y1119" s="200"/>
      <c r="Z1119" s="200"/>
      <c r="AA1119" s="200"/>
      <c r="AB1119" s="200"/>
      <c r="AC1119" s="200"/>
      <c r="AD1119" s="200"/>
      <c r="AE1119" s="200"/>
      <c r="AF1119" s="200"/>
      <c r="AG1119" s="200"/>
      <c r="AH1119" s="200"/>
      <c r="AI1119" s="200"/>
      <c r="AJ1119" s="200"/>
      <c r="AK1119" s="200"/>
      <c r="AL1119" s="200"/>
      <c r="AM1119" s="200"/>
      <c r="AN1119" s="200"/>
      <c r="AO1119" s="200"/>
      <c r="AP1119" s="200"/>
      <c r="AQ1119" s="200"/>
      <c r="AR1119" s="200"/>
      <c r="AS1119" s="200"/>
      <c r="AT1119" s="200"/>
    </row>
    <row r="1120" spans="1:46" ht="16.5" customHeight="1">
      <c r="A1120" s="432"/>
      <c r="B1120" s="307"/>
      <c r="C1120" s="200"/>
      <c r="D1120" s="200"/>
      <c r="E1120" s="200"/>
      <c r="F1120" s="200"/>
      <c r="G1120" s="200"/>
      <c r="H1120" s="200"/>
      <c r="I1120" s="200"/>
      <c r="J1120" s="200"/>
      <c r="K1120" s="200"/>
      <c r="L1120" s="200"/>
      <c r="M1120" s="200"/>
      <c r="N1120" s="200"/>
      <c r="O1120" s="200"/>
      <c r="P1120" s="200"/>
      <c r="Q1120" s="353"/>
      <c r="R1120" s="353"/>
      <c r="S1120" s="353"/>
      <c r="T1120" s="353"/>
      <c r="U1120" s="353"/>
      <c r="V1120" s="353"/>
      <c r="W1120" s="200"/>
      <c r="X1120" s="200"/>
      <c r="Y1120" s="200"/>
      <c r="Z1120" s="200"/>
      <c r="AA1120" s="200"/>
      <c r="AB1120" s="200"/>
      <c r="AC1120" s="200"/>
      <c r="AD1120" s="200"/>
      <c r="AE1120" s="200"/>
      <c r="AF1120" s="200"/>
      <c r="AG1120" s="200"/>
      <c r="AH1120" s="200"/>
      <c r="AI1120" s="200"/>
      <c r="AJ1120" s="200"/>
      <c r="AK1120" s="200"/>
      <c r="AL1120" s="200"/>
      <c r="AM1120" s="200"/>
      <c r="AN1120" s="200"/>
      <c r="AO1120" s="200"/>
      <c r="AP1120" s="200"/>
      <c r="AQ1120" s="200"/>
      <c r="AR1120" s="200"/>
      <c r="AS1120" s="200"/>
      <c r="AT1120" s="200"/>
    </row>
    <row r="1121" spans="1:46" ht="16.5" customHeight="1">
      <c r="A1121" s="432"/>
      <c r="B1121" s="307"/>
      <c r="C1121" s="200"/>
      <c r="D1121" s="200"/>
      <c r="E1121" s="200"/>
      <c r="F1121" s="200"/>
      <c r="G1121" s="200"/>
      <c r="H1121" s="200"/>
      <c r="I1121" s="200"/>
      <c r="J1121" s="200"/>
      <c r="K1121" s="200"/>
      <c r="L1121" s="200"/>
      <c r="M1121" s="200"/>
      <c r="N1121" s="200"/>
      <c r="O1121" s="200"/>
      <c r="P1121" s="200"/>
      <c r="Q1121" s="353"/>
      <c r="R1121" s="353"/>
      <c r="S1121" s="353"/>
      <c r="T1121" s="353"/>
      <c r="U1121" s="353"/>
      <c r="V1121" s="353"/>
      <c r="W1121" s="200"/>
      <c r="X1121" s="200"/>
      <c r="Y1121" s="200"/>
      <c r="Z1121" s="200"/>
      <c r="AA1121" s="200"/>
      <c r="AB1121" s="200"/>
      <c r="AC1121" s="200"/>
      <c r="AD1121" s="200"/>
      <c r="AE1121" s="200"/>
      <c r="AF1121" s="200"/>
      <c r="AG1121" s="200"/>
      <c r="AH1121" s="200"/>
      <c r="AI1121" s="200"/>
      <c r="AJ1121" s="200"/>
      <c r="AK1121" s="200"/>
      <c r="AL1121" s="200"/>
      <c r="AM1121" s="200"/>
      <c r="AN1121" s="200"/>
      <c r="AO1121" s="200"/>
      <c r="AP1121" s="200"/>
      <c r="AQ1121" s="200"/>
      <c r="AR1121" s="200"/>
      <c r="AS1121" s="200"/>
      <c r="AT1121" s="200"/>
    </row>
    <row r="1122" spans="1:46" ht="16.5" customHeight="1">
      <c r="A1122" s="432"/>
      <c r="B1122" s="307"/>
      <c r="C1122" s="200"/>
      <c r="D1122" s="200"/>
      <c r="E1122" s="200"/>
      <c r="F1122" s="200"/>
      <c r="G1122" s="200"/>
      <c r="H1122" s="200"/>
      <c r="I1122" s="200"/>
      <c r="J1122" s="200"/>
      <c r="K1122" s="200"/>
      <c r="L1122" s="200"/>
      <c r="M1122" s="200"/>
      <c r="N1122" s="200"/>
      <c r="O1122" s="200"/>
      <c r="P1122" s="200"/>
      <c r="Q1122" s="353"/>
      <c r="R1122" s="353"/>
      <c r="S1122" s="353"/>
      <c r="T1122" s="353"/>
      <c r="U1122" s="353"/>
      <c r="V1122" s="353"/>
      <c r="W1122" s="200"/>
      <c r="X1122" s="200"/>
      <c r="Y1122" s="200"/>
      <c r="Z1122" s="200"/>
      <c r="AA1122" s="200"/>
      <c r="AB1122" s="200"/>
      <c r="AC1122" s="200"/>
      <c r="AD1122" s="200"/>
      <c r="AE1122" s="200"/>
      <c r="AF1122" s="200"/>
      <c r="AG1122" s="200"/>
      <c r="AH1122" s="200"/>
      <c r="AI1122" s="200"/>
      <c r="AJ1122" s="200"/>
      <c r="AK1122" s="200"/>
      <c r="AL1122" s="200"/>
      <c r="AM1122" s="200"/>
      <c r="AN1122" s="200"/>
      <c r="AO1122" s="200"/>
      <c r="AP1122" s="200"/>
      <c r="AQ1122" s="200"/>
      <c r="AR1122" s="200"/>
      <c r="AS1122" s="200"/>
      <c r="AT1122" s="200"/>
    </row>
    <row r="1123" spans="1:46" ht="16.5" customHeight="1">
      <c r="A1123" s="432"/>
      <c r="B1123" s="307"/>
      <c r="C1123" s="200"/>
      <c r="D1123" s="200"/>
      <c r="E1123" s="200"/>
      <c r="F1123" s="200"/>
      <c r="G1123" s="200"/>
      <c r="H1123" s="200"/>
      <c r="I1123" s="200"/>
      <c r="J1123" s="200"/>
      <c r="K1123" s="200"/>
      <c r="L1123" s="200"/>
      <c r="M1123" s="200"/>
      <c r="N1123" s="200"/>
      <c r="O1123" s="200"/>
      <c r="P1123" s="200"/>
      <c r="Q1123" s="353"/>
      <c r="R1123" s="353"/>
      <c r="S1123" s="353"/>
      <c r="T1123" s="353"/>
      <c r="U1123" s="353"/>
      <c r="V1123" s="353"/>
      <c r="W1123" s="200"/>
      <c r="X1123" s="200"/>
      <c r="Y1123" s="200"/>
      <c r="Z1123" s="200"/>
      <c r="AA1123" s="200"/>
      <c r="AB1123" s="200"/>
      <c r="AC1123" s="200"/>
      <c r="AD1123" s="200"/>
      <c r="AE1123" s="200"/>
      <c r="AF1123" s="200"/>
      <c r="AG1123" s="200"/>
      <c r="AH1123" s="200"/>
      <c r="AI1123" s="200"/>
      <c r="AJ1123" s="200"/>
      <c r="AK1123" s="200"/>
      <c r="AL1123" s="200"/>
      <c r="AM1123" s="200"/>
      <c r="AN1123" s="200"/>
      <c r="AO1123" s="200"/>
      <c r="AP1123" s="200"/>
      <c r="AQ1123" s="200"/>
      <c r="AR1123" s="200"/>
      <c r="AS1123" s="200"/>
      <c r="AT1123" s="200"/>
    </row>
    <row r="1124" spans="1:46" ht="16.5" customHeight="1">
      <c r="A1124" s="432"/>
      <c r="B1124" s="307"/>
      <c r="C1124" s="200"/>
      <c r="D1124" s="200"/>
      <c r="E1124" s="200"/>
      <c r="F1124" s="200"/>
      <c r="G1124" s="200"/>
      <c r="H1124" s="200"/>
      <c r="I1124" s="200"/>
      <c r="J1124" s="200"/>
      <c r="K1124" s="200"/>
      <c r="L1124" s="200"/>
      <c r="M1124" s="200"/>
      <c r="N1124" s="200"/>
      <c r="O1124" s="200"/>
      <c r="P1124" s="200"/>
      <c r="Q1124" s="353"/>
      <c r="R1124" s="353"/>
      <c r="S1124" s="353"/>
      <c r="T1124" s="353"/>
      <c r="U1124" s="353"/>
      <c r="V1124" s="353"/>
      <c r="W1124" s="200"/>
      <c r="X1124" s="200"/>
      <c r="Y1124" s="200"/>
      <c r="Z1124" s="200"/>
      <c r="AA1124" s="200"/>
      <c r="AB1124" s="200"/>
      <c r="AC1124" s="200"/>
      <c r="AD1124" s="200"/>
      <c r="AE1124" s="200"/>
      <c r="AF1124" s="200"/>
      <c r="AG1124" s="200"/>
      <c r="AH1124" s="200"/>
      <c r="AI1124" s="200"/>
      <c r="AJ1124" s="200"/>
      <c r="AK1124" s="200"/>
      <c r="AL1124" s="200"/>
      <c r="AM1124" s="200"/>
      <c r="AN1124" s="200"/>
      <c r="AO1124" s="200"/>
      <c r="AP1124" s="200"/>
      <c r="AQ1124" s="200"/>
      <c r="AR1124" s="200"/>
      <c r="AS1124" s="200"/>
      <c r="AT1124" s="200"/>
    </row>
    <row r="1125" spans="1:46" ht="16.5" customHeight="1">
      <c r="A1125" s="432"/>
      <c r="B1125" s="307"/>
      <c r="C1125" s="200"/>
      <c r="D1125" s="200"/>
      <c r="E1125" s="200"/>
      <c r="F1125" s="200"/>
      <c r="G1125" s="200"/>
      <c r="H1125" s="200"/>
      <c r="I1125" s="200"/>
      <c r="J1125" s="200"/>
      <c r="K1125" s="200"/>
      <c r="L1125" s="200"/>
      <c r="M1125" s="200"/>
      <c r="N1125" s="200"/>
      <c r="O1125" s="200"/>
      <c r="P1125" s="200"/>
      <c r="Q1125" s="353"/>
      <c r="R1125" s="353"/>
      <c r="S1125" s="353"/>
      <c r="T1125" s="353"/>
      <c r="U1125" s="353"/>
      <c r="V1125" s="353"/>
      <c r="W1125" s="200"/>
      <c r="X1125" s="200"/>
      <c r="Y1125" s="200"/>
      <c r="Z1125" s="200"/>
      <c r="AA1125" s="200"/>
      <c r="AB1125" s="200"/>
      <c r="AC1125" s="200"/>
      <c r="AD1125" s="200"/>
      <c r="AE1125" s="200"/>
      <c r="AF1125" s="200"/>
      <c r="AG1125" s="200"/>
      <c r="AH1125" s="200"/>
      <c r="AI1125" s="200"/>
      <c r="AJ1125" s="200"/>
      <c r="AK1125" s="200"/>
      <c r="AL1125" s="200"/>
      <c r="AM1125" s="200"/>
      <c r="AN1125" s="200"/>
      <c r="AO1125" s="200"/>
      <c r="AP1125" s="200"/>
      <c r="AQ1125" s="200"/>
      <c r="AR1125" s="200"/>
      <c r="AS1125" s="200"/>
      <c r="AT1125" s="200"/>
    </row>
    <row r="1126" spans="1:46" ht="16.5" customHeight="1">
      <c r="A1126" s="432"/>
      <c r="B1126" s="307"/>
      <c r="C1126" s="200"/>
      <c r="D1126" s="200"/>
      <c r="E1126" s="200"/>
      <c r="F1126" s="200"/>
      <c r="G1126" s="200"/>
      <c r="H1126" s="200"/>
      <c r="I1126" s="200"/>
      <c r="J1126" s="200"/>
      <c r="K1126" s="200"/>
      <c r="L1126" s="200"/>
      <c r="M1126" s="200"/>
      <c r="N1126" s="200"/>
      <c r="O1126" s="200"/>
      <c r="P1126" s="200"/>
      <c r="Q1126" s="353"/>
      <c r="R1126" s="353"/>
      <c r="S1126" s="353"/>
      <c r="T1126" s="353"/>
      <c r="U1126" s="353"/>
      <c r="V1126" s="353"/>
      <c r="W1126" s="200"/>
      <c r="X1126" s="200"/>
      <c r="Y1126" s="200"/>
      <c r="Z1126" s="200"/>
      <c r="AA1126" s="200"/>
      <c r="AB1126" s="200"/>
      <c r="AC1126" s="200"/>
      <c r="AD1126" s="200"/>
      <c r="AE1126" s="200"/>
      <c r="AF1126" s="200"/>
      <c r="AG1126" s="200"/>
      <c r="AH1126" s="200"/>
      <c r="AI1126" s="200"/>
      <c r="AJ1126" s="200"/>
      <c r="AK1126" s="200"/>
      <c r="AL1126" s="200"/>
      <c r="AM1126" s="200"/>
      <c r="AN1126" s="200"/>
      <c r="AO1126" s="200"/>
      <c r="AP1126" s="200"/>
      <c r="AQ1126" s="200"/>
      <c r="AR1126" s="200"/>
      <c r="AS1126" s="200"/>
      <c r="AT1126" s="200"/>
    </row>
    <row r="1127" spans="1:46" ht="16.5" customHeight="1">
      <c r="A1127" s="432"/>
      <c r="B1127" s="307"/>
      <c r="C1127" s="200"/>
      <c r="D1127" s="200"/>
      <c r="E1127" s="200"/>
      <c r="F1127" s="200"/>
      <c r="G1127" s="200"/>
      <c r="H1127" s="200"/>
      <c r="I1127" s="200"/>
      <c r="J1127" s="200"/>
      <c r="K1127" s="200"/>
      <c r="L1127" s="200"/>
      <c r="M1127" s="200"/>
      <c r="N1127" s="200"/>
      <c r="O1127" s="200"/>
      <c r="P1127" s="200"/>
      <c r="Q1127" s="353"/>
      <c r="R1127" s="353"/>
      <c r="S1127" s="353"/>
      <c r="T1127" s="353"/>
      <c r="U1127" s="353"/>
      <c r="V1127" s="353"/>
      <c r="W1127" s="200"/>
      <c r="X1127" s="200"/>
      <c r="Y1127" s="200"/>
      <c r="Z1127" s="200"/>
      <c r="AA1127" s="200"/>
      <c r="AB1127" s="200"/>
      <c r="AC1127" s="200"/>
      <c r="AD1127" s="200"/>
      <c r="AE1127" s="200"/>
      <c r="AF1127" s="200"/>
      <c r="AG1127" s="200"/>
      <c r="AH1127" s="200"/>
      <c r="AI1127" s="200"/>
      <c r="AJ1127" s="200"/>
      <c r="AK1127" s="200"/>
      <c r="AL1127" s="200"/>
      <c r="AM1127" s="200"/>
      <c r="AN1127" s="200"/>
      <c r="AO1127" s="200"/>
      <c r="AP1127" s="200"/>
      <c r="AQ1127" s="200"/>
      <c r="AR1127" s="200"/>
      <c r="AS1127" s="200"/>
      <c r="AT1127" s="200"/>
    </row>
    <row r="1128" spans="1:46" ht="16.5" customHeight="1">
      <c r="A1128" s="432"/>
      <c r="B1128" s="307"/>
      <c r="C1128" s="200"/>
      <c r="D1128" s="200"/>
      <c r="E1128" s="200"/>
      <c r="F1128" s="200"/>
      <c r="G1128" s="200"/>
      <c r="H1128" s="200"/>
      <c r="I1128" s="200"/>
      <c r="J1128" s="200"/>
      <c r="K1128" s="200"/>
      <c r="L1128" s="200"/>
      <c r="M1128" s="200"/>
      <c r="N1128" s="200"/>
      <c r="O1128" s="200"/>
      <c r="P1128" s="200"/>
      <c r="Q1128" s="353"/>
      <c r="R1128" s="353"/>
      <c r="S1128" s="353"/>
      <c r="T1128" s="353"/>
      <c r="U1128" s="353"/>
      <c r="V1128" s="353"/>
      <c r="W1128" s="200"/>
      <c r="X1128" s="200"/>
      <c r="Y1128" s="200"/>
      <c r="Z1128" s="200"/>
      <c r="AA1128" s="200"/>
      <c r="AB1128" s="200"/>
      <c r="AC1128" s="200"/>
      <c r="AD1128" s="200"/>
      <c r="AE1128" s="200"/>
      <c r="AF1128" s="200"/>
      <c r="AG1128" s="200"/>
      <c r="AH1128" s="200"/>
      <c r="AI1128" s="200"/>
      <c r="AJ1128" s="200"/>
      <c r="AK1128" s="200"/>
      <c r="AL1128" s="200"/>
      <c r="AM1128" s="200"/>
      <c r="AN1128" s="200"/>
      <c r="AO1128" s="200"/>
      <c r="AP1128" s="200"/>
      <c r="AQ1128" s="200"/>
      <c r="AR1128" s="200"/>
      <c r="AS1128" s="200"/>
      <c r="AT1128" s="200"/>
    </row>
    <row r="1129" spans="1:46" ht="16.5" customHeight="1">
      <c r="A1129" s="432"/>
      <c r="B1129" s="307"/>
      <c r="C1129" s="200"/>
      <c r="D1129" s="200"/>
      <c r="E1129" s="200"/>
      <c r="F1129" s="200"/>
      <c r="G1129" s="200"/>
      <c r="H1129" s="200"/>
      <c r="I1129" s="200"/>
      <c r="J1129" s="200"/>
      <c r="K1129" s="200"/>
      <c r="L1129" s="200"/>
      <c r="M1129" s="200"/>
      <c r="N1129" s="200"/>
      <c r="O1129" s="200"/>
      <c r="P1129" s="200"/>
      <c r="Q1129" s="353"/>
      <c r="R1129" s="353"/>
      <c r="S1129" s="353"/>
      <c r="T1129" s="353"/>
      <c r="U1129" s="353"/>
      <c r="V1129" s="353"/>
      <c r="W1129" s="200"/>
      <c r="X1129" s="200"/>
      <c r="Y1129" s="200"/>
      <c r="Z1129" s="200"/>
      <c r="AA1129" s="200"/>
      <c r="AB1129" s="200"/>
      <c r="AC1129" s="200"/>
      <c r="AD1129" s="200"/>
      <c r="AE1129" s="200"/>
      <c r="AF1129" s="200"/>
      <c r="AG1129" s="200"/>
      <c r="AH1129" s="200"/>
      <c r="AI1129" s="200"/>
      <c r="AJ1129" s="200"/>
      <c r="AK1129" s="200"/>
      <c r="AL1129" s="200"/>
      <c r="AM1129" s="200"/>
      <c r="AN1129" s="200"/>
      <c r="AO1129" s="200"/>
      <c r="AP1129" s="200"/>
      <c r="AQ1129" s="200"/>
      <c r="AR1129" s="200"/>
      <c r="AS1129" s="200"/>
      <c r="AT1129" s="200"/>
    </row>
    <row r="1130" spans="1:46" ht="16.5" customHeight="1">
      <c r="A1130" s="432"/>
      <c r="B1130" s="307"/>
      <c r="C1130" s="200"/>
      <c r="D1130" s="200"/>
      <c r="E1130" s="200"/>
      <c r="F1130" s="200"/>
      <c r="G1130" s="200"/>
      <c r="H1130" s="200"/>
      <c r="I1130" s="200"/>
      <c r="J1130" s="200"/>
      <c r="K1130" s="200"/>
      <c r="L1130" s="200"/>
      <c r="M1130" s="200"/>
      <c r="N1130" s="200"/>
      <c r="O1130" s="200"/>
      <c r="P1130" s="200"/>
      <c r="Q1130" s="353"/>
      <c r="R1130" s="353"/>
      <c r="S1130" s="353"/>
      <c r="T1130" s="353"/>
      <c r="U1130" s="353"/>
      <c r="V1130" s="353"/>
      <c r="W1130" s="200"/>
      <c r="X1130" s="200"/>
      <c r="Y1130" s="200"/>
      <c r="Z1130" s="200"/>
      <c r="AA1130" s="200"/>
      <c r="AB1130" s="200"/>
      <c r="AC1130" s="200"/>
      <c r="AD1130" s="200"/>
      <c r="AE1130" s="200"/>
      <c r="AF1130" s="200"/>
      <c r="AG1130" s="200"/>
      <c r="AH1130" s="200"/>
      <c r="AI1130" s="200"/>
      <c r="AJ1130" s="200"/>
      <c r="AK1130" s="200"/>
      <c r="AL1130" s="200"/>
      <c r="AM1130" s="200"/>
      <c r="AN1130" s="200"/>
      <c r="AO1130" s="200"/>
      <c r="AP1130" s="200"/>
      <c r="AQ1130" s="200"/>
      <c r="AR1130" s="200"/>
      <c r="AS1130" s="200"/>
      <c r="AT1130" s="200"/>
    </row>
    <row r="1131" spans="1:46" ht="16.5" customHeight="1">
      <c r="A1131" s="432"/>
      <c r="B1131" s="307"/>
      <c r="C1131" s="200"/>
      <c r="D1131" s="200"/>
      <c r="E1131" s="200"/>
      <c r="F1131" s="200"/>
      <c r="G1131" s="200"/>
      <c r="H1131" s="200"/>
      <c r="I1131" s="200"/>
      <c r="J1131" s="200"/>
      <c r="K1131" s="200"/>
      <c r="L1131" s="200"/>
      <c r="M1131" s="200"/>
      <c r="N1131" s="200"/>
      <c r="O1131" s="200"/>
      <c r="P1131" s="200"/>
      <c r="Q1131" s="353"/>
      <c r="R1131" s="353"/>
      <c r="S1131" s="353"/>
      <c r="T1131" s="353"/>
      <c r="U1131" s="353"/>
      <c r="V1131" s="353"/>
      <c r="W1131" s="200"/>
      <c r="X1131" s="200"/>
      <c r="Y1131" s="200"/>
      <c r="Z1131" s="200"/>
      <c r="AA1131" s="200"/>
      <c r="AB1131" s="200"/>
      <c r="AC1131" s="200"/>
      <c r="AD1131" s="200"/>
      <c r="AE1131" s="200"/>
      <c r="AF1131" s="200"/>
      <c r="AG1131" s="200"/>
      <c r="AH1131" s="200"/>
      <c r="AI1131" s="200"/>
      <c r="AJ1131" s="200"/>
      <c r="AK1131" s="200"/>
      <c r="AL1131" s="200"/>
      <c r="AM1131" s="200"/>
      <c r="AN1131" s="200"/>
      <c r="AO1131" s="200"/>
      <c r="AP1131" s="200"/>
      <c r="AQ1131" s="200"/>
      <c r="AR1131" s="200"/>
      <c r="AS1131" s="200"/>
      <c r="AT1131" s="200"/>
    </row>
    <row r="1132" spans="1:46" ht="16.5" customHeight="1">
      <c r="A1132" s="432"/>
      <c r="B1132" s="307"/>
      <c r="C1132" s="200"/>
      <c r="D1132" s="200"/>
      <c r="E1132" s="200"/>
      <c r="F1132" s="200"/>
      <c r="G1132" s="200"/>
      <c r="H1132" s="200"/>
      <c r="I1132" s="200"/>
      <c r="J1132" s="200"/>
      <c r="K1132" s="200"/>
      <c r="L1132" s="200"/>
      <c r="M1132" s="200"/>
      <c r="N1132" s="200"/>
      <c r="O1132" s="200"/>
      <c r="P1132" s="200"/>
      <c r="Q1132" s="353"/>
      <c r="R1132" s="353"/>
      <c r="S1132" s="353"/>
      <c r="T1132" s="353"/>
      <c r="U1132" s="353"/>
      <c r="V1132" s="353"/>
      <c r="W1132" s="200"/>
      <c r="X1132" s="200"/>
      <c r="Y1132" s="200"/>
      <c r="Z1132" s="200"/>
      <c r="AA1132" s="200"/>
      <c r="AB1132" s="200"/>
      <c r="AC1132" s="200"/>
      <c r="AD1132" s="200"/>
      <c r="AE1132" s="200"/>
      <c r="AF1132" s="200"/>
      <c r="AG1132" s="200"/>
      <c r="AH1132" s="200"/>
      <c r="AI1132" s="200"/>
      <c r="AJ1132" s="200"/>
      <c r="AK1132" s="200"/>
      <c r="AL1132" s="200"/>
      <c r="AM1132" s="200"/>
      <c r="AN1132" s="200"/>
      <c r="AO1132" s="200"/>
      <c r="AP1132" s="200"/>
      <c r="AQ1132" s="200"/>
      <c r="AR1132" s="200"/>
      <c r="AS1132" s="200"/>
      <c r="AT1132" s="200"/>
    </row>
    <row r="1133" spans="1:46" ht="16.5" customHeight="1">
      <c r="A1133" s="432"/>
      <c r="B1133" s="307"/>
      <c r="C1133" s="200"/>
      <c r="D1133" s="200"/>
      <c r="E1133" s="200"/>
      <c r="F1133" s="200"/>
      <c r="G1133" s="200"/>
      <c r="H1133" s="200"/>
      <c r="I1133" s="200"/>
      <c r="J1133" s="200"/>
      <c r="K1133" s="200"/>
      <c r="L1133" s="200"/>
      <c r="M1133" s="200"/>
      <c r="N1133" s="200"/>
      <c r="O1133" s="200"/>
      <c r="P1133" s="200"/>
      <c r="Q1133" s="353"/>
      <c r="R1133" s="353"/>
      <c r="S1133" s="353"/>
      <c r="T1133" s="353"/>
      <c r="U1133" s="353"/>
      <c r="V1133" s="353"/>
      <c r="W1133" s="200"/>
      <c r="X1133" s="200"/>
      <c r="Y1133" s="200"/>
      <c r="Z1133" s="200"/>
      <c r="AA1133" s="200"/>
      <c r="AB1133" s="200"/>
      <c r="AC1133" s="200"/>
      <c r="AD1133" s="200"/>
      <c r="AE1133" s="200"/>
      <c r="AF1133" s="200"/>
      <c r="AG1133" s="200"/>
      <c r="AH1133" s="200"/>
      <c r="AI1133" s="200"/>
      <c r="AJ1133" s="200"/>
      <c r="AK1133" s="200"/>
      <c r="AL1133" s="200"/>
      <c r="AM1133" s="200"/>
      <c r="AN1133" s="200"/>
      <c r="AO1133" s="200"/>
      <c r="AP1133" s="200"/>
      <c r="AQ1133" s="200"/>
      <c r="AR1133" s="200"/>
      <c r="AS1133" s="200"/>
      <c r="AT1133" s="200"/>
    </row>
    <row r="1134" spans="1:46" ht="16.5" customHeight="1">
      <c r="A1134" s="432"/>
      <c r="B1134" s="307"/>
      <c r="C1134" s="200"/>
      <c r="D1134" s="200"/>
      <c r="E1134" s="200"/>
      <c r="F1134" s="200"/>
      <c r="G1134" s="200"/>
      <c r="H1134" s="200"/>
      <c r="I1134" s="200"/>
      <c r="J1134" s="200"/>
      <c r="K1134" s="200"/>
      <c r="L1134" s="200"/>
      <c r="M1134" s="200"/>
      <c r="N1134" s="200"/>
      <c r="O1134" s="200"/>
      <c r="P1134" s="200"/>
      <c r="Q1134" s="353"/>
      <c r="R1134" s="353"/>
      <c r="S1134" s="353"/>
      <c r="T1134" s="353"/>
      <c r="U1134" s="353"/>
      <c r="V1134" s="353"/>
      <c r="W1134" s="200"/>
      <c r="X1134" s="200"/>
      <c r="Y1134" s="200"/>
      <c r="Z1134" s="200"/>
      <c r="AA1134" s="200"/>
      <c r="AB1134" s="200"/>
      <c r="AC1134" s="200"/>
      <c r="AD1134" s="200"/>
      <c r="AE1134" s="200"/>
      <c r="AF1134" s="200"/>
      <c r="AG1134" s="200"/>
      <c r="AH1134" s="200"/>
      <c r="AI1134" s="200"/>
      <c r="AJ1134" s="200"/>
      <c r="AK1134" s="200"/>
      <c r="AL1134" s="200"/>
      <c r="AM1134" s="200"/>
      <c r="AN1134" s="200"/>
      <c r="AO1134" s="200"/>
      <c r="AP1134" s="200"/>
      <c r="AQ1134" s="200"/>
      <c r="AR1134" s="200"/>
      <c r="AS1134" s="200"/>
      <c r="AT1134" s="200"/>
    </row>
    <row r="1135" spans="1:46" ht="16.5" customHeight="1">
      <c r="A1135" s="432"/>
      <c r="B1135" s="307"/>
      <c r="C1135" s="200"/>
      <c r="D1135" s="200"/>
      <c r="E1135" s="200"/>
      <c r="F1135" s="200"/>
      <c r="G1135" s="200"/>
      <c r="H1135" s="200"/>
      <c r="I1135" s="200"/>
      <c r="J1135" s="200"/>
      <c r="K1135" s="200"/>
      <c r="L1135" s="200"/>
      <c r="M1135" s="200"/>
      <c r="N1135" s="200"/>
      <c r="O1135" s="200"/>
      <c r="P1135" s="200"/>
      <c r="Q1135" s="353"/>
      <c r="R1135" s="353"/>
      <c r="S1135" s="353"/>
      <c r="T1135" s="353"/>
      <c r="U1135" s="353"/>
      <c r="V1135" s="353"/>
      <c r="W1135" s="200"/>
      <c r="X1135" s="200"/>
      <c r="Y1135" s="200"/>
      <c r="Z1135" s="200"/>
      <c r="AA1135" s="200"/>
      <c r="AB1135" s="200"/>
      <c r="AC1135" s="200"/>
      <c r="AD1135" s="200"/>
      <c r="AE1135" s="200"/>
      <c r="AF1135" s="200"/>
      <c r="AG1135" s="200"/>
      <c r="AH1135" s="200"/>
      <c r="AI1135" s="200"/>
      <c r="AJ1135" s="200"/>
      <c r="AK1135" s="200"/>
      <c r="AL1135" s="200"/>
      <c r="AM1135" s="200"/>
      <c r="AN1135" s="200"/>
      <c r="AO1135" s="200"/>
      <c r="AP1135" s="200"/>
      <c r="AQ1135" s="200"/>
      <c r="AR1135" s="200"/>
      <c r="AS1135" s="200"/>
      <c r="AT1135" s="200"/>
    </row>
    <row r="1136" spans="1:46" ht="16.5" customHeight="1">
      <c r="A1136" s="432"/>
      <c r="B1136" s="307"/>
      <c r="C1136" s="200"/>
      <c r="D1136" s="200"/>
      <c r="E1136" s="200"/>
      <c r="F1136" s="200"/>
      <c r="G1136" s="200"/>
      <c r="H1136" s="200"/>
      <c r="I1136" s="200"/>
      <c r="J1136" s="200"/>
      <c r="K1136" s="200"/>
      <c r="L1136" s="200"/>
      <c r="M1136" s="200"/>
      <c r="N1136" s="200"/>
      <c r="O1136" s="200"/>
      <c r="P1136" s="200"/>
      <c r="Q1136" s="353"/>
      <c r="R1136" s="353"/>
      <c r="S1136" s="353"/>
      <c r="T1136" s="353"/>
      <c r="U1136" s="353"/>
      <c r="V1136" s="353"/>
      <c r="W1136" s="200"/>
      <c r="X1136" s="200"/>
      <c r="Y1136" s="200"/>
      <c r="Z1136" s="200"/>
      <c r="AA1136" s="200"/>
      <c r="AB1136" s="200"/>
      <c r="AC1136" s="200"/>
      <c r="AD1136" s="200"/>
      <c r="AE1136" s="200"/>
      <c r="AF1136" s="200"/>
      <c r="AG1136" s="200"/>
      <c r="AH1136" s="200"/>
      <c r="AI1136" s="200"/>
      <c r="AJ1136" s="200"/>
      <c r="AK1136" s="200"/>
      <c r="AL1136" s="200"/>
      <c r="AM1136" s="200"/>
      <c r="AN1136" s="200"/>
      <c r="AO1136" s="200"/>
      <c r="AP1136" s="200"/>
      <c r="AQ1136" s="200"/>
      <c r="AR1136" s="200"/>
      <c r="AS1136" s="200"/>
      <c r="AT1136" s="200"/>
    </row>
    <row r="1137" spans="1:46" ht="16.5" customHeight="1">
      <c r="A1137" s="432"/>
      <c r="B1137" s="307"/>
      <c r="C1137" s="200"/>
      <c r="D1137" s="200"/>
      <c r="E1137" s="200"/>
      <c r="F1137" s="200"/>
      <c r="G1137" s="200"/>
      <c r="H1137" s="200"/>
      <c r="I1137" s="200"/>
      <c r="J1137" s="200"/>
      <c r="K1137" s="200"/>
      <c r="L1137" s="200"/>
      <c r="M1137" s="200"/>
      <c r="N1137" s="200"/>
      <c r="O1137" s="200"/>
      <c r="P1137" s="200"/>
      <c r="Q1137" s="353"/>
      <c r="R1137" s="353"/>
      <c r="S1137" s="353"/>
      <c r="T1137" s="353"/>
      <c r="U1137" s="353"/>
      <c r="V1137" s="353"/>
      <c r="W1137" s="200"/>
      <c r="X1137" s="200"/>
      <c r="Y1137" s="200"/>
      <c r="Z1137" s="200"/>
      <c r="AA1137" s="200"/>
      <c r="AB1137" s="200"/>
      <c r="AC1137" s="200"/>
      <c r="AD1137" s="200"/>
      <c r="AE1137" s="200"/>
      <c r="AF1137" s="200"/>
      <c r="AG1137" s="200"/>
      <c r="AH1137" s="200"/>
      <c r="AI1137" s="200"/>
      <c r="AJ1137" s="200"/>
      <c r="AK1137" s="200"/>
      <c r="AL1137" s="200"/>
      <c r="AM1137" s="200"/>
      <c r="AN1137" s="200"/>
      <c r="AO1137" s="200"/>
      <c r="AP1137" s="200"/>
      <c r="AQ1137" s="200"/>
      <c r="AR1137" s="200"/>
      <c r="AS1137" s="200"/>
      <c r="AT1137" s="200"/>
    </row>
    <row r="1138" spans="1:46" ht="16.5" customHeight="1">
      <c r="A1138" s="432"/>
      <c r="B1138" s="307"/>
      <c r="C1138" s="200"/>
      <c r="D1138" s="200"/>
      <c r="E1138" s="200"/>
      <c r="F1138" s="200"/>
      <c r="G1138" s="200"/>
      <c r="H1138" s="200"/>
      <c r="I1138" s="200"/>
      <c r="J1138" s="200"/>
      <c r="K1138" s="200"/>
      <c r="L1138" s="200"/>
      <c r="M1138" s="200"/>
      <c r="N1138" s="200"/>
      <c r="O1138" s="200"/>
      <c r="P1138" s="200"/>
      <c r="Q1138" s="353"/>
      <c r="R1138" s="353"/>
      <c r="S1138" s="353"/>
      <c r="T1138" s="353"/>
      <c r="U1138" s="353"/>
      <c r="V1138" s="353"/>
      <c r="W1138" s="200"/>
      <c r="X1138" s="200"/>
      <c r="Y1138" s="200"/>
      <c r="Z1138" s="200"/>
      <c r="AA1138" s="200"/>
      <c r="AB1138" s="200"/>
      <c r="AC1138" s="200"/>
      <c r="AD1138" s="200"/>
      <c r="AE1138" s="200"/>
      <c r="AF1138" s="200"/>
      <c r="AG1138" s="200"/>
      <c r="AH1138" s="200"/>
      <c r="AI1138" s="200"/>
      <c r="AJ1138" s="200"/>
      <c r="AK1138" s="200"/>
      <c r="AL1138" s="200"/>
      <c r="AM1138" s="200"/>
      <c r="AN1138" s="200"/>
      <c r="AO1138" s="200"/>
      <c r="AP1138" s="200"/>
      <c r="AQ1138" s="200"/>
      <c r="AR1138" s="200"/>
      <c r="AS1138" s="200"/>
      <c r="AT1138" s="200"/>
    </row>
    <row r="1139" spans="1:46" ht="16.5" customHeight="1">
      <c r="A1139" s="432"/>
      <c r="B1139" s="307"/>
      <c r="C1139" s="200"/>
      <c r="D1139" s="200"/>
      <c r="E1139" s="200"/>
      <c r="F1139" s="200"/>
      <c r="G1139" s="200"/>
      <c r="H1139" s="200"/>
      <c r="I1139" s="200"/>
      <c r="J1139" s="200"/>
      <c r="K1139" s="200"/>
      <c r="L1139" s="200"/>
      <c r="M1139" s="200"/>
      <c r="N1139" s="200"/>
      <c r="O1139" s="200"/>
      <c r="P1139" s="200"/>
      <c r="Q1139" s="353"/>
      <c r="R1139" s="353"/>
      <c r="S1139" s="353"/>
      <c r="T1139" s="353"/>
      <c r="U1139" s="353"/>
      <c r="V1139" s="353"/>
      <c r="W1139" s="200"/>
      <c r="X1139" s="200"/>
      <c r="Y1139" s="200"/>
      <c r="Z1139" s="200"/>
      <c r="AA1139" s="200"/>
      <c r="AB1139" s="200"/>
      <c r="AC1139" s="200"/>
      <c r="AD1139" s="200"/>
      <c r="AE1139" s="200"/>
      <c r="AF1139" s="200"/>
      <c r="AG1139" s="200"/>
      <c r="AH1139" s="200"/>
      <c r="AI1139" s="200"/>
      <c r="AJ1139" s="200"/>
      <c r="AK1139" s="200"/>
      <c r="AL1139" s="200"/>
      <c r="AM1139" s="200"/>
      <c r="AN1139" s="200"/>
      <c r="AO1139" s="200"/>
      <c r="AP1139" s="200"/>
      <c r="AQ1139" s="200"/>
      <c r="AR1139" s="200"/>
      <c r="AS1139" s="200"/>
      <c r="AT1139" s="200"/>
    </row>
    <row r="1140" spans="1:46" ht="16.5" customHeight="1">
      <c r="A1140" s="432"/>
      <c r="B1140" s="307"/>
      <c r="C1140" s="200"/>
      <c r="D1140" s="200"/>
      <c r="E1140" s="200"/>
      <c r="F1140" s="200"/>
      <c r="G1140" s="200"/>
      <c r="H1140" s="200"/>
      <c r="I1140" s="200"/>
      <c r="J1140" s="200"/>
      <c r="K1140" s="200"/>
      <c r="L1140" s="200"/>
      <c r="M1140" s="200"/>
      <c r="N1140" s="200"/>
      <c r="O1140" s="200"/>
      <c r="P1140" s="200"/>
      <c r="Q1140" s="353"/>
      <c r="R1140" s="353"/>
      <c r="S1140" s="353"/>
      <c r="T1140" s="353"/>
      <c r="U1140" s="353"/>
      <c r="V1140" s="353"/>
      <c r="W1140" s="200"/>
      <c r="X1140" s="200"/>
      <c r="Y1140" s="200"/>
      <c r="Z1140" s="200"/>
      <c r="AA1140" s="200"/>
      <c r="AB1140" s="200"/>
      <c r="AC1140" s="200"/>
      <c r="AD1140" s="200"/>
      <c r="AE1140" s="200"/>
      <c r="AF1140" s="200"/>
      <c r="AG1140" s="200"/>
      <c r="AH1140" s="200"/>
      <c r="AI1140" s="200"/>
      <c r="AJ1140" s="200"/>
      <c r="AK1140" s="200"/>
      <c r="AL1140" s="200"/>
      <c r="AM1140" s="200"/>
      <c r="AN1140" s="200"/>
      <c r="AO1140" s="200"/>
      <c r="AP1140" s="200"/>
      <c r="AQ1140" s="200"/>
      <c r="AR1140" s="200"/>
      <c r="AS1140" s="200"/>
      <c r="AT1140" s="200"/>
    </row>
    <row r="1141" spans="1:46" ht="16.5" customHeight="1">
      <c r="A1141" s="432"/>
      <c r="B1141" s="307"/>
      <c r="C1141" s="200"/>
      <c r="D1141" s="200"/>
      <c r="E1141" s="200"/>
      <c r="F1141" s="200"/>
      <c r="G1141" s="200"/>
      <c r="H1141" s="200"/>
      <c r="I1141" s="200"/>
      <c r="J1141" s="200"/>
      <c r="K1141" s="200"/>
      <c r="L1141" s="200"/>
      <c r="M1141" s="200"/>
      <c r="N1141" s="200"/>
      <c r="O1141" s="200"/>
      <c r="P1141" s="200"/>
      <c r="Q1141" s="353"/>
      <c r="R1141" s="353"/>
      <c r="S1141" s="353"/>
      <c r="T1141" s="353"/>
      <c r="U1141" s="353"/>
      <c r="V1141" s="353"/>
      <c r="W1141" s="200"/>
      <c r="X1141" s="200"/>
      <c r="Y1141" s="200"/>
      <c r="Z1141" s="200"/>
      <c r="AA1141" s="200"/>
      <c r="AB1141" s="200"/>
      <c r="AC1141" s="200"/>
      <c r="AD1141" s="200"/>
      <c r="AE1141" s="200"/>
      <c r="AF1141" s="200"/>
      <c r="AG1141" s="200"/>
      <c r="AH1141" s="200"/>
      <c r="AI1141" s="200"/>
      <c r="AJ1141" s="200"/>
      <c r="AK1141" s="200"/>
      <c r="AL1141" s="200"/>
      <c r="AM1141" s="200"/>
      <c r="AN1141" s="200"/>
      <c r="AO1141" s="200"/>
      <c r="AP1141" s="200"/>
      <c r="AQ1141" s="200"/>
      <c r="AR1141" s="200"/>
      <c r="AS1141" s="200"/>
      <c r="AT1141" s="200"/>
    </row>
    <row r="1142" spans="1:46" ht="16.5" customHeight="1">
      <c r="A1142" s="432"/>
      <c r="B1142" s="307"/>
      <c r="C1142" s="200"/>
      <c r="D1142" s="200"/>
      <c r="E1142" s="200"/>
      <c r="F1142" s="200"/>
      <c r="G1142" s="200"/>
      <c r="H1142" s="200"/>
      <c r="I1142" s="200"/>
      <c r="J1142" s="200"/>
      <c r="K1142" s="200"/>
      <c r="L1142" s="200"/>
      <c r="M1142" s="200"/>
      <c r="N1142" s="200"/>
      <c r="O1142" s="200"/>
      <c r="P1142" s="200"/>
      <c r="Q1142" s="353"/>
      <c r="R1142" s="353"/>
      <c r="S1142" s="353"/>
      <c r="T1142" s="353"/>
      <c r="U1142" s="353"/>
      <c r="V1142" s="353"/>
      <c r="W1142" s="200"/>
      <c r="X1142" s="200"/>
      <c r="Y1142" s="200"/>
      <c r="Z1142" s="200"/>
      <c r="AA1142" s="200"/>
      <c r="AB1142" s="200"/>
      <c r="AC1142" s="200"/>
      <c r="AD1142" s="200"/>
      <c r="AE1142" s="200"/>
      <c r="AF1142" s="200"/>
      <c r="AG1142" s="200"/>
      <c r="AH1142" s="200"/>
      <c r="AI1142" s="200"/>
      <c r="AJ1142" s="200"/>
      <c r="AK1142" s="200"/>
      <c r="AL1142" s="200"/>
      <c r="AM1142" s="200"/>
      <c r="AN1142" s="200"/>
      <c r="AO1142" s="200"/>
      <c r="AP1142" s="200"/>
      <c r="AQ1142" s="200"/>
      <c r="AR1142" s="200"/>
      <c r="AS1142" s="200"/>
      <c r="AT1142" s="200"/>
    </row>
    <row r="1143" spans="1:46" ht="16.5" customHeight="1">
      <c r="A1143" s="432"/>
      <c r="B1143" s="307"/>
      <c r="C1143" s="200"/>
      <c r="D1143" s="200"/>
      <c r="E1143" s="200"/>
      <c r="F1143" s="200"/>
      <c r="G1143" s="200"/>
      <c r="H1143" s="200"/>
      <c r="I1143" s="200"/>
      <c r="J1143" s="200"/>
      <c r="K1143" s="200"/>
      <c r="L1143" s="200"/>
      <c r="M1143" s="200"/>
      <c r="N1143" s="200"/>
      <c r="O1143" s="200"/>
      <c r="P1143" s="200"/>
      <c r="Q1143" s="353"/>
      <c r="R1143" s="353"/>
      <c r="S1143" s="353"/>
      <c r="T1143" s="353"/>
      <c r="U1143" s="353"/>
      <c r="V1143" s="353"/>
      <c r="W1143" s="200"/>
      <c r="X1143" s="200"/>
      <c r="Y1143" s="200"/>
      <c r="Z1143" s="200"/>
      <c r="AA1143" s="200"/>
      <c r="AB1143" s="200"/>
      <c r="AC1143" s="200"/>
      <c r="AD1143" s="200"/>
      <c r="AE1143" s="200"/>
      <c r="AF1143" s="200"/>
      <c r="AG1143" s="200"/>
      <c r="AH1143" s="200"/>
      <c r="AI1143" s="200"/>
      <c r="AJ1143" s="200"/>
      <c r="AK1143" s="200"/>
      <c r="AL1143" s="200"/>
      <c r="AM1143" s="200"/>
      <c r="AN1143" s="200"/>
      <c r="AO1143" s="200"/>
      <c r="AP1143" s="200"/>
      <c r="AQ1143" s="200"/>
      <c r="AR1143" s="200"/>
      <c r="AS1143" s="200"/>
      <c r="AT1143" s="200"/>
    </row>
    <row r="1144" spans="1:46" ht="16.5" customHeight="1">
      <c r="A1144" s="432"/>
      <c r="B1144" s="307"/>
      <c r="C1144" s="200"/>
      <c r="D1144" s="200"/>
      <c r="E1144" s="200"/>
      <c r="F1144" s="200"/>
      <c r="G1144" s="200"/>
      <c r="H1144" s="200"/>
      <c r="I1144" s="200"/>
      <c r="J1144" s="200"/>
      <c r="K1144" s="200"/>
      <c r="L1144" s="200"/>
      <c r="M1144" s="200"/>
      <c r="N1144" s="200"/>
      <c r="O1144" s="200"/>
      <c r="P1144" s="200"/>
      <c r="Q1144" s="353"/>
      <c r="R1144" s="353"/>
      <c r="S1144" s="353"/>
      <c r="T1144" s="353"/>
      <c r="U1144" s="353"/>
      <c r="V1144" s="353"/>
      <c r="W1144" s="200"/>
      <c r="X1144" s="200"/>
      <c r="Y1144" s="200"/>
      <c r="Z1144" s="200"/>
      <c r="AA1144" s="200"/>
      <c r="AB1144" s="200"/>
      <c r="AC1144" s="200"/>
      <c r="AD1144" s="200"/>
      <c r="AE1144" s="200"/>
      <c r="AF1144" s="200"/>
      <c r="AG1144" s="200"/>
      <c r="AH1144" s="200"/>
      <c r="AI1144" s="200"/>
      <c r="AJ1144" s="200"/>
      <c r="AK1144" s="200"/>
      <c r="AL1144" s="200"/>
      <c r="AM1144" s="200"/>
      <c r="AN1144" s="200"/>
      <c r="AO1144" s="200"/>
      <c r="AP1144" s="200"/>
      <c r="AQ1144" s="200"/>
      <c r="AR1144" s="200"/>
      <c r="AS1144" s="200"/>
      <c r="AT1144" s="200"/>
    </row>
    <row r="1145" spans="1:46" ht="16.5" customHeight="1">
      <c r="A1145" s="432"/>
      <c r="B1145" s="307"/>
      <c r="C1145" s="200"/>
      <c r="D1145" s="200"/>
      <c r="E1145" s="200"/>
      <c r="F1145" s="200"/>
      <c r="G1145" s="200"/>
      <c r="H1145" s="200"/>
      <c r="I1145" s="200"/>
      <c r="J1145" s="200"/>
      <c r="K1145" s="200"/>
      <c r="L1145" s="200"/>
      <c r="M1145" s="200"/>
      <c r="N1145" s="200"/>
      <c r="O1145" s="200"/>
      <c r="P1145" s="200"/>
      <c r="Q1145" s="353"/>
      <c r="R1145" s="353"/>
      <c r="S1145" s="353"/>
      <c r="T1145" s="353"/>
      <c r="U1145" s="353"/>
      <c r="V1145" s="353"/>
      <c r="W1145" s="200"/>
      <c r="X1145" s="200"/>
      <c r="Y1145" s="200"/>
      <c r="Z1145" s="200"/>
      <c r="AA1145" s="200"/>
      <c r="AB1145" s="200"/>
      <c r="AC1145" s="200"/>
      <c r="AD1145" s="200"/>
      <c r="AE1145" s="200"/>
      <c r="AF1145" s="200"/>
      <c r="AG1145" s="200"/>
      <c r="AH1145" s="200"/>
      <c r="AI1145" s="200"/>
      <c r="AJ1145" s="200"/>
      <c r="AK1145" s="200"/>
      <c r="AL1145" s="200"/>
      <c r="AM1145" s="200"/>
      <c r="AN1145" s="200"/>
      <c r="AO1145" s="200"/>
      <c r="AP1145" s="200"/>
      <c r="AQ1145" s="200"/>
      <c r="AR1145" s="200"/>
      <c r="AS1145" s="200"/>
      <c r="AT1145" s="200"/>
    </row>
    <row r="1146" spans="1:46" ht="16.5" customHeight="1">
      <c r="A1146" s="432"/>
      <c r="B1146" s="307"/>
      <c r="C1146" s="200"/>
      <c r="D1146" s="200"/>
      <c r="E1146" s="200"/>
      <c r="F1146" s="200"/>
      <c r="G1146" s="200"/>
      <c r="H1146" s="200"/>
      <c r="I1146" s="200"/>
      <c r="J1146" s="200"/>
      <c r="K1146" s="200"/>
      <c r="L1146" s="200"/>
      <c r="M1146" s="200"/>
      <c r="N1146" s="200"/>
      <c r="O1146" s="200"/>
      <c r="P1146" s="200"/>
      <c r="Q1146" s="353"/>
      <c r="R1146" s="353"/>
      <c r="S1146" s="353"/>
      <c r="T1146" s="353"/>
      <c r="U1146" s="353"/>
      <c r="V1146" s="353"/>
      <c r="W1146" s="200"/>
      <c r="X1146" s="200"/>
      <c r="Y1146" s="200"/>
      <c r="Z1146" s="200"/>
      <c r="AA1146" s="200"/>
      <c r="AB1146" s="200"/>
      <c r="AC1146" s="200"/>
      <c r="AD1146" s="200"/>
      <c r="AE1146" s="200"/>
      <c r="AF1146" s="200"/>
      <c r="AG1146" s="200"/>
      <c r="AH1146" s="200"/>
      <c r="AI1146" s="200"/>
      <c r="AJ1146" s="200"/>
      <c r="AK1146" s="200"/>
      <c r="AL1146" s="200"/>
      <c r="AM1146" s="200"/>
      <c r="AN1146" s="200"/>
      <c r="AO1146" s="200"/>
      <c r="AP1146" s="200"/>
      <c r="AQ1146" s="200"/>
      <c r="AR1146" s="200"/>
      <c r="AS1146" s="200"/>
      <c r="AT1146" s="200"/>
    </row>
    <row r="1147" spans="1:46" ht="16.5" customHeight="1">
      <c r="A1147" s="432"/>
      <c r="B1147" s="307"/>
      <c r="C1147" s="200"/>
      <c r="D1147" s="200"/>
      <c r="E1147" s="200"/>
      <c r="F1147" s="200"/>
      <c r="G1147" s="200"/>
      <c r="H1147" s="200"/>
      <c r="I1147" s="200"/>
      <c r="J1147" s="200"/>
      <c r="K1147" s="200"/>
      <c r="L1147" s="200"/>
      <c r="M1147" s="200"/>
      <c r="N1147" s="200"/>
      <c r="O1147" s="200"/>
      <c r="P1147" s="200"/>
      <c r="Q1147" s="353"/>
      <c r="R1147" s="353"/>
      <c r="S1147" s="353"/>
      <c r="T1147" s="353"/>
      <c r="U1147" s="353"/>
      <c r="V1147" s="353"/>
      <c r="W1147" s="200"/>
      <c r="X1147" s="200"/>
      <c r="Y1147" s="200"/>
      <c r="Z1147" s="200"/>
      <c r="AA1147" s="200"/>
      <c r="AB1147" s="200"/>
      <c r="AC1147" s="200"/>
      <c r="AD1147" s="200"/>
      <c r="AE1147" s="200"/>
      <c r="AF1147" s="200"/>
      <c r="AG1147" s="200"/>
      <c r="AH1147" s="200"/>
      <c r="AI1147" s="200"/>
      <c r="AJ1147" s="200"/>
      <c r="AK1147" s="200"/>
      <c r="AL1147" s="200"/>
      <c r="AM1147" s="200"/>
      <c r="AN1147" s="200"/>
      <c r="AO1147" s="200"/>
      <c r="AP1147" s="200"/>
      <c r="AQ1147" s="200"/>
      <c r="AR1147" s="200"/>
      <c r="AS1147" s="200"/>
      <c r="AT1147" s="200"/>
    </row>
    <row r="1148" spans="1:46" ht="16.5" customHeight="1">
      <c r="A1148" s="432"/>
      <c r="B1148" s="307"/>
      <c r="C1148" s="200"/>
      <c r="D1148" s="200"/>
      <c r="E1148" s="200"/>
      <c r="F1148" s="200"/>
      <c r="G1148" s="200"/>
      <c r="H1148" s="200"/>
      <c r="I1148" s="200"/>
      <c r="J1148" s="200"/>
      <c r="K1148" s="200"/>
      <c r="L1148" s="200"/>
      <c r="M1148" s="200"/>
      <c r="N1148" s="200"/>
      <c r="O1148" s="200"/>
      <c r="P1148" s="200"/>
      <c r="Q1148" s="353"/>
      <c r="R1148" s="353"/>
      <c r="S1148" s="353"/>
      <c r="T1148" s="353"/>
      <c r="U1148" s="353"/>
      <c r="V1148" s="353"/>
      <c r="W1148" s="200"/>
      <c r="X1148" s="200"/>
      <c r="Y1148" s="200"/>
      <c r="Z1148" s="200"/>
      <c r="AA1148" s="200"/>
      <c r="AB1148" s="200"/>
      <c r="AC1148" s="200"/>
      <c r="AD1148" s="200"/>
      <c r="AE1148" s="200"/>
      <c r="AF1148" s="200"/>
      <c r="AG1148" s="200"/>
      <c r="AH1148" s="200"/>
      <c r="AI1148" s="200"/>
      <c r="AJ1148" s="200"/>
      <c r="AK1148" s="200"/>
      <c r="AL1148" s="200"/>
      <c r="AM1148" s="200"/>
      <c r="AN1148" s="200"/>
      <c r="AO1148" s="200"/>
      <c r="AP1148" s="200"/>
      <c r="AQ1148" s="200"/>
      <c r="AR1148" s="200"/>
      <c r="AS1148" s="200"/>
      <c r="AT1148" s="200"/>
    </row>
    <row r="1149" spans="1:46" ht="16.5" customHeight="1">
      <c r="A1149" s="432"/>
      <c r="B1149" s="307"/>
      <c r="C1149" s="200"/>
      <c r="D1149" s="200"/>
      <c r="E1149" s="200"/>
      <c r="F1149" s="200"/>
      <c r="G1149" s="200"/>
      <c r="H1149" s="200"/>
      <c r="I1149" s="200"/>
      <c r="J1149" s="200"/>
      <c r="K1149" s="200"/>
      <c r="L1149" s="200"/>
      <c r="M1149" s="200"/>
      <c r="N1149" s="200"/>
      <c r="O1149" s="200"/>
      <c r="P1149" s="200"/>
      <c r="Q1149" s="353"/>
      <c r="R1149" s="353"/>
      <c r="S1149" s="353"/>
      <c r="T1149" s="353"/>
      <c r="U1149" s="353"/>
      <c r="V1149" s="353"/>
      <c r="W1149" s="200"/>
      <c r="X1149" s="200"/>
      <c r="Y1149" s="200"/>
      <c r="Z1149" s="200"/>
      <c r="AA1149" s="200"/>
      <c r="AB1149" s="200"/>
      <c r="AC1149" s="200"/>
      <c r="AD1149" s="200"/>
      <c r="AE1149" s="200"/>
      <c r="AF1149" s="200"/>
      <c r="AG1149" s="200"/>
      <c r="AH1149" s="200"/>
      <c r="AI1149" s="200"/>
      <c r="AJ1149" s="200"/>
      <c r="AK1149" s="200"/>
      <c r="AL1149" s="200"/>
      <c r="AM1149" s="200"/>
      <c r="AN1149" s="200"/>
      <c r="AO1149" s="200"/>
      <c r="AP1149" s="200"/>
      <c r="AQ1149" s="200"/>
      <c r="AR1149" s="200"/>
      <c r="AS1149" s="200"/>
      <c r="AT1149" s="200"/>
    </row>
    <row r="1150" spans="1:46" ht="16.5" customHeight="1">
      <c r="A1150" s="432"/>
      <c r="B1150" s="307"/>
      <c r="C1150" s="200"/>
      <c r="D1150" s="200"/>
      <c r="E1150" s="200"/>
      <c r="F1150" s="200"/>
      <c r="G1150" s="200"/>
      <c r="H1150" s="200"/>
      <c r="I1150" s="200"/>
      <c r="J1150" s="200"/>
      <c r="K1150" s="200"/>
      <c r="L1150" s="200"/>
      <c r="M1150" s="200"/>
      <c r="N1150" s="200"/>
      <c r="O1150" s="200"/>
      <c r="P1150" s="200"/>
      <c r="Q1150" s="353"/>
      <c r="R1150" s="353"/>
      <c r="S1150" s="353"/>
      <c r="T1150" s="353"/>
      <c r="U1150" s="353"/>
      <c r="V1150" s="353"/>
      <c r="W1150" s="200"/>
      <c r="X1150" s="200"/>
      <c r="Y1150" s="200"/>
      <c r="Z1150" s="200"/>
      <c r="AA1150" s="200"/>
      <c r="AB1150" s="200"/>
      <c r="AC1150" s="200"/>
      <c r="AD1150" s="200"/>
      <c r="AE1150" s="200"/>
      <c r="AF1150" s="200"/>
      <c r="AG1150" s="200"/>
      <c r="AH1150" s="200"/>
      <c r="AI1150" s="200"/>
      <c r="AJ1150" s="200"/>
      <c r="AK1150" s="200"/>
      <c r="AL1150" s="200"/>
      <c r="AM1150" s="200"/>
      <c r="AN1150" s="200"/>
      <c r="AO1150" s="200"/>
      <c r="AP1150" s="200"/>
      <c r="AQ1150" s="200"/>
      <c r="AR1150" s="200"/>
      <c r="AS1150" s="200"/>
      <c r="AT1150" s="200"/>
    </row>
    <row r="1151" spans="1:46" ht="16.5" customHeight="1">
      <c r="A1151" s="432"/>
      <c r="B1151" s="307"/>
      <c r="C1151" s="200"/>
      <c r="D1151" s="200"/>
      <c r="E1151" s="200"/>
      <c r="F1151" s="200"/>
      <c r="G1151" s="200"/>
      <c r="H1151" s="200"/>
      <c r="I1151" s="200"/>
      <c r="J1151" s="200"/>
      <c r="K1151" s="200"/>
      <c r="L1151" s="200"/>
      <c r="M1151" s="200"/>
      <c r="N1151" s="200"/>
      <c r="O1151" s="200"/>
      <c r="P1151" s="200"/>
      <c r="Q1151" s="353"/>
      <c r="R1151" s="353"/>
      <c r="S1151" s="353"/>
      <c r="T1151" s="353"/>
      <c r="U1151" s="353"/>
      <c r="V1151" s="353"/>
      <c r="W1151" s="200"/>
      <c r="X1151" s="200"/>
      <c r="Y1151" s="200"/>
      <c r="Z1151" s="200"/>
      <c r="AA1151" s="200"/>
      <c r="AB1151" s="200"/>
      <c r="AC1151" s="200"/>
      <c r="AD1151" s="200"/>
      <c r="AE1151" s="200"/>
      <c r="AF1151" s="200"/>
      <c r="AG1151" s="200"/>
      <c r="AH1151" s="200"/>
      <c r="AI1151" s="200"/>
      <c r="AJ1151" s="200"/>
      <c r="AK1151" s="200"/>
      <c r="AL1151" s="200"/>
      <c r="AM1151" s="200"/>
      <c r="AN1151" s="200"/>
      <c r="AO1151" s="200"/>
      <c r="AP1151" s="200"/>
      <c r="AQ1151" s="200"/>
      <c r="AR1151" s="200"/>
      <c r="AS1151" s="200"/>
      <c r="AT1151" s="200"/>
    </row>
    <row r="1152" spans="1:46" ht="16.5" customHeight="1">
      <c r="A1152" s="432"/>
      <c r="B1152" s="307"/>
      <c r="C1152" s="200"/>
      <c r="D1152" s="200"/>
      <c r="E1152" s="200"/>
      <c r="F1152" s="200"/>
      <c r="G1152" s="200"/>
      <c r="H1152" s="200"/>
      <c r="I1152" s="200"/>
      <c r="J1152" s="200"/>
      <c r="K1152" s="200"/>
      <c r="L1152" s="200"/>
      <c r="M1152" s="200"/>
      <c r="N1152" s="200"/>
      <c r="O1152" s="200"/>
      <c r="P1152" s="200"/>
      <c r="Q1152" s="353"/>
      <c r="R1152" s="353"/>
      <c r="S1152" s="353"/>
      <c r="T1152" s="353"/>
      <c r="U1152" s="353"/>
      <c r="V1152" s="353"/>
      <c r="W1152" s="200"/>
      <c r="X1152" s="200"/>
      <c r="Y1152" s="200"/>
      <c r="Z1152" s="200"/>
      <c r="AA1152" s="200"/>
      <c r="AB1152" s="200"/>
      <c r="AC1152" s="200"/>
      <c r="AD1152" s="200"/>
      <c r="AE1152" s="200"/>
      <c r="AF1152" s="200"/>
      <c r="AG1152" s="200"/>
      <c r="AH1152" s="200"/>
      <c r="AI1152" s="200"/>
      <c r="AJ1152" s="200"/>
      <c r="AK1152" s="200"/>
      <c r="AL1152" s="200"/>
      <c r="AM1152" s="200"/>
      <c r="AN1152" s="200"/>
      <c r="AO1152" s="200"/>
      <c r="AP1152" s="200"/>
      <c r="AQ1152" s="200"/>
      <c r="AR1152" s="200"/>
      <c r="AS1152" s="200"/>
      <c r="AT1152" s="200"/>
    </row>
    <row r="1153" spans="1:46" ht="16.5" customHeight="1">
      <c r="A1153" s="432"/>
      <c r="B1153" s="307"/>
      <c r="C1153" s="200"/>
      <c r="D1153" s="200"/>
      <c r="E1153" s="200"/>
      <c r="F1153" s="200"/>
      <c r="G1153" s="200"/>
      <c r="H1153" s="200"/>
      <c r="I1153" s="200"/>
      <c r="J1153" s="200"/>
      <c r="K1153" s="200"/>
      <c r="L1153" s="200"/>
      <c r="M1153" s="200"/>
      <c r="N1153" s="200"/>
      <c r="O1153" s="200"/>
      <c r="P1153" s="200"/>
      <c r="Q1153" s="353"/>
      <c r="R1153" s="353"/>
      <c r="S1153" s="353"/>
      <c r="T1153" s="353"/>
      <c r="U1153" s="353"/>
      <c r="V1153" s="353"/>
      <c r="W1153" s="200"/>
      <c r="X1153" s="200"/>
      <c r="Y1153" s="200"/>
      <c r="Z1153" s="200"/>
      <c r="AA1153" s="200"/>
      <c r="AB1153" s="200"/>
      <c r="AC1153" s="200"/>
      <c r="AD1153" s="200"/>
      <c r="AE1153" s="200"/>
      <c r="AF1153" s="200"/>
      <c r="AG1153" s="200"/>
      <c r="AH1153" s="200"/>
      <c r="AI1153" s="200"/>
      <c r="AJ1153" s="200"/>
      <c r="AK1153" s="200"/>
      <c r="AL1153" s="200"/>
      <c r="AM1153" s="200"/>
      <c r="AN1153" s="200"/>
      <c r="AO1153" s="200"/>
      <c r="AP1153" s="200"/>
      <c r="AQ1153" s="200"/>
      <c r="AR1153" s="200"/>
      <c r="AS1153" s="200"/>
      <c r="AT1153" s="200"/>
    </row>
    <row r="1154" spans="1:46" ht="16.5" customHeight="1">
      <c r="A1154" s="432"/>
      <c r="B1154" s="307"/>
      <c r="C1154" s="200"/>
      <c r="D1154" s="200"/>
      <c r="E1154" s="200"/>
      <c r="F1154" s="200"/>
      <c r="G1154" s="200"/>
      <c r="H1154" s="200"/>
      <c r="I1154" s="200"/>
      <c r="J1154" s="200"/>
      <c r="K1154" s="200"/>
      <c r="L1154" s="200"/>
      <c r="M1154" s="200"/>
      <c r="N1154" s="200"/>
      <c r="O1154" s="200"/>
      <c r="P1154" s="200"/>
      <c r="Q1154" s="353"/>
      <c r="R1154" s="353"/>
      <c r="S1154" s="353"/>
      <c r="T1154" s="353"/>
      <c r="U1154" s="353"/>
      <c r="V1154" s="353"/>
      <c r="W1154" s="200"/>
      <c r="X1154" s="200"/>
      <c r="Y1154" s="200"/>
      <c r="Z1154" s="200"/>
      <c r="AA1154" s="200"/>
      <c r="AB1154" s="200"/>
      <c r="AC1154" s="200"/>
      <c r="AD1154" s="200"/>
      <c r="AE1154" s="200"/>
      <c r="AF1154" s="200"/>
      <c r="AG1154" s="200"/>
      <c r="AH1154" s="200"/>
      <c r="AI1154" s="200"/>
      <c r="AJ1154" s="200"/>
      <c r="AK1154" s="200"/>
      <c r="AL1154" s="200"/>
      <c r="AM1154" s="200"/>
      <c r="AN1154" s="200"/>
      <c r="AO1154" s="200"/>
      <c r="AP1154" s="200"/>
      <c r="AQ1154" s="200"/>
      <c r="AR1154" s="200"/>
      <c r="AS1154" s="200"/>
      <c r="AT1154" s="200"/>
    </row>
    <row r="1155" spans="1:46" ht="16.5" customHeight="1">
      <c r="A1155" s="432"/>
      <c r="B1155" s="307"/>
      <c r="C1155" s="200"/>
      <c r="D1155" s="200"/>
      <c r="E1155" s="200"/>
      <c r="F1155" s="200"/>
      <c r="G1155" s="200"/>
      <c r="H1155" s="200"/>
      <c r="I1155" s="200"/>
      <c r="J1155" s="200"/>
      <c r="K1155" s="200"/>
      <c r="L1155" s="200"/>
      <c r="M1155" s="200"/>
      <c r="N1155" s="200"/>
      <c r="O1155" s="200"/>
      <c r="P1155" s="200"/>
      <c r="Q1155" s="353"/>
      <c r="R1155" s="353"/>
      <c r="S1155" s="353"/>
      <c r="T1155" s="353"/>
      <c r="U1155" s="353"/>
      <c r="V1155" s="353"/>
      <c r="W1155" s="200"/>
      <c r="X1155" s="200"/>
      <c r="Y1155" s="200"/>
      <c r="Z1155" s="200"/>
      <c r="AA1155" s="200"/>
      <c r="AB1155" s="200"/>
      <c r="AC1155" s="200"/>
      <c r="AD1155" s="200"/>
      <c r="AE1155" s="200"/>
      <c r="AF1155" s="200"/>
      <c r="AG1155" s="200"/>
      <c r="AH1155" s="200"/>
      <c r="AI1155" s="200"/>
      <c r="AJ1155" s="200"/>
      <c r="AK1155" s="200"/>
      <c r="AL1155" s="200"/>
      <c r="AM1155" s="200"/>
      <c r="AN1155" s="200"/>
      <c r="AO1155" s="200"/>
      <c r="AP1155" s="200"/>
      <c r="AQ1155" s="200"/>
      <c r="AR1155" s="200"/>
      <c r="AS1155" s="200"/>
      <c r="AT1155" s="200"/>
    </row>
    <row r="1156" spans="1:46" ht="16.5" customHeight="1">
      <c r="A1156" s="432"/>
      <c r="B1156" s="307"/>
      <c r="C1156" s="200"/>
      <c r="D1156" s="200"/>
      <c r="E1156" s="200"/>
      <c r="F1156" s="200"/>
      <c r="G1156" s="200"/>
      <c r="H1156" s="200"/>
      <c r="I1156" s="200"/>
      <c r="J1156" s="200"/>
      <c r="K1156" s="200"/>
      <c r="L1156" s="200"/>
      <c r="M1156" s="200"/>
      <c r="N1156" s="200"/>
      <c r="O1156" s="200"/>
      <c r="P1156" s="200"/>
      <c r="Q1156" s="353"/>
      <c r="R1156" s="353"/>
      <c r="S1156" s="353"/>
      <c r="T1156" s="353"/>
      <c r="U1156" s="353"/>
      <c r="V1156" s="353"/>
      <c r="W1156" s="200"/>
      <c r="X1156" s="200"/>
      <c r="Y1156" s="200"/>
      <c r="Z1156" s="200"/>
      <c r="AA1156" s="200"/>
      <c r="AB1156" s="200"/>
      <c r="AC1156" s="200"/>
      <c r="AD1156" s="200"/>
      <c r="AE1156" s="200"/>
      <c r="AF1156" s="200"/>
      <c r="AG1156" s="200"/>
      <c r="AH1156" s="200"/>
      <c r="AI1156" s="200"/>
      <c r="AJ1156" s="200"/>
      <c r="AK1156" s="200"/>
      <c r="AL1156" s="200"/>
      <c r="AM1156" s="200"/>
      <c r="AN1156" s="200"/>
      <c r="AO1156" s="200"/>
      <c r="AP1156" s="200"/>
      <c r="AQ1156" s="200"/>
      <c r="AR1156" s="200"/>
      <c r="AS1156" s="200"/>
      <c r="AT1156" s="200"/>
    </row>
    <row r="1157" spans="1:46" ht="16.5" customHeight="1">
      <c r="A1157" s="432"/>
      <c r="B1157" s="307"/>
      <c r="C1157" s="200"/>
      <c r="D1157" s="200"/>
      <c r="E1157" s="200"/>
      <c r="F1157" s="200"/>
      <c r="G1157" s="200"/>
      <c r="H1157" s="200"/>
      <c r="I1157" s="200"/>
      <c r="J1157" s="200"/>
      <c r="K1157" s="200"/>
      <c r="L1157" s="200"/>
      <c r="M1157" s="200"/>
      <c r="N1157" s="200"/>
      <c r="O1157" s="200"/>
      <c r="P1157" s="200"/>
      <c r="Q1157" s="353"/>
      <c r="R1157" s="353"/>
      <c r="S1157" s="353"/>
      <c r="T1157" s="353"/>
      <c r="U1157" s="353"/>
      <c r="V1157" s="353"/>
      <c r="W1157" s="200"/>
      <c r="X1157" s="200"/>
      <c r="Y1157" s="200"/>
      <c r="Z1157" s="200"/>
      <c r="AA1157" s="200"/>
      <c r="AB1157" s="200"/>
      <c r="AC1157" s="200"/>
      <c r="AD1157" s="200"/>
      <c r="AE1157" s="200"/>
      <c r="AF1157" s="200"/>
      <c r="AG1157" s="200"/>
      <c r="AH1157" s="200"/>
      <c r="AI1157" s="200"/>
      <c r="AJ1157" s="200"/>
      <c r="AK1157" s="200"/>
      <c r="AL1157" s="200"/>
      <c r="AM1157" s="200"/>
      <c r="AN1157" s="200"/>
      <c r="AO1157" s="200"/>
      <c r="AP1157" s="200"/>
      <c r="AQ1157" s="200"/>
      <c r="AR1157" s="200"/>
      <c r="AS1157" s="200"/>
      <c r="AT1157" s="200"/>
    </row>
    <row r="1158" spans="1:46" ht="16.5" customHeight="1">
      <c r="A1158" s="432"/>
      <c r="B1158" s="307"/>
      <c r="C1158" s="200"/>
      <c r="D1158" s="200"/>
      <c r="E1158" s="200"/>
      <c r="F1158" s="200"/>
      <c r="G1158" s="200"/>
      <c r="H1158" s="200"/>
      <c r="I1158" s="200"/>
      <c r="J1158" s="200"/>
      <c r="K1158" s="200"/>
      <c r="L1158" s="200"/>
      <c r="M1158" s="200"/>
      <c r="N1158" s="200"/>
      <c r="O1158" s="200"/>
      <c r="P1158" s="200"/>
      <c r="Q1158" s="353"/>
      <c r="R1158" s="353"/>
      <c r="S1158" s="353"/>
      <c r="T1158" s="353"/>
      <c r="U1158" s="353"/>
      <c r="V1158" s="353"/>
      <c r="W1158" s="200"/>
      <c r="X1158" s="200"/>
      <c r="Y1158" s="200"/>
      <c r="Z1158" s="200"/>
      <c r="AA1158" s="200"/>
      <c r="AB1158" s="200"/>
      <c r="AC1158" s="200"/>
      <c r="AD1158" s="200"/>
      <c r="AE1158" s="200"/>
      <c r="AF1158" s="200"/>
      <c r="AG1158" s="200"/>
      <c r="AH1158" s="200"/>
      <c r="AI1158" s="200"/>
      <c r="AJ1158" s="200"/>
      <c r="AK1158" s="200"/>
      <c r="AL1158" s="200"/>
      <c r="AM1158" s="200"/>
      <c r="AN1158" s="200"/>
      <c r="AO1158" s="200"/>
      <c r="AP1158" s="200"/>
      <c r="AQ1158" s="200"/>
      <c r="AR1158" s="200"/>
      <c r="AS1158" s="200"/>
      <c r="AT1158" s="200"/>
    </row>
    <row r="1159" spans="1:46" ht="16.5" customHeight="1">
      <c r="A1159" s="432"/>
      <c r="B1159" s="307"/>
      <c r="C1159" s="200"/>
      <c r="D1159" s="200"/>
      <c r="E1159" s="200"/>
      <c r="F1159" s="200"/>
      <c r="G1159" s="200"/>
      <c r="H1159" s="200"/>
      <c r="I1159" s="200"/>
      <c r="J1159" s="200"/>
      <c r="K1159" s="200"/>
      <c r="L1159" s="200"/>
      <c r="M1159" s="200"/>
      <c r="N1159" s="200"/>
      <c r="O1159" s="200"/>
      <c r="P1159" s="200"/>
      <c r="Q1159" s="353"/>
      <c r="R1159" s="353"/>
      <c r="S1159" s="353"/>
      <c r="T1159" s="353"/>
      <c r="U1159" s="353"/>
      <c r="V1159" s="353"/>
      <c r="W1159" s="200"/>
      <c r="X1159" s="200"/>
      <c r="Y1159" s="200"/>
      <c r="Z1159" s="200"/>
      <c r="AA1159" s="200"/>
      <c r="AB1159" s="200"/>
      <c r="AC1159" s="200"/>
      <c r="AD1159" s="200"/>
      <c r="AE1159" s="200"/>
      <c r="AF1159" s="200"/>
      <c r="AG1159" s="200"/>
      <c r="AH1159" s="200"/>
      <c r="AI1159" s="200"/>
      <c r="AJ1159" s="200"/>
      <c r="AK1159" s="200"/>
      <c r="AL1159" s="200"/>
      <c r="AM1159" s="200"/>
      <c r="AN1159" s="200"/>
      <c r="AO1159" s="200"/>
      <c r="AP1159" s="200"/>
      <c r="AQ1159" s="200"/>
      <c r="AR1159" s="200"/>
      <c r="AS1159" s="200"/>
      <c r="AT1159" s="200"/>
    </row>
    <row r="1160" spans="1:46" ht="16.5" customHeight="1">
      <c r="A1160" s="432"/>
      <c r="B1160" s="307"/>
      <c r="C1160" s="200"/>
      <c r="D1160" s="200"/>
      <c r="E1160" s="200"/>
      <c r="F1160" s="200"/>
      <c r="G1160" s="200"/>
      <c r="H1160" s="200"/>
      <c r="I1160" s="200"/>
      <c r="J1160" s="200"/>
      <c r="K1160" s="200"/>
      <c r="L1160" s="200"/>
      <c r="M1160" s="200"/>
      <c r="N1160" s="200"/>
      <c r="O1160" s="200"/>
      <c r="P1160" s="200"/>
      <c r="Q1160" s="353"/>
      <c r="R1160" s="353"/>
      <c r="S1160" s="353"/>
      <c r="T1160" s="353"/>
      <c r="U1160" s="353"/>
      <c r="V1160" s="353"/>
      <c r="W1160" s="200"/>
      <c r="X1160" s="200"/>
      <c r="Y1160" s="200"/>
      <c r="Z1160" s="200"/>
      <c r="AA1160" s="200"/>
      <c r="AB1160" s="200"/>
      <c r="AC1160" s="200"/>
      <c r="AD1160" s="200"/>
      <c r="AE1160" s="200"/>
      <c r="AF1160" s="200"/>
      <c r="AG1160" s="200"/>
      <c r="AH1160" s="200"/>
      <c r="AI1160" s="200"/>
      <c r="AJ1160" s="200"/>
      <c r="AK1160" s="200"/>
      <c r="AL1160" s="200"/>
      <c r="AM1160" s="200"/>
      <c r="AN1160" s="200"/>
      <c r="AO1160" s="200"/>
      <c r="AP1160" s="200"/>
      <c r="AQ1160" s="200"/>
      <c r="AR1160" s="200"/>
      <c r="AS1160" s="200"/>
      <c r="AT1160" s="200"/>
    </row>
    <row r="1161" spans="1:46" ht="16.5" customHeight="1">
      <c r="A1161" s="432"/>
      <c r="B1161" s="307"/>
      <c r="C1161" s="200"/>
      <c r="D1161" s="200"/>
      <c r="E1161" s="200"/>
      <c r="F1161" s="200"/>
      <c r="G1161" s="200"/>
      <c r="H1161" s="200"/>
      <c r="I1161" s="200"/>
      <c r="J1161" s="200"/>
      <c r="K1161" s="200"/>
      <c r="L1161" s="200"/>
      <c r="M1161" s="200"/>
      <c r="N1161" s="200"/>
      <c r="O1161" s="200"/>
      <c r="P1161" s="200"/>
      <c r="Q1161" s="353"/>
      <c r="R1161" s="353"/>
      <c r="S1161" s="353"/>
      <c r="T1161" s="353"/>
      <c r="U1161" s="353"/>
      <c r="V1161" s="353"/>
      <c r="W1161" s="200"/>
      <c r="X1161" s="200"/>
      <c r="Y1161" s="200"/>
      <c r="Z1161" s="200"/>
      <c r="AA1161" s="200"/>
      <c r="AB1161" s="200"/>
      <c r="AC1161" s="200"/>
      <c r="AD1161" s="200"/>
      <c r="AE1161" s="200"/>
      <c r="AF1161" s="200"/>
      <c r="AG1161" s="200"/>
      <c r="AH1161" s="200"/>
      <c r="AI1161" s="200"/>
      <c r="AJ1161" s="200"/>
      <c r="AK1161" s="200"/>
      <c r="AL1161" s="200"/>
      <c r="AM1161" s="200"/>
      <c r="AN1161" s="200"/>
      <c r="AO1161" s="200"/>
      <c r="AP1161" s="200"/>
      <c r="AQ1161" s="200"/>
      <c r="AR1161" s="200"/>
      <c r="AS1161" s="200"/>
      <c r="AT1161" s="200"/>
    </row>
    <row r="1162" spans="1:46" ht="16.5" customHeight="1">
      <c r="A1162" s="432"/>
      <c r="B1162" s="307"/>
      <c r="C1162" s="200"/>
      <c r="D1162" s="200"/>
      <c r="E1162" s="200"/>
      <c r="F1162" s="200"/>
      <c r="G1162" s="200"/>
      <c r="H1162" s="200"/>
      <c r="I1162" s="200"/>
      <c r="J1162" s="200"/>
      <c r="K1162" s="200"/>
      <c r="L1162" s="200"/>
      <c r="M1162" s="200"/>
      <c r="N1162" s="200"/>
      <c r="O1162" s="200"/>
      <c r="P1162" s="200"/>
      <c r="Q1162" s="353"/>
      <c r="R1162" s="353"/>
      <c r="S1162" s="353"/>
      <c r="T1162" s="353"/>
      <c r="U1162" s="353"/>
      <c r="V1162" s="353"/>
      <c r="W1162" s="200"/>
      <c r="X1162" s="200"/>
      <c r="Y1162" s="200"/>
      <c r="Z1162" s="200"/>
      <c r="AA1162" s="200"/>
      <c r="AB1162" s="200"/>
      <c r="AC1162" s="200"/>
      <c r="AD1162" s="200"/>
      <c r="AE1162" s="200"/>
      <c r="AF1162" s="200"/>
      <c r="AG1162" s="200"/>
      <c r="AH1162" s="200"/>
      <c r="AI1162" s="200"/>
      <c r="AJ1162" s="200"/>
      <c r="AK1162" s="200"/>
      <c r="AL1162" s="200"/>
      <c r="AM1162" s="200"/>
      <c r="AN1162" s="200"/>
      <c r="AO1162" s="200"/>
      <c r="AP1162" s="200"/>
      <c r="AQ1162" s="200"/>
      <c r="AR1162" s="200"/>
      <c r="AS1162" s="200"/>
      <c r="AT1162" s="200"/>
    </row>
    <row r="1163" spans="1:46" ht="16.5" customHeight="1">
      <c r="A1163" s="432"/>
      <c r="B1163" s="307"/>
      <c r="C1163" s="200"/>
      <c r="D1163" s="200"/>
      <c r="E1163" s="200"/>
      <c r="F1163" s="200"/>
      <c r="G1163" s="200"/>
      <c r="H1163" s="200"/>
      <c r="I1163" s="200"/>
      <c r="J1163" s="200"/>
      <c r="K1163" s="200"/>
      <c r="L1163" s="200"/>
      <c r="M1163" s="200"/>
      <c r="N1163" s="200"/>
      <c r="O1163" s="200"/>
      <c r="P1163" s="200"/>
      <c r="Q1163" s="353"/>
      <c r="R1163" s="353"/>
      <c r="S1163" s="353"/>
      <c r="T1163" s="353"/>
      <c r="U1163" s="353"/>
      <c r="V1163" s="353"/>
      <c r="W1163" s="200"/>
      <c r="X1163" s="200"/>
      <c r="Y1163" s="200"/>
      <c r="Z1163" s="200"/>
      <c r="AA1163" s="200"/>
      <c r="AB1163" s="200"/>
      <c r="AC1163" s="200"/>
      <c r="AD1163" s="200"/>
      <c r="AE1163" s="200"/>
      <c r="AF1163" s="200"/>
      <c r="AG1163" s="200"/>
      <c r="AH1163" s="200"/>
      <c r="AI1163" s="200"/>
      <c r="AJ1163" s="200"/>
      <c r="AK1163" s="200"/>
      <c r="AL1163" s="200"/>
      <c r="AM1163" s="200"/>
      <c r="AN1163" s="200"/>
      <c r="AO1163" s="200"/>
      <c r="AP1163" s="200"/>
      <c r="AQ1163" s="200"/>
      <c r="AR1163" s="200"/>
      <c r="AS1163" s="200"/>
      <c r="AT1163" s="200"/>
    </row>
    <row r="1164" spans="1:46" ht="16.5" customHeight="1">
      <c r="A1164" s="432"/>
      <c r="B1164" s="307"/>
      <c r="C1164" s="200"/>
      <c r="D1164" s="200"/>
      <c r="E1164" s="200"/>
      <c r="F1164" s="200"/>
      <c r="G1164" s="200"/>
      <c r="H1164" s="200"/>
      <c r="I1164" s="200"/>
      <c r="J1164" s="200"/>
      <c r="K1164" s="200"/>
      <c r="L1164" s="200"/>
      <c r="M1164" s="200"/>
      <c r="N1164" s="200"/>
      <c r="O1164" s="200"/>
      <c r="P1164" s="200"/>
      <c r="Q1164" s="353"/>
      <c r="R1164" s="353"/>
      <c r="S1164" s="353"/>
      <c r="T1164" s="353"/>
      <c r="U1164" s="353"/>
      <c r="V1164" s="353"/>
      <c r="W1164" s="200"/>
      <c r="X1164" s="200"/>
      <c r="Y1164" s="200"/>
      <c r="Z1164" s="200"/>
      <c r="AA1164" s="200"/>
      <c r="AB1164" s="200"/>
      <c r="AC1164" s="200"/>
      <c r="AD1164" s="200"/>
      <c r="AE1164" s="200"/>
      <c r="AF1164" s="200"/>
      <c r="AG1164" s="200"/>
      <c r="AH1164" s="200"/>
      <c r="AI1164" s="200"/>
      <c r="AJ1164" s="200"/>
      <c r="AK1164" s="200"/>
      <c r="AL1164" s="200"/>
      <c r="AM1164" s="200"/>
      <c r="AN1164" s="200"/>
      <c r="AO1164" s="200"/>
      <c r="AP1164" s="200"/>
      <c r="AQ1164" s="200"/>
      <c r="AR1164" s="200"/>
      <c r="AS1164" s="200"/>
      <c r="AT1164" s="200"/>
    </row>
    <row r="1165" spans="1:46" ht="16.5" customHeight="1">
      <c r="A1165" s="432"/>
      <c r="B1165" s="307"/>
      <c r="C1165" s="200"/>
      <c r="D1165" s="200"/>
      <c r="E1165" s="200"/>
      <c r="F1165" s="200"/>
      <c r="G1165" s="200"/>
      <c r="H1165" s="200"/>
      <c r="I1165" s="200"/>
      <c r="J1165" s="200"/>
      <c r="K1165" s="200"/>
      <c r="L1165" s="200"/>
      <c r="M1165" s="200"/>
      <c r="N1165" s="200"/>
      <c r="O1165" s="200"/>
      <c r="P1165" s="200"/>
      <c r="Q1165" s="353"/>
      <c r="R1165" s="353"/>
      <c r="S1165" s="353"/>
      <c r="T1165" s="353"/>
      <c r="U1165" s="353"/>
      <c r="V1165" s="353"/>
      <c r="W1165" s="200"/>
      <c r="X1165" s="200"/>
      <c r="Y1165" s="200"/>
      <c r="Z1165" s="200"/>
      <c r="AA1165" s="200"/>
      <c r="AB1165" s="200"/>
      <c r="AC1165" s="200"/>
      <c r="AD1165" s="200"/>
      <c r="AE1165" s="200"/>
      <c r="AF1165" s="200"/>
      <c r="AG1165" s="200"/>
      <c r="AH1165" s="200"/>
      <c r="AI1165" s="200"/>
      <c r="AJ1165" s="200"/>
      <c r="AK1165" s="200"/>
      <c r="AL1165" s="200"/>
      <c r="AM1165" s="200"/>
      <c r="AN1165" s="200"/>
      <c r="AO1165" s="200"/>
      <c r="AP1165" s="200"/>
      <c r="AQ1165" s="200"/>
      <c r="AR1165" s="200"/>
      <c r="AS1165" s="200"/>
      <c r="AT1165" s="200"/>
    </row>
    <row r="1166" spans="1:46" ht="16.5" customHeight="1">
      <c r="A1166" s="432"/>
      <c r="B1166" s="307"/>
      <c r="C1166" s="200"/>
      <c r="D1166" s="200"/>
      <c r="E1166" s="200"/>
      <c r="F1166" s="200"/>
      <c r="G1166" s="200"/>
      <c r="H1166" s="200"/>
      <c r="I1166" s="200"/>
      <c r="J1166" s="200"/>
      <c r="K1166" s="200"/>
      <c r="L1166" s="200"/>
      <c r="M1166" s="200"/>
      <c r="N1166" s="200"/>
      <c r="O1166" s="200"/>
      <c r="P1166" s="200"/>
      <c r="Q1166" s="353"/>
      <c r="R1166" s="353"/>
      <c r="S1166" s="353"/>
      <c r="T1166" s="353"/>
      <c r="U1166" s="353"/>
      <c r="V1166" s="353"/>
      <c r="W1166" s="200"/>
      <c r="X1166" s="200"/>
      <c r="Y1166" s="200"/>
      <c r="Z1166" s="200"/>
      <c r="AA1166" s="200"/>
      <c r="AB1166" s="200"/>
      <c r="AC1166" s="200"/>
      <c r="AD1166" s="200"/>
      <c r="AE1166" s="200"/>
      <c r="AF1166" s="200"/>
      <c r="AG1166" s="200"/>
      <c r="AH1166" s="200"/>
      <c r="AI1166" s="200"/>
      <c r="AJ1166" s="200"/>
      <c r="AK1166" s="200"/>
      <c r="AL1166" s="200"/>
      <c r="AM1166" s="200"/>
      <c r="AN1166" s="200"/>
      <c r="AO1166" s="200"/>
      <c r="AP1166" s="200"/>
      <c r="AQ1166" s="200"/>
      <c r="AR1166" s="200"/>
      <c r="AS1166" s="200"/>
      <c r="AT1166" s="200"/>
    </row>
    <row r="1167" spans="1:46" ht="16.5" customHeight="1">
      <c r="A1167" s="432"/>
      <c r="B1167" s="307"/>
      <c r="C1167" s="200"/>
      <c r="D1167" s="200"/>
      <c r="E1167" s="200"/>
      <c r="F1167" s="200"/>
      <c r="G1167" s="200"/>
      <c r="H1167" s="200"/>
      <c r="I1167" s="200"/>
      <c r="J1167" s="200"/>
      <c r="K1167" s="200"/>
      <c r="L1167" s="200"/>
      <c r="M1167" s="200"/>
      <c r="N1167" s="200"/>
      <c r="O1167" s="200"/>
      <c r="P1167" s="200"/>
      <c r="Q1167" s="353"/>
      <c r="R1167" s="353"/>
      <c r="S1167" s="353"/>
      <c r="T1167" s="353"/>
      <c r="U1167" s="353"/>
      <c r="V1167" s="353"/>
      <c r="W1167" s="200"/>
      <c r="X1167" s="200"/>
      <c r="Y1167" s="200"/>
      <c r="Z1167" s="200"/>
      <c r="AA1167" s="200"/>
      <c r="AB1167" s="200"/>
      <c r="AC1167" s="200"/>
      <c r="AD1167" s="200"/>
      <c r="AE1167" s="200"/>
      <c r="AF1167" s="200"/>
      <c r="AG1167" s="200"/>
      <c r="AH1167" s="200"/>
      <c r="AI1167" s="200"/>
      <c r="AJ1167" s="200"/>
      <c r="AK1167" s="200"/>
      <c r="AL1167" s="200"/>
      <c r="AM1167" s="200"/>
      <c r="AN1167" s="200"/>
      <c r="AO1167" s="200"/>
      <c r="AP1167" s="200"/>
      <c r="AQ1167" s="200"/>
      <c r="AR1167" s="200"/>
      <c r="AS1167" s="200"/>
      <c r="AT1167" s="200"/>
    </row>
    <row r="1168" spans="1:46" ht="16.5" customHeight="1">
      <c r="A1168" s="432"/>
      <c r="B1168" s="307"/>
      <c r="C1168" s="200"/>
      <c r="D1168" s="200"/>
      <c r="E1168" s="200"/>
      <c r="F1168" s="200"/>
      <c r="G1168" s="200"/>
      <c r="H1168" s="200"/>
      <c r="I1168" s="200"/>
      <c r="J1168" s="200"/>
      <c r="K1168" s="200"/>
      <c r="L1168" s="200"/>
      <c r="M1168" s="200"/>
      <c r="N1168" s="200"/>
      <c r="O1168" s="200"/>
      <c r="P1168" s="200"/>
      <c r="Q1168" s="353"/>
      <c r="R1168" s="353"/>
      <c r="S1168" s="353"/>
      <c r="T1168" s="353"/>
      <c r="U1168" s="353"/>
      <c r="V1168" s="353"/>
      <c r="W1168" s="200"/>
      <c r="X1168" s="200"/>
      <c r="Y1168" s="200"/>
      <c r="Z1168" s="200"/>
      <c r="AA1168" s="200"/>
      <c r="AB1168" s="200"/>
      <c r="AC1168" s="200"/>
      <c r="AD1168" s="200"/>
      <c r="AE1168" s="200"/>
      <c r="AF1168" s="200"/>
      <c r="AG1168" s="200"/>
      <c r="AH1168" s="200"/>
      <c r="AI1168" s="200"/>
      <c r="AJ1168" s="200"/>
      <c r="AK1168" s="200"/>
      <c r="AL1168" s="200"/>
      <c r="AM1168" s="200"/>
      <c r="AN1168" s="200"/>
      <c r="AO1168" s="200"/>
      <c r="AP1168" s="200"/>
      <c r="AQ1168" s="200"/>
      <c r="AR1168" s="200"/>
      <c r="AS1168" s="200"/>
      <c r="AT1168" s="200"/>
    </row>
    <row r="1169" spans="1:46" ht="16.5" customHeight="1">
      <c r="A1169" s="432"/>
      <c r="B1169" s="307"/>
      <c r="C1169" s="200"/>
      <c r="D1169" s="200"/>
      <c r="E1169" s="200"/>
      <c r="F1169" s="200"/>
      <c r="G1169" s="200"/>
      <c r="H1169" s="200"/>
      <c r="I1169" s="200"/>
      <c r="J1169" s="200"/>
      <c r="K1169" s="200"/>
      <c r="L1169" s="200"/>
      <c r="M1169" s="200"/>
      <c r="N1169" s="200"/>
      <c r="O1169" s="200"/>
      <c r="P1169" s="200"/>
      <c r="Q1169" s="353"/>
      <c r="R1169" s="353"/>
      <c r="S1169" s="353"/>
      <c r="T1169" s="353"/>
      <c r="U1169" s="353"/>
      <c r="V1169" s="353"/>
      <c r="W1169" s="200"/>
      <c r="X1169" s="200"/>
      <c r="Y1169" s="200"/>
      <c r="Z1169" s="200"/>
      <c r="AA1169" s="200"/>
      <c r="AB1169" s="200"/>
      <c r="AC1169" s="200"/>
      <c r="AD1169" s="200"/>
      <c r="AE1169" s="200"/>
      <c r="AF1169" s="200"/>
      <c r="AG1169" s="200"/>
      <c r="AH1169" s="200"/>
      <c r="AI1169" s="200"/>
      <c r="AJ1169" s="200"/>
      <c r="AK1169" s="200"/>
      <c r="AL1169" s="200"/>
      <c r="AM1169" s="200"/>
      <c r="AN1169" s="200"/>
      <c r="AO1169" s="200"/>
      <c r="AP1169" s="200"/>
      <c r="AQ1169" s="200"/>
      <c r="AR1169" s="200"/>
      <c r="AS1169" s="200"/>
      <c r="AT1169" s="200"/>
    </row>
    <row r="1170" spans="1:46" ht="16.5" customHeight="1">
      <c r="A1170" s="432"/>
      <c r="B1170" s="307"/>
      <c r="C1170" s="200"/>
      <c r="D1170" s="200"/>
      <c r="E1170" s="200"/>
      <c r="F1170" s="200"/>
      <c r="G1170" s="200"/>
      <c r="H1170" s="200"/>
      <c r="I1170" s="200"/>
      <c r="J1170" s="200"/>
      <c r="K1170" s="200"/>
      <c r="L1170" s="200"/>
      <c r="M1170" s="200"/>
      <c r="N1170" s="200"/>
      <c r="O1170" s="200"/>
      <c r="P1170" s="200"/>
      <c r="Q1170" s="353"/>
      <c r="R1170" s="353"/>
      <c r="S1170" s="353"/>
      <c r="T1170" s="353"/>
      <c r="U1170" s="353"/>
      <c r="V1170" s="353"/>
      <c r="W1170" s="200"/>
      <c r="X1170" s="200"/>
      <c r="Y1170" s="200"/>
      <c r="Z1170" s="200"/>
      <c r="AA1170" s="200"/>
      <c r="AB1170" s="200"/>
      <c r="AC1170" s="200"/>
      <c r="AD1170" s="200"/>
      <c r="AE1170" s="200"/>
      <c r="AF1170" s="200"/>
      <c r="AG1170" s="200"/>
      <c r="AH1170" s="200"/>
      <c r="AI1170" s="200"/>
      <c r="AJ1170" s="200"/>
      <c r="AK1170" s="200"/>
      <c r="AL1170" s="200"/>
      <c r="AM1170" s="200"/>
      <c r="AN1170" s="200"/>
      <c r="AO1170" s="200"/>
      <c r="AP1170" s="200"/>
      <c r="AQ1170" s="200"/>
      <c r="AR1170" s="200"/>
      <c r="AS1170" s="200"/>
      <c r="AT1170" s="200"/>
    </row>
    <row r="1171" spans="1:46" ht="16.5" customHeight="1">
      <c r="A1171" s="432"/>
      <c r="B1171" s="307"/>
      <c r="C1171" s="200"/>
      <c r="D1171" s="200"/>
      <c r="E1171" s="200"/>
      <c r="F1171" s="200"/>
      <c r="G1171" s="200"/>
      <c r="H1171" s="200"/>
      <c r="I1171" s="200"/>
      <c r="J1171" s="200"/>
      <c r="K1171" s="200"/>
      <c r="L1171" s="200"/>
      <c r="M1171" s="200"/>
      <c r="N1171" s="200"/>
      <c r="O1171" s="200"/>
      <c r="P1171" s="200"/>
      <c r="Q1171" s="353"/>
      <c r="R1171" s="353"/>
      <c r="S1171" s="353"/>
      <c r="T1171" s="353"/>
      <c r="U1171" s="353"/>
      <c r="V1171" s="353"/>
      <c r="W1171" s="200"/>
      <c r="X1171" s="200"/>
      <c r="Y1171" s="200"/>
      <c r="Z1171" s="200"/>
      <c r="AA1171" s="200"/>
      <c r="AB1171" s="200"/>
      <c r="AC1171" s="200"/>
      <c r="AD1171" s="200"/>
      <c r="AE1171" s="200"/>
      <c r="AF1171" s="200"/>
      <c r="AG1171" s="200"/>
      <c r="AH1171" s="200"/>
      <c r="AI1171" s="200"/>
      <c r="AJ1171" s="200"/>
      <c r="AK1171" s="200"/>
      <c r="AL1171" s="200"/>
      <c r="AM1171" s="200"/>
      <c r="AN1171" s="200"/>
      <c r="AO1171" s="200"/>
      <c r="AP1171" s="200"/>
      <c r="AQ1171" s="200"/>
      <c r="AR1171" s="200"/>
      <c r="AS1171" s="200"/>
      <c r="AT1171" s="200"/>
    </row>
    <row r="1172" spans="1:46" ht="16.5" customHeight="1">
      <c r="A1172" s="432"/>
      <c r="B1172" s="307"/>
      <c r="C1172" s="200"/>
      <c r="D1172" s="200"/>
      <c r="E1172" s="200"/>
      <c r="F1172" s="200"/>
      <c r="G1172" s="200"/>
      <c r="H1172" s="200"/>
      <c r="I1172" s="200"/>
      <c r="J1172" s="200"/>
      <c r="K1172" s="200"/>
      <c r="L1172" s="200"/>
      <c r="M1172" s="200"/>
      <c r="N1172" s="200"/>
      <c r="O1172" s="200"/>
      <c r="P1172" s="200"/>
      <c r="Q1172" s="353"/>
      <c r="R1172" s="353"/>
      <c r="S1172" s="353"/>
      <c r="T1172" s="353"/>
      <c r="U1172" s="353"/>
      <c r="V1172" s="353"/>
      <c r="W1172" s="200"/>
      <c r="X1172" s="200"/>
      <c r="Y1172" s="200"/>
      <c r="Z1172" s="200"/>
      <c r="AA1172" s="200"/>
      <c r="AB1172" s="200"/>
      <c r="AC1172" s="200"/>
      <c r="AD1172" s="200"/>
      <c r="AE1172" s="200"/>
      <c r="AF1172" s="200"/>
      <c r="AG1172" s="200"/>
      <c r="AH1172" s="200"/>
      <c r="AI1172" s="200"/>
      <c r="AJ1172" s="200"/>
      <c r="AK1172" s="200"/>
      <c r="AL1172" s="200"/>
      <c r="AM1172" s="200"/>
      <c r="AN1172" s="200"/>
      <c r="AO1172" s="200"/>
      <c r="AP1172" s="200"/>
      <c r="AQ1172" s="200"/>
      <c r="AR1172" s="200"/>
      <c r="AS1172" s="200"/>
      <c r="AT1172" s="200"/>
    </row>
    <row r="1173" spans="1:46" ht="16.5" customHeight="1">
      <c r="A1173" s="432"/>
      <c r="B1173" s="307"/>
      <c r="C1173" s="200"/>
      <c r="D1173" s="200"/>
      <c r="E1173" s="200"/>
      <c r="F1173" s="200"/>
      <c r="G1173" s="200"/>
      <c r="H1173" s="200"/>
      <c r="I1173" s="200"/>
      <c r="J1173" s="200"/>
      <c r="K1173" s="200"/>
      <c r="L1173" s="200"/>
      <c r="M1173" s="200"/>
      <c r="N1173" s="200"/>
      <c r="O1173" s="200"/>
      <c r="P1173" s="200"/>
      <c r="Q1173" s="353"/>
      <c r="R1173" s="353"/>
      <c r="S1173" s="353"/>
      <c r="T1173" s="353"/>
      <c r="U1173" s="353"/>
      <c r="V1173" s="353"/>
      <c r="W1173" s="200"/>
      <c r="X1173" s="200"/>
      <c r="Y1173" s="200"/>
      <c r="Z1173" s="200"/>
      <c r="AA1173" s="200"/>
      <c r="AB1173" s="200"/>
      <c r="AC1173" s="200"/>
      <c r="AD1173" s="200"/>
      <c r="AE1173" s="200"/>
      <c r="AF1173" s="200"/>
      <c r="AG1173" s="200"/>
      <c r="AH1173" s="200"/>
      <c r="AI1173" s="200"/>
      <c r="AJ1173" s="200"/>
      <c r="AK1173" s="200"/>
      <c r="AL1173" s="200"/>
      <c r="AM1173" s="200"/>
      <c r="AN1173" s="200"/>
      <c r="AO1173" s="200"/>
      <c r="AP1173" s="200"/>
      <c r="AQ1173" s="200"/>
      <c r="AR1173" s="200"/>
      <c r="AS1173" s="200"/>
      <c r="AT1173" s="200"/>
    </row>
    <row r="1174" spans="1:46" ht="16.5" customHeight="1">
      <c r="A1174" s="432"/>
      <c r="B1174" s="307"/>
      <c r="C1174" s="200"/>
      <c r="D1174" s="200"/>
      <c r="E1174" s="200"/>
      <c r="F1174" s="200"/>
      <c r="G1174" s="200"/>
      <c r="H1174" s="200"/>
      <c r="I1174" s="200"/>
      <c r="J1174" s="200"/>
      <c r="K1174" s="200"/>
      <c r="L1174" s="200"/>
      <c r="M1174" s="200"/>
      <c r="N1174" s="200"/>
      <c r="O1174" s="200"/>
      <c r="P1174" s="200"/>
      <c r="Q1174" s="353"/>
      <c r="R1174" s="353"/>
      <c r="S1174" s="353"/>
      <c r="T1174" s="353"/>
      <c r="U1174" s="353"/>
      <c r="V1174" s="353"/>
      <c r="W1174" s="200"/>
      <c r="X1174" s="200"/>
      <c r="Y1174" s="200"/>
      <c r="Z1174" s="200"/>
      <c r="AA1174" s="200"/>
      <c r="AB1174" s="200"/>
      <c r="AC1174" s="200"/>
      <c r="AD1174" s="200"/>
      <c r="AE1174" s="200"/>
      <c r="AF1174" s="200"/>
      <c r="AG1174" s="200"/>
      <c r="AH1174" s="200"/>
      <c r="AI1174" s="200"/>
      <c r="AJ1174" s="200"/>
      <c r="AK1174" s="200"/>
      <c r="AL1174" s="200"/>
      <c r="AM1174" s="200"/>
      <c r="AN1174" s="200"/>
      <c r="AO1174" s="200"/>
      <c r="AP1174" s="200"/>
      <c r="AQ1174" s="200"/>
      <c r="AR1174" s="200"/>
      <c r="AS1174" s="200"/>
      <c r="AT1174" s="200"/>
    </row>
    <row r="1175" spans="1:46" ht="16.5" customHeight="1">
      <c r="A1175" s="432"/>
      <c r="B1175" s="307"/>
      <c r="C1175" s="200"/>
      <c r="D1175" s="200"/>
      <c r="E1175" s="200"/>
      <c r="F1175" s="200"/>
      <c r="G1175" s="200"/>
      <c r="H1175" s="200"/>
      <c r="I1175" s="200"/>
      <c r="J1175" s="200"/>
      <c r="K1175" s="200"/>
      <c r="L1175" s="200"/>
      <c r="M1175" s="200"/>
      <c r="N1175" s="200"/>
      <c r="O1175" s="200"/>
      <c r="P1175" s="200"/>
      <c r="Q1175" s="353"/>
      <c r="R1175" s="353"/>
      <c r="S1175" s="353"/>
      <c r="T1175" s="353"/>
      <c r="U1175" s="353"/>
      <c r="V1175" s="353"/>
      <c r="W1175" s="200"/>
      <c r="X1175" s="200"/>
      <c r="Y1175" s="200"/>
      <c r="Z1175" s="200"/>
      <c r="AA1175" s="200"/>
      <c r="AB1175" s="200"/>
      <c r="AC1175" s="200"/>
      <c r="AD1175" s="200"/>
      <c r="AE1175" s="200"/>
      <c r="AF1175" s="200"/>
      <c r="AG1175" s="200"/>
      <c r="AH1175" s="200"/>
      <c r="AI1175" s="200"/>
      <c r="AJ1175" s="200"/>
      <c r="AK1175" s="200"/>
      <c r="AL1175" s="200"/>
      <c r="AM1175" s="200"/>
      <c r="AN1175" s="200"/>
      <c r="AO1175" s="200"/>
      <c r="AP1175" s="200"/>
      <c r="AQ1175" s="200"/>
      <c r="AR1175" s="200"/>
      <c r="AS1175" s="200"/>
      <c r="AT1175" s="200"/>
    </row>
    <row r="1176" spans="1:46" ht="16.5" customHeight="1">
      <c r="A1176" s="432"/>
      <c r="B1176" s="307"/>
      <c r="C1176" s="200"/>
      <c r="D1176" s="200"/>
      <c r="E1176" s="200"/>
      <c r="F1176" s="200"/>
      <c r="G1176" s="200"/>
      <c r="H1176" s="200"/>
      <c r="I1176" s="200"/>
      <c r="J1176" s="200"/>
      <c r="K1176" s="200"/>
      <c r="L1176" s="200"/>
      <c r="M1176" s="200"/>
      <c r="N1176" s="200"/>
      <c r="O1176" s="200"/>
      <c r="P1176" s="200"/>
      <c r="Q1176" s="353"/>
      <c r="R1176" s="353"/>
      <c r="S1176" s="353"/>
      <c r="T1176" s="353"/>
      <c r="U1176" s="353"/>
      <c r="V1176" s="353"/>
      <c r="W1176" s="200"/>
      <c r="X1176" s="200"/>
      <c r="Y1176" s="200"/>
      <c r="Z1176" s="200"/>
      <c r="AA1176" s="200"/>
      <c r="AB1176" s="200"/>
      <c r="AC1176" s="200"/>
      <c r="AD1176" s="200"/>
      <c r="AE1176" s="200"/>
      <c r="AF1176" s="200"/>
      <c r="AG1176" s="200"/>
      <c r="AH1176" s="200"/>
      <c r="AI1176" s="200"/>
      <c r="AJ1176" s="200"/>
      <c r="AK1176" s="200"/>
      <c r="AL1176" s="200"/>
      <c r="AM1176" s="200"/>
      <c r="AN1176" s="200"/>
      <c r="AO1176" s="200"/>
      <c r="AP1176" s="200"/>
      <c r="AQ1176" s="200"/>
      <c r="AR1176" s="200"/>
      <c r="AS1176" s="200"/>
      <c r="AT1176" s="200"/>
    </row>
    <row r="1177" spans="1:46" ht="16.5" customHeight="1">
      <c r="A1177" s="432"/>
      <c r="B1177" s="307"/>
      <c r="C1177" s="200"/>
      <c r="D1177" s="200"/>
      <c r="E1177" s="200"/>
      <c r="F1177" s="200"/>
      <c r="G1177" s="200"/>
      <c r="H1177" s="200"/>
      <c r="I1177" s="200"/>
      <c r="J1177" s="200"/>
      <c r="K1177" s="200"/>
      <c r="L1177" s="200"/>
      <c r="M1177" s="200"/>
      <c r="N1177" s="200"/>
      <c r="O1177" s="200"/>
      <c r="P1177" s="200"/>
      <c r="Q1177" s="353"/>
      <c r="R1177" s="353"/>
      <c r="S1177" s="353"/>
      <c r="T1177" s="353"/>
      <c r="U1177" s="353"/>
      <c r="V1177" s="353"/>
      <c r="W1177" s="200"/>
      <c r="X1177" s="200"/>
      <c r="Y1177" s="200"/>
      <c r="Z1177" s="200"/>
      <c r="AA1177" s="200"/>
      <c r="AB1177" s="200"/>
      <c r="AC1177" s="200"/>
      <c r="AD1177" s="200"/>
      <c r="AE1177" s="200"/>
      <c r="AF1177" s="200"/>
      <c r="AG1177" s="200"/>
      <c r="AH1177" s="200"/>
      <c r="AI1177" s="200"/>
      <c r="AJ1177" s="200"/>
      <c r="AK1177" s="200"/>
      <c r="AL1177" s="200"/>
      <c r="AM1177" s="200"/>
      <c r="AN1177" s="200"/>
      <c r="AO1177" s="200"/>
      <c r="AP1177" s="200"/>
      <c r="AQ1177" s="200"/>
      <c r="AR1177" s="200"/>
      <c r="AS1177" s="200"/>
      <c r="AT1177" s="200"/>
    </row>
    <row r="1178" spans="1:46" ht="16.5" customHeight="1">
      <c r="A1178" s="432"/>
      <c r="B1178" s="307"/>
      <c r="C1178" s="200"/>
      <c r="D1178" s="200"/>
      <c r="E1178" s="200"/>
      <c r="F1178" s="200"/>
      <c r="G1178" s="200"/>
      <c r="H1178" s="200"/>
      <c r="I1178" s="200"/>
      <c r="J1178" s="200"/>
      <c r="K1178" s="200"/>
      <c r="L1178" s="200"/>
      <c r="M1178" s="200"/>
      <c r="N1178" s="200"/>
      <c r="O1178" s="200"/>
      <c r="P1178" s="200"/>
      <c r="Q1178" s="353"/>
      <c r="R1178" s="353"/>
      <c r="S1178" s="353"/>
      <c r="T1178" s="353"/>
      <c r="U1178" s="353"/>
      <c r="V1178" s="353"/>
      <c r="W1178" s="200"/>
      <c r="X1178" s="200"/>
      <c r="Y1178" s="200"/>
      <c r="Z1178" s="200"/>
      <c r="AA1178" s="200"/>
      <c r="AB1178" s="200"/>
      <c r="AC1178" s="200"/>
      <c r="AD1178" s="200"/>
      <c r="AE1178" s="200"/>
      <c r="AF1178" s="200"/>
      <c r="AG1178" s="200"/>
      <c r="AH1178" s="200"/>
      <c r="AI1178" s="200"/>
      <c r="AJ1178" s="200"/>
      <c r="AK1178" s="200"/>
      <c r="AL1178" s="200"/>
      <c r="AM1178" s="200"/>
      <c r="AN1178" s="200"/>
      <c r="AO1178" s="200"/>
      <c r="AP1178" s="200"/>
      <c r="AQ1178" s="200"/>
      <c r="AR1178" s="200"/>
      <c r="AS1178" s="200"/>
      <c r="AT1178" s="200"/>
    </row>
    <row r="1179" spans="1:46" ht="16.5" customHeight="1">
      <c r="A1179" s="432"/>
      <c r="B1179" s="307"/>
      <c r="C1179" s="200"/>
      <c r="D1179" s="200"/>
      <c r="E1179" s="200"/>
      <c r="F1179" s="200"/>
      <c r="G1179" s="200"/>
      <c r="H1179" s="200"/>
      <c r="I1179" s="200"/>
      <c r="J1179" s="200"/>
      <c r="K1179" s="200"/>
      <c r="L1179" s="200"/>
      <c r="M1179" s="200"/>
      <c r="N1179" s="200"/>
      <c r="O1179" s="200"/>
      <c r="P1179" s="200"/>
      <c r="Q1179" s="353"/>
      <c r="R1179" s="353"/>
      <c r="S1179" s="353"/>
      <c r="T1179" s="353"/>
      <c r="U1179" s="353"/>
      <c r="V1179" s="353"/>
      <c r="W1179" s="200"/>
      <c r="X1179" s="200"/>
      <c r="Y1179" s="200"/>
      <c r="Z1179" s="200"/>
      <c r="AA1179" s="200"/>
      <c r="AB1179" s="200"/>
      <c r="AC1179" s="200"/>
      <c r="AD1179" s="200"/>
      <c r="AE1179" s="200"/>
      <c r="AF1179" s="200"/>
      <c r="AG1179" s="200"/>
      <c r="AH1179" s="200"/>
      <c r="AI1179" s="200"/>
      <c r="AJ1179" s="200"/>
      <c r="AK1179" s="200"/>
      <c r="AL1179" s="200"/>
      <c r="AM1179" s="200"/>
      <c r="AN1179" s="200"/>
      <c r="AO1179" s="200"/>
      <c r="AP1179" s="200"/>
      <c r="AQ1179" s="200"/>
      <c r="AR1179" s="200"/>
      <c r="AS1179" s="200"/>
      <c r="AT1179" s="200"/>
    </row>
    <row r="1180" spans="1:46" ht="16.5" customHeight="1">
      <c r="A1180" s="432"/>
      <c r="B1180" s="307"/>
      <c r="C1180" s="200"/>
      <c r="D1180" s="200"/>
      <c r="E1180" s="200"/>
      <c r="F1180" s="200"/>
      <c r="G1180" s="200"/>
      <c r="H1180" s="200"/>
      <c r="I1180" s="200"/>
      <c r="J1180" s="200"/>
      <c r="K1180" s="200"/>
      <c r="L1180" s="200"/>
      <c r="M1180" s="200"/>
      <c r="N1180" s="200"/>
      <c r="O1180" s="200"/>
      <c r="P1180" s="200"/>
      <c r="Q1180" s="353"/>
      <c r="R1180" s="353"/>
      <c r="S1180" s="353"/>
      <c r="T1180" s="353"/>
      <c r="U1180" s="353"/>
      <c r="V1180" s="353"/>
      <c r="W1180" s="200"/>
      <c r="X1180" s="200"/>
      <c r="Y1180" s="200"/>
      <c r="Z1180" s="200"/>
      <c r="AA1180" s="200"/>
      <c r="AB1180" s="200"/>
      <c r="AC1180" s="200"/>
      <c r="AD1180" s="200"/>
      <c r="AE1180" s="200"/>
      <c r="AF1180" s="200"/>
      <c r="AG1180" s="200"/>
      <c r="AH1180" s="200"/>
      <c r="AI1180" s="200"/>
      <c r="AJ1180" s="200"/>
      <c r="AK1180" s="200"/>
      <c r="AL1180" s="200"/>
      <c r="AM1180" s="200"/>
      <c r="AN1180" s="200"/>
      <c r="AO1180" s="200"/>
      <c r="AP1180" s="200"/>
      <c r="AQ1180" s="200"/>
      <c r="AR1180" s="200"/>
      <c r="AS1180" s="200"/>
      <c r="AT1180" s="200"/>
    </row>
    <row r="1181" spans="1:46" ht="16.5" customHeight="1">
      <c r="A1181" s="432"/>
      <c r="B1181" s="307"/>
      <c r="C1181" s="200"/>
      <c r="D1181" s="200"/>
      <c r="E1181" s="200"/>
      <c r="F1181" s="200"/>
      <c r="G1181" s="200"/>
      <c r="H1181" s="200"/>
      <c r="I1181" s="200"/>
      <c r="J1181" s="200"/>
      <c r="K1181" s="200"/>
      <c r="L1181" s="200"/>
      <c r="M1181" s="200"/>
      <c r="N1181" s="200"/>
      <c r="O1181" s="200"/>
      <c r="P1181" s="200"/>
      <c r="Q1181" s="353"/>
      <c r="R1181" s="353"/>
      <c r="S1181" s="353"/>
      <c r="T1181" s="353"/>
      <c r="U1181" s="353"/>
      <c r="V1181" s="353"/>
      <c r="W1181" s="200"/>
      <c r="X1181" s="200"/>
      <c r="Y1181" s="200"/>
      <c r="Z1181" s="200"/>
      <c r="AA1181" s="200"/>
      <c r="AB1181" s="200"/>
      <c r="AC1181" s="200"/>
      <c r="AD1181" s="200"/>
      <c r="AE1181" s="200"/>
      <c r="AF1181" s="200"/>
      <c r="AG1181" s="200"/>
      <c r="AH1181" s="200"/>
      <c r="AI1181" s="200"/>
      <c r="AJ1181" s="200"/>
      <c r="AK1181" s="200"/>
      <c r="AL1181" s="200"/>
      <c r="AM1181" s="200"/>
      <c r="AN1181" s="200"/>
      <c r="AO1181" s="200"/>
      <c r="AP1181" s="200"/>
      <c r="AQ1181" s="200"/>
      <c r="AR1181" s="200"/>
      <c r="AS1181" s="200"/>
      <c r="AT1181" s="200"/>
    </row>
    <row r="1182" spans="1:46" ht="16.5" customHeight="1">
      <c r="A1182" s="432"/>
      <c r="B1182" s="307"/>
      <c r="C1182" s="200"/>
      <c r="D1182" s="200"/>
      <c r="E1182" s="200"/>
      <c r="F1182" s="200"/>
      <c r="G1182" s="200"/>
      <c r="H1182" s="200"/>
      <c r="I1182" s="200"/>
      <c r="J1182" s="200"/>
      <c r="K1182" s="200"/>
      <c r="L1182" s="200"/>
      <c r="M1182" s="200"/>
      <c r="N1182" s="200"/>
      <c r="O1182" s="200"/>
      <c r="P1182" s="200"/>
      <c r="Q1182" s="353"/>
      <c r="R1182" s="353"/>
      <c r="S1182" s="353"/>
      <c r="T1182" s="353"/>
      <c r="U1182" s="353"/>
      <c r="V1182" s="353"/>
      <c r="W1182" s="200"/>
      <c r="X1182" s="200"/>
      <c r="Y1182" s="200"/>
      <c r="Z1182" s="200"/>
      <c r="AA1182" s="200"/>
      <c r="AB1182" s="200"/>
      <c r="AC1182" s="200"/>
      <c r="AD1182" s="200"/>
      <c r="AE1182" s="200"/>
      <c r="AF1182" s="200"/>
      <c r="AG1182" s="200"/>
      <c r="AH1182" s="200"/>
      <c r="AI1182" s="200"/>
      <c r="AJ1182" s="200"/>
      <c r="AK1182" s="200"/>
      <c r="AL1182" s="200"/>
      <c r="AM1182" s="200"/>
      <c r="AN1182" s="200"/>
      <c r="AO1182" s="200"/>
      <c r="AP1182" s="200"/>
      <c r="AQ1182" s="200"/>
      <c r="AR1182" s="200"/>
      <c r="AS1182" s="200"/>
      <c r="AT1182" s="200"/>
    </row>
    <row r="1183" spans="1:46" ht="16.5" customHeight="1">
      <c r="A1183" s="432"/>
      <c r="B1183" s="307"/>
      <c r="C1183" s="200"/>
      <c r="D1183" s="200"/>
      <c r="E1183" s="200"/>
      <c r="F1183" s="200"/>
      <c r="G1183" s="200"/>
      <c r="H1183" s="200"/>
      <c r="I1183" s="200"/>
      <c r="J1183" s="200"/>
      <c r="K1183" s="200"/>
      <c r="L1183" s="200"/>
      <c r="M1183" s="200"/>
      <c r="N1183" s="200"/>
      <c r="O1183" s="200"/>
      <c r="P1183" s="200"/>
      <c r="Q1183" s="353"/>
      <c r="R1183" s="353"/>
      <c r="S1183" s="353"/>
      <c r="T1183" s="353"/>
      <c r="U1183" s="353"/>
      <c r="V1183" s="353"/>
      <c r="W1183" s="200"/>
      <c r="X1183" s="200"/>
      <c r="Y1183" s="200"/>
      <c r="Z1183" s="200"/>
      <c r="AA1183" s="200"/>
      <c r="AB1183" s="200"/>
      <c r="AC1183" s="200"/>
      <c r="AD1183" s="200"/>
      <c r="AE1183" s="200"/>
      <c r="AF1183" s="200"/>
      <c r="AG1183" s="200"/>
      <c r="AH1183" s="200"/>
      <c r="AI1183" s="200"/>
      <c r="AJ1183" s="200"/>
      <c r="AK1183" s="200"/>
      <c r="AL1183" s="200"/>
      <c r="AM1183" s="200"/>
      <c r="AN1183" s="200"/>
      <c r="AO1183" s="200"/>
      <c r="AP1183" s="200"/>
      <c r="AQ1183" s="200"/>
      <c r="AR1183" s="200"/>
      <c r="AS1183" s="200"/>
      <c r="AT1183" s="200"/>
    </row>
    <row r="1184" spans="1:46" ht="16.5" customHeight="1">
      <c r="A1184" s="432"/>
      <c r="B1184" s="307"/>
      <c r="C1184" s="200"/>
      <c r="D1184" s="200"/>
      <c r="E1184" s="200"/>
      <c r="F1184" s="200"/>
      <c r="G1184" s="200"/>
      <c r="H1184" s="200"/>
      <c r="I1184" s="200"/>
      <c r="J1184" s="200"/>
      <c r="K1184" s="200"/>
      <c r="L1184" s="200"/>
      <c r="M1184" s="200"/>
      <c r="N1184" s="200"/>
      <c r="O1184" s="200"/>
      <c r="P1184" s="200"/>
      <c r="Q1184" s="353"/>
      <c r="R1184" s="353"/>
      <c r="S1184" s="353"/>
      <c r="T1184" s="353"/>
      <c r="U1184" s="353"/>
      <c r="V1184" s="353"/>
      <c r="W1184" s="200"/>
      <c r="X1184" s="200"/>
      <c r="Y1184" s="200"/>
      <c r="Z1184" s="200"/>
      <c r="AA1184" s="200"/>
      <c r="AB1184" s="200"/>
      <c r="AC1184" s="200"/>
      <c r="AD1184" s="200"/>
      <c r="AE1184" s="200"/>
      <c r="AF1184" s="200"/>
      <c r="AG1184" s="200"/>
      <c r="AH1184" s="200"/>
      <c r="AI1184" s="200"/>
      <c r="AJ1184" s="200"/>
      <c r="AK1184" s="200"/>
      <c r="AL1184" s="200"/>
      <c r="AM1184" s="200"/>
      <c r="AN1184" s="200"/>
      <c r="AO1184" s="200"/>
      <c r="AP1184" s="200"/>
      <c r="AQ1184" s="200"/>
      <c r="AR1184" s="200"/>
      <c r="AS1184" s="200"/>
      <c r="AT1184" s="200"/>
    </row>
    <row r="1185" spans="1:46" ht="16.5" customHeight="1">
      <c r="A1185" s="432"/>
      <c r="B1185" s="307"/>
      <c r="C1185" s="200"/>
      <c r="D1185" s="200"/>
      <c r="E1185" s="200"/>
      <c r="F1185" s="200"/>
      <c r="G1185" s="200"/>
      <c r="H1185" s="200"/>
      <c r="I1185" s="200"/>
      <c r="J1185" s="200"/>
      <c r="K1185" s="200"/>
      <c r="L1185" s="200"/>
      <c r="M1185" s="200"/>
      <c r="N1185" s="200"/>
      <c r="O1185" s="200"/>
      <c r="P1185" s="200"/>
      <c r="Q1185" s="353"/>
      <c r="R1185" s="353"/>
      <c r="S1185" s="353"/>
      <c r="T1185" s="353"/>
      <c r="U1185" s="353"/>
      <c r="V1185" s="353"/>
      <c r="W1185" s="200"/>
      <c r="X1185" s="200"/>
      <c r="Y1185" s="200"/>
      <c r="Z1185" s="200"/>
      <c r="AA1185" s="200"/>
      <c r="AB1185" s="200"/>
      <c r="AC1185" s="200"/>
      <c r="AD1185" s="200"/>
      <c r="AE1185" s="200"/>
      <c r="AF1185" s="200"/>
      <c r="AG1185" s="200"/>
      <c r="AH1185" s="200"/>
      <c r="AI1185" s="200"/>
      <c r="AJ1185" s="200"/>
      <c r="AK1185" s="200"/>
      <c r="AL1185" s="200"/>
      <c r="AM1185" s="200"/>
      <c r="AN1185" s="200"/>
      <c r="AO1185" s="200"/>
      <c r="AP1185" s="200"/>
      <c r="AQ1185" s="200"/>
      <c r="AR1185" s="200"/>
      <c r="AS1185" s="200"/>
      <c r="AT1185" s="200"/>
    </row>
    <row r="1186" spans="1:46" ht="16.5" customHeight="1">
      <c r="A1186" s="432"/>
      <c r="B1186" s="307"/>
      <c r="C1186" s="200"/>
      <c r="D1186" s="200"/>
      <c r="E1186" s="200"/>
      <c r="F1186" s="200"/>
      <c r="G1186" s="200"/>
      <c r="H1186" s="200"/>
      <c r="I1186" s="200"/>
      <c r="J1186" s="200"/>
      <c r="K1186" s="200"/>
      <c r="L1186" s="200"/>
      <c r="M1186" s="200"/>
      <c r="N1186" s="200"/>
      <c r="O1186" s="200"/>
      <c r="P1186" s="200"/>
      <c r="Q1186" s="353"/>
      <c r="R1186" s="353"/>
      <c r="S1186" s="353"/>
      <c r="T1186" s="353"/>
      <c r="U1186" s="353"/>
      <c r="V1186" s="353"/>
      <c r="W1186" s="200"/>
      <c r="X1186" s="200"/>
      <c r="Y1186" s="200"/>
      <c r="Z1186" s="200"/>
      <c r="AA1186" s="200"/>
      <c r="AB1186" s="200"/>
      <c r="AC1186" s="200"/>
      <c r="AD1186" s="200"/>
      <c r="AE1186" s="200"/>
      <c r="AF1186" s="200"/>
      <c r="AG1186" s="200"/>
      <c r="AH1186" s="200"/>
      <c r="AI1186" s="200"/>
      <c r="AJ1186" s="200"/>
      <c r="AK1186" s="200"/>
      <c r="AL1186" s="200"/>
      <c r="AM1186" s="200"/>
      <c r="AN1186" s="200"/>
      <c r="AO1186" s="200"/>
      <c r="AP1186" s="200"/>
      <c r="AQ1186" s="200"/>
      <c r="AR1186" s="200"/>
      <c r="AS1186" s="200"/>
      <c r="AT1186" s="200"/>
    </row>
    <row r="1187" spans="1:46" ht="16.5" customHeight="1">
      <c r="A1187" s="432"/>
      <c r="B1187" s="307"/>
      <c r="C1187" s="200"/>
      <c r="D1187" s="200"/>
      <c r="E1187" s="200"/>
      <c r="F1187" s="200"/>
      <c r="G1187" s="200"/>
      <c r="H1187" s="200"/>
      <c r="I1187" s="200"/>
      <c r="J1187" s="200"/>
      <c r="K1187" s="200"/>
      <c r="L1187" s="200"/>
      <c r="M1187" s="200"/>
      <c r="N1187" s="200"/>
      <c r="O1187" s="200"/>
      <c r="P1187" s="200"/>
      <c r="Q1187" s="353"/>
      <c r="R1187" s="353"/>
      <c r="S1187" s="353"/>
      <c r="T1187" s="353"/>
      <c r="U1187" s="353"/>
      <c r="V1187" s="353"/>
      <c r="W1187" s="200"/>
      <c r="X1187" s="200"/>
      <c r="Y1187" s="200"/>
      <c r="Z1187" s="200"/>
      <c r="AA1187" s="200"/>
      <c r="AB1187" s="200"/>
      <c r="AC1187" s="200"/>
      <c r="AD1187" s="200"/>
      <c r="AE1187" s="200"/>
      <c r="AF1187" s="200"/>
      <c r="AG1187" s="200"/>
      <c r="AH1187" s="200"/>
      <c r="AI1187" s="200"/>
      <c r="AJ1187" s="200"/>
      <c r="AK1187" s="200"/>
      <c r="AL1187" s="200"/>
      <c r="AM1187" s="200"/>
      <c r="AN1187" s="200"/>
      <c r="AO1187" s="200"/>
      <c r="AP1187" s="200"/>
      <c r="AQ1187" s="200"/>
      <c r="AR1187" s="200"/>
      <c r="AS1187" s="200"/>
      <c r="AT1187" s="200"/>
    </row>
    <row r="1188" spans="1:46" ht="16.5" customHeight="1">
      <c r="A1188" s="432"/>
      <c r="B1188" s="307"/>
      <c r="C1188" s="200"/>
      <c r="D1188" s="200"/>
      <c r="E1188" s="200"/>
      <c r="F1188" s="200"/>
      <c r="G1188" s="200"/>
      <c r="H1188" s="200"/>
      <c r="I1188" s="200"/>
      <c r="J1188" s="200"/>
      <c r="K1188" s="200"/>
      <c r="L1188" s="200"/>
      <c r="M1188" s="200"/>
      <c r="N1188" s="200"/>
      <c r="O1188" s="200"/>
      <c r="P1188" s="200"/>
      <c r="Q1188" s="353"/>
      <c r="R1188" s="353"/>
      <c r="S1188" s="353"/>
      <c r="T1188" s="353"/>
      <c r="U1188" s="353"/>
      <c r="V1188" s="353"/>
      <c r="W1188" s="200"/>
      <c r="X1188" s="200"/>
      <c r="Y1188" s="200"/>
      <c r="Z1188" s="200"/>
      <c r="AA1188" s="200"/>
      <c r="AB1188" s="200"/>
      <c r="AC1188" s="200"/>
      <c r="AD1188" s="200"/>
      <c r="AE1188" s="200"/>
      <c r="AF1188" s="200"/>
      <c r="AG1188" s="200"/>
      <c r="AH1188" s="200"/>
      <c r="AI1188" s="200"/>
      <c r="AJ1188" s="200"/>
      <c r="AK1188" s="200"/>
      <c r="AL1188" s="200"/>
      <c r="AM1188" s="200"/>
      <c r="AN1188" s="200"/>
      <c r="AO1188" s="200"/>
      <c r="AP1188" s="200"/>
      <c r="AQ1188" s="200"/>
      <c r="AR1188" s="200"/>
      <c r="AS1188" s="200"/>
      <c r="AT1188" s="200"/>
    </row>
    <row r="1189" spans="1:46" ht="16.5" customHeight="1">
      <c r="A1189" s="432"/>
      <c r="B1189" s="307"/>
      <c r="C1189" s="200"/>
      <c r="D1189" s="200"/>
      <c r="E1189" s="200"/>
      <c r="F1189" s="200"/>
      <c r="G1189" s="200"/>
      <c r="H1189" s="200"/>
      <c r="I1189" s="200"/>
      <c r="J1189" s="200"/>
      <c r="K1189" s="200"/>
      <c r="L1189" s="200"/>
      <c r="M1189" s="200"/>
      <c r="N1189" s="200"/>
      <c r="O1189" s="200"/>
      <c r="P1189" s="200"/>
      <c r="Q1189" s="353"/>
      <c r="R1189" s="353"/>
      <c r="S1189" s="353"/>
      <c r="T1189" s="353"/>
      <c r="U1189" s="353"/>
      <c r="V1189" s="353"/>
      <c r="W1189" s="200"/>
      <c r="X1189" s="200"/>
      <c r="Y1189" s="200"/>
      <c r="Z1189" s="200"/>
      <c r="AA1189" s="200"/>
      <c r="AB1189" s="200"/>
      <c r="AC1189" s="200"/>
      <c r="AD1189" s="200"/>
      <c r="AE1189" s="200"/>
      <c r="AF1189" s="200"/>
      <c r="AG1189" s="200"/>
      <c r="AH1189" s="200"/>
      <c r="AI1189" s="200"/>
      <c r="AJ1189" s="200"/>
      <c r="AK1189" s="200"/>
      <c r="AL1189" s="200"/>
      <c r="AM1189" s="200"/>
      <c r="AN1189" s="200"/>
      <c r="AO1189" s="200"/>
      <c r="AP1189" s="200"/>
      <c r="AQ1189" s="200"/>
      <c r="AR1189" s="200"/>
      <c r="AS1189" s="200"/>
      <c r="AT1189" s="200"/>
    </row>
    <row r="1190" spans="1:46" ht="16.5" customHeight="1">
      <c r="A1190" s="432"/>
      <c r="B1190" s="307"/>
      <c r="C1190" s="200"/>
      <c r="D1190" s="200"/>
      <c r="E1190" s="200"/>
      <c r="F1190" s="200"/>
      <c r="G1190" s="200"/>
      <c r="H1190" s="200"/>
      <c r="I1190" s="200"/>
      <c r="J1190" s="200"/>
      <c r="K1190" s="200"/>
      <c r="L1190" s="200"/>
      <c r="M1190" s="200"/>
      <c r="N1190" s="200"/>
      <c r="O1190" s="200"/>
      <c r="P1190" s="200"/>
      <c r="Q1190" s="353"/>
      <c r="R1190" s="353"/>
      <c r="S1190" s="353"/>
      <c r="T1190" s="353"/>
      <c r="U1190" s="353"/>
      <c r="V1190" s="353"/>
      <c r="W1190" s="200"/>
      <c r="X1190" s="200"/>
      <c r="Y1190" s="200"/>
      <c r="Z1190" s="200"/>
      <c r="AA1190" s="200"/>
      <c r="AB1190" s="200"/>
      <c r="AC1190" s="200"/>
      <c r="AD1190" s="200"/>
      <c r="AE1190" s="200"/>
      <c r="AF1190" s="200"/>
      <c r="AG1190" s="200"/>
      <c r="AH1190" s="200"/>
      <c r="AI1190" s="200"/>
      <c r="AJ1190" s="200"/>
      <c r="AK1190" s="200"/>
      <c r="AL1190" s="200"/>
      <c r="AM1190" s="200"/>
      <c r="AN1190" s="200"/>
      <c r="AO1190" s="200"/>
      <c r="AP1190" s="200"/>
      <c r="AQ1190" s="200"/>
      <c r="AR1190" s="200"/>
      <c r="AS1190" s="200"/>
      <c r="AT1190" s="200"/>
    </row>
    <row r="1191" spans="1:46" ht="16.5" customHeight="1">
      <c r="A1191" s="432"/>
      <c r="B1191" s="307"/>
      <c r="C1191" s="200"/>
      <c r="D1191" s="200"/>
      <c r="E1191" s="200"/>
      <c r="F1191" s="200"/>
      <c r="G1191" s="200"/>
      <c r="H1191" s="200"/>
      <c r="I1191" s="200"/>
      <c r="J1191" s="200"/>
      <c r="K1191" s="200"/>
      <c r="L1191" s="200"/>
      <c r="M1191" s="200"/>
      <c r="N1191" s="200"/>
      <c r="O1191" s="200"/>
      <c r="P1191" s="200"/>
      <c r="Q1191" s="353"/>
      <c r="R1191" s="353"/>
      <c r="S1191" s="353"/>
      <c r="T1191" s="353"/>
      <c r="U1191" s="353"/>
      <c r="V1191" s="353"/>
      <c r="W1191" s="200"/>
      <c r="X1191" s="200"/>
      <c r="Y1191" s="200"/>
      <c r="Z1191" s="200"/>
      <c r="AA1191" s="200"/>
      <c r="AB1191" s="200"/>
      <c r="AC1191" s="200"/>
      <c r="AD1191" s="200"/>
      <c r="AE1191" s="200"/>
      <c r="AF1191" s="200"/>
      <c r="AG1191" s="200"/>
      <c r="AH1191" s="200"/>
      <c r="AI1191" s="200"/>
      <c r="AJ1191" s="200"/>
      <c r="AK1191" s="200"/>
      <c r="AL1191" s="200"/>
      <c r="AM1191" s="200"/>
      <c r="AN1191" s="200"/>
      <c r="AO1191" s="200"/>
      <c r="AP1191" s="200"/>
      <c r="AQ1191" s="200"/>
      <c r="AR1191" s="200"/>
      <c r="AS1191" s="200"/>
      <c r="AT1191" s="200"/>
    </row>
    <row r="1192" spans="1:46" ht="16.5" customHeight="1">
      <c r="A1192" s="432"/>
      <c r="B1192" s="307"/>
      <c r="C1192" s="200"/>
      <c r="D1192" s="200"/>
      <c r="E1192" s="200"/>
      <c r="F1192" s="200"/>
      <c r="G1192" s="200"/>
      <c r="H1192" s="200"/>
      <c r="I1192" s="200"/>
      <c r="J1192" s="200"/>
      <c r="K1192" s="200"/>
      <c r="L1192" s="200"/>
      <c r="M1192" s="200"/>
      <c r="N1192" s="200"/>
      <c r="O1192" s="200"/>
      <c r="P1192" s="200"/>
      <c r="Q1192" s="353"/>
      <c r="R1192" s="353"/>
      <c r="S1192" s="353"/>
      <c r="T1192" s="353"/>
      <c r="U1192" s="353"/>
      <c r="V1192" s="353"/>
      <c r="W1192" s="200"/>
      <c r="X1192" s="200"/>
      <c r="Y1192" s="200"/>
      <c r="Z1192" s="200"/>
      <c r="AA1192" s="200"/>
      <c r="AB1192" s="200"/>
      <c r="AC1192" s="200"/>
      <c r="AD1192" s="200"/>
      <c r="AE1192" s="200"/>
      <c r="AF1192" s="200"/>
      <c r="AG1192" s="200"/>
      <c r="AH1192" s="200"/>
      <c r="AI1192" s="200"/>
      <c r="AJ1192" s="200"/>
      <c r="AK1192" s="200"/>
      <c r="AL1192" s="200"/>
      <c r="AM1192" s="200"/>
      <c r="AN1192" s="200"/>
      <c r="AO1192" s="200"/>
      <c r="AP1192" s="200"/>
      <c r="AQ1192" s="200"/>
      <c r="AR1192" s="200"/>
      <c r="AS1192" s="200"/>
      <c r="AT1192" s="200"/>
    </row>
    <row r="1193" spans="1:46" ht="16.5" customHeight="1">
      <c r="A1193" s="432"/>
      <c r="B1193" s="307"/>
      <c r="C1193" s="200"/>
      <c r="D1193" s="200"/>
      <c r="E1193" s="200"/>
      <c r="F1193" s="200"/>
      <c r="G1193" s="200"/>
      <c r="H1193" s="200"/>
      <c r="I1193" s="200"/>
      <c r="J1193" s="200"/>
      <c r="K1193" s="200"/>
      <c r="L1193" s="200"/>
      <c r="M1193" s="200"/>
      <c r="N1193" s="200"/>
      <c r="O1193" s="200"/>
      <c r="P1193" s="200"/>
      <c r="Q1193" s="353"/>
      <c r="R1193" s="353"/>
      <c r="S1193" s="353"/>
      <c r="T1193" s="353"/>
      <c r="U1193" s="353"/>
      <c r="V1193" s="353"/>
      <c r="W1193" s="200"/>
      <c r="X1193" s="200"/>
      <c r="Y1193" s="200"/>
      <c r="Z1193" s="200"/>
      <c r="AA1193" s="200"/>
      <c r="AB1193" s="200"/>
      <c r="AC1193" s="200"/>
      <c r="AD1193" s="200"/>
      <c r="AE1193" s="200"/>
      <c r="AF1193" s="200"/>
      <c r="AG1193" s="200"/>
      <c r="AH1193" s="200"/>
      <c r="AI1193" s="200"/>
      <c r="AJ1193" s="200"/>
      <c r="AK1193" s="200"/>
      <c r="AL1193" s="200"/>
      <c r="AM1193" s="200"/>
      <c r="AN1193" s="200"/>
      <c r="AO1193" s="200"/>
      <c r="AP1193" s="200"/>
      <c r="AQ1193" s="200"/>
      <c r="AR1193" s="200"/>
      <c r="AS1193" s="200"/>
      <c r="AT1193" s="200"/>
    </row>
    <row r="1194" spans="1:46" ht="16.5" customHeight="1">
      <c r="A1194" s="432"/>
      <c r="B1194" s="307"/>
      <c r="C1194" s="200"/>
      <c r="D1194" s="200"/>
      <c r="E1194" s="200"/>
      <c r="F1194" s="200"/>
      <c r="G1194" s="200"/>
      <c r="H1194" s="200"/>
      <c r="I1194" s="200"/>
      <c r="J1194" s="200"/>
      <c r="K1194" s="200"/>
      <c r="L1194" s="200"/>
      <c r="M1194" s="200"/>
      <c r="N1194" s="200"/>
      <c r="O1194" s="200"/>
      <c r="P1194" s="200"/>
      <c r="Q1194" s="353"/>
      <c r="R1194" s="353"/>
      <c r="S1194" s="353"/>
      <c r="T1194" s="353"/>
      <c r="U1194" s="353"/>
      <c r="V1194" s="353"/>
      <c r="W1194" s="200"/>
      <c r="X1194" s="200"/>
      <c r="Y1194" s="200"/>
      <c r="Z1194" s="200"/>
      <c r="AA1194" s="200"/>
      <c r="AB1194" s="200"/>
      <c r="AC1194" s="200"/>
      <c r="AD1194" s="200"/>
      <c r="AE1194" s="200"/>
      <c r="AF1194" s="200"/>
      <c r="AG1194" s="200"/>
      <c r="AH1194" s="200"/>
      <c r="AI1194" s="200"/>
      <c r="AJ1194" s="200"/>
      <c r="AK1194" s="200"/>
      <c r="AL1194" s="200"/>
      <c r="AM1194" s="200"/>
      <c r="AN1194" s="200"/>
      <c r="AO1194" s="200"/>
      <c r="AP1194" s="200"/>
      <c r="AQ1194" s="200"/>
      <c r="AR1194" s="200"/>
      <c r="AS1194" s="200"/>
      <c r="AT1194" s="200"/>
    </row>
    <row r="1195" spans="1:46" ht="16.5" customHeight="1">
      <c r="A1195" s="432"/>
      <c r="B1195" s="307"/>
      <c r="C1195" s="200"/>
      <c r="D1195" s="200"/>
      <c r="E1195" s="200"/>
      <c r="F1195" s="200"/>
      <c r="G1195" s="200"/>
      <c r="H1195" s="200"/>
      <c r="I1195" s="200"/>
      <c r="J1195" s="200"/>
      <c r="K1195" s="200"/>
      <c r="L1195" s="200"/>
      <c r="M1195" s="200"/>
      <c r="N1195" s="200"/>
      <c r="O1195" s="200"/>
      <c r="P1195" s="200"/>
      <c r="Q1195" s="353"/>
      <c r="R1195" s="353"/>
      <c r="S1195" s="353"/>
      <c r="T1195" s="353"/>
      <c r="U1195" s="353"/>
      <c r="V1195" s="353"/>
      <c r="W1195" s="200"/>
      <c r="X1195" s="200"/>
      <c r="Y1195" s="200"/>
      <c r="Z1195" s="200"/>
      <c r="AA1195" s="200"/>
      <c r="AB1195" s="200"/>
      <c r="AC1195" s="200"/>
      <c r="AD1195" s="200"/>
      <c r="AE1195" s="200"/>
      <c r="AF1195" s="200"/>
      <c r="AG1195" s="200"/>
      <c r="AH1195" s="200"/>
      <c r="AI1195" s="200"/>
      <c r="AJ1195" s="200"/>
      <c r="AK1195" s="200"/>
      <c r="AL1195" s="200"/>
      <c r="AM1195" s="200"/>
      <c r="AN1195" s="200"/>
      <c r="AO1195" s="200"/>
      <c r="AP1195" s="200"/>
      <c r="AQ1195" s="200"/>
      <c r="AR1195" s="200"/>
      <c r="AS1195" s="200"/>
      <c r="AT1195" s="200"/>
    </row>
    <row r="1196" spans="1:46" ht="16.5" customHeight="1">
      <c r="A1196" s="432"/>
      <c r="B1196" s="307"/>
      <c r="C1196" s="200"/>
      <c r="D1196" s="200"/>
      <c r="E1196" s="200"/>
      <c r="F1196" s="200"/>
      <c r="G1196" s="200"/>
      <c r="H1196" s="200"/>
      <c r="I1196" s="200"/>
      <c r="J1196" s="200"/>
      <c r="K1196" s="200"/>
      <c r="L1196" s="200"/>
      <c r="M1196" s="200"/>
      <c r="N1196" s="200"/>
      <c r="O1196" s="200"/>
      <c r="P1196" s="200"/>
      <c r="Q1196" s="353"/>
      <c r="R1196" s="353"/>
      <c r="S1196" s="353"/>
      <c r="T1196" s="353"/>
      <c r="U1196" s="353"/>
      <c r="V1196" s="353"/>
      <c r="W1196" s="200"/>
      <c r="X1196" s="200"/>
      <c r="Y1196" s="200"/>
      <c r="Z1196" s="200"/>
      <c r="AA1196" s="200"/>
      <c r="AB1196" s="200"/>
      <c r="AC1196" s="200"/>
      <c r="AD1196" s="200"/>
      <c r="AE1196" s="200"/>
      <c r="AF1196" s="200"/>
      <c r="AG1196" s="200"/>
      <c r="AH1196" s="200"/>
      <c r="AI1196" s="200"/>
      <c r="AJ1196" s="200"/>
      <c r="AK1196" s="200"/>
      <c r="AL1196" s="200"/>
      <c r="AM1196" s="200"/>
      <c r="AN1196" s="200"/>
      <c r="AO1196" s="200"/>
      <c r="AP1196" s="200"/>
      <c r="AQ1196" s="200"/>
      <c r="AR1196" s="200"/>
      <c r="AS1196" s="200"/>
      <c r="AT1196" s="200"/>
    </row>
    <row r="1197" spans="1:46" ht="16.5" customHeight="1">
      <c r="A1197" s="432"/>
      <c r="B1197" s="307"/>
      <c r="C1197" s="200"/>
      <c r="D1197" s="200"/>
      <c r="E1197" s="200"/>
      <c r="F1197" s="200"/>
      <c r="G1197" s="200"/>
      <c r="H1197" s="200"/>
      <c r="I1197" s="200"/>
      <c r="J1197" s="200"/>
      <c r="K1197" s="200"/>
      <c r="L1197" s="200"/>
      <c r="M1197" s="200"/>
      <c r="N1197" s="200"/>
      <c r="O1197" s="200"/>
      <c r="P1197" s="200"/>
      <c r="Q1197" s="353"/>
      <c r="R1197" s="353"/>
      <c r="S1197" s="353"/>
      <c r="T1197" s="353"/>
      <c r="U1197" s="353"/>
      <c r="V1197" s="353"/>
      <c r="W1197" s="200"/>
      <c r="X1197" s="200"/>
      <c r="Y1197" s="200"/>
      <c r="Z1197" s="200"/>
      <c r="AA1197" s="200"/>
      <c r="AB1197" s="200"/>
      <c r="AC1197" s="200"/>
      <c r="AD1197" s="200"/>
      <c r="AE1197" s="200"/>
      <c r="AF1197" s="200"/>
      <c r="AG1197" s="200"/>
      <c r="AH1197" s="200"/>
      <c r="AI1197" s="200"/>
      <c r="AJ1197" s="200"/>
      <c r="AK1197" s="200"/>
      <c r="AL1197" s="200"/>
      <c r="AM1197" s="200"/>
      <c r="AN1197" s="200"/>
      <c r="AO1197" s="200"/>
      <c r="AP1197" s="200"/>
      <c r="AQ1197" s="200"/>
      <c r="AR1197" s="200"/>
      <c r="AS1197" s="200"/>
      <c r="AT1197" s="200"/>
    </row>
    <row r="1198" spans="1:46" ht="16.5" customHeight="1">
      <c r="A1198" s="432"/>
      <c r="B1198" s="307"/>
      <c r="C1198" s="200"/>
      <c r="D1198" s="200"/>
      <c r="E1198" s="200"/>
      <c r="F1198" s="200"/>
      <c r="G1198" s="200"/>
      <c r="H1198" s="200"/>
      <c r="I1198" s="200"/>
      <c r="J1198" s="200"/>
      <c r="K1198" s="200"/>
      <c r="L1198" s="200"/>
      <c r="M1198" s="200"/>
      <c r="N1198" s="200"/>
      <c r="O1198" s="200"/>
      <c r="P1198" s="200"/>
      <c r="Q1198" s="353"/>
      <c r="R1198" s="353"/>
      <c r="S1198" s="353"/>
      <c r="T1198" s="353"/>
      <c r="U1198" s="353"/>
      <c r="V1198" s="353"/>
      <c r="W1198" s="200"/>
      <c r="X1198" s="200"/>
      <c r="Y1198" s="200"/>
      <c r="Z1198" s="200"/>
      <c r="AA1198" s="200"/>
      <c r="AB1198" s="200"/>
      <c r="AC1198" s="200"/>
      <c r="AD1198" s="200"/>
      <c r="AE1198" s="200"/>
      <c r="AF1198" s="200"/>
      <c r="AG1198" s="200"/>
      <c r="AH1198" s="200"/>
      <c r="AI1198" s="200"/>
      <c r="AJ1198" s="200"/>
      <c r="AK1198" s="200"/>
      <c r="AL1198" s="200"/>
      <c r="AM1198" s="200"/>
      <c r="AN1198" s="200"/>
      <c r="AO1198" s="200"/>
      <c r="AP1198" s="200"/>
      <c r="AQ1198" s="200"/>
      <c r="AR1198" s="200"/>
      <c r="AS1198" s="200"/>
      <c r="AT1198" s="200"/>
    </row>
    <row r="1199" spans="1:46" ht="16.5" customHeight="1">
      <c r="A1199" s="432"/>
      <c r="B1199" s="307"/>
      <c r="C1199" s="200"/>
      <c r="D1199" s="200"/>
      <c r="E1199" s="200"/>
      <c r="F1199" s="200"/>
      <c r="G1199" s="200"/>
      <c r="H1199" s="200"/>
      <c r="I1199" s="200"/>
      <c r="J1199" s="200"/>
      <c r="K1199" s="200"/>
      <c r="L1199" s="200"/>
      <c r="M1199" s="200"/>
      <c r="N1199" s="200"/>
      <c r="O1199" s="200"/>
      <c r="P1199" s="200"/>
      <c r="Q1199" s="353"/>
      <c r="R1199" s="353"/>
      <c r="S1199" s="353"/>
      <c r="T1199" s="353"/>
      <c r="U1199" s="353"/>
      <c r="V1199" s="353"/>
      <c r="W1199" s="200"/>
      <c r="X1199" s="200"/>
      <c r="Y1199" s="200"/>
      <c r="Z1199" s="200"/>
      <c r="AA1199" s="200"/>
      <c r="AB1199" s="200"/>
      <c r="AC1199" s="200"/>
      <c r="AD1199" s="200"/>
      <c r="AE1199" s="200"/>
      <c r="AF1199" s="200"/>
      <c r="AG1199" s="200"/>
      <c r="AH1199" s="200"/>
      <c r="AI1199" s="200"/>
      <c r="AJ1199" s="200"/>
      <c r="AK1199" s="200"/>
      <c r="AL1199" s="200"/>
      <c r="AM1199" s="200"/>
      <c r="AN1199" s="200"/>
      <c r="AO1199" s="200"/>
      <c r="AP1199" s="200"/>
      <c r="AQ1199" s="200"/>
      <c r="AR1199" s="200"/>
      <c r="AS1199" s="200"/>
      <c r="AT1199" s="200"/>
    </row>
    <row r="1200" spans="1:46" ht="16.5" customHeight="1">
      <c r="A1200" s="432"/>
      <c r="B1200" s="307"/>
      <c r="C1200" s="200"/>
      <c r="D1200" s="200"/>
      <c r="E1200" s="200"/>
      <c r="F1200" s="200"/>
      <c r="G1200" s="200"/>
      <c r="H1200" s="200"/>
      <c r="I1200" s="200"/>
      <c r="J1200" s="200"/>
      <c r="K1200" s="200"/>
      <c r="L1200" s="200"/>
      <c r="M1200" s="200"/>
      <c r="N1200" s="200"/>
      <c r="O1200" s="200"/>
      <c r="P1200" s="200"/>
      <c r="Q1200" s="353"/>
      <c r="R1200" s="353"/>
      <c r="S1200" s="353"/>
      <c r="T1200" s="353"/>
      <c r="U1200" s="353"/>
      <c r="V1200" s="353"/>
      <c r="W1200" s="200"/>
      <c r="X1200" s="200"/>
      <c r="Y1200" s="200"/>
      <c r="Z1200" s="200"/>
      <c r="AA1200" s="200"/>
      <c r="AB1200" s="200"/>
      <c r="AC1200" s="200"/>
      <c r="AD1200" s="200"/>
      <c r="AE1200" s="200"/>
      <c r="AF1200" s="200"/>
      <c r="AG1200" s="200"/>
      <c r="AH1200" s="200"/>
      <c r="AI1200" s="200"/>
      <c r="AJ1200" s="200"/>
      <c r="AK1200" s="200"/>
      <c r="AL1200" s="200"/>
      <c r="AM1200" s="200"/>
      <c r="AN1200" s="200"/>
      <c r="AO1200" s="200"/>
      <c r="AP1200" s="200"/>
      <c r="AQ1200" s="200"/>
      <c r="AR1200" s="200"/>
      <c r="AS1200" s="200"/>
      <c r="AT1200" s="200"/>
    </row>
    <row r="1201" spans="1:46" ht="16.5" customHeight="1">
      <c r="A1201" s="432"/>
      <c r="B1201" s="307"/>
      <c r="C1201" s="200"/>
      <c r="D1201" s="200"/>
      <c r="E1201" s="200"/>
      <c r="F1201" s="200"/>
      <c r="G1201" s="200"/>
      <c r="H1201" s="200"/>
      <c r="I1201" s="200"/>
      <c r="J1201" s="200"/>
      <c r="K1201" s="200"/>
      <c r="L1201" s="200"/>
      <c r="M1201" s="200"/>
      <c r="N1201" s="200"/>
      <c r="O1201" s="200"/>
      <c r="P1201" s="200"/>
      <c r="Q1201" s="353"/>
      <c r="R1201" s="353"/>
      <c r="S1201" s="353"/>
      <c r="T1201" s="353"/>
      <c r="U1201" s="353"/>
      <c r="V1201" s="353"/>
      <c r="W1201" s="200"/>
      <c r="X1201" s="200"/>
      <c r="Y1201" s="200"/>
      <c r="Z1201" s="200"/>
      <c r="AA1201" s="200"/>
      <c r="AB1201" s="200"/>
      <c r="AC1201" s="200"/>
      <c r="AD1201" s="200"/>
      <c r="AE1201" s="200"/>
      <c r="AF1201" s="200"/>
      <c r="AG1201" s="200"/>
      <c r="AH1201" s="200"/>
      <c r="AI1201" s="200"/>
      <c r="AJ1201" s="200"/>
      <c r="AK1201" s="200"/>
      <c r="AL1201" s="200"/>
      <c r="AM1201" s="200"/>
      <c r="AN1201" s="200"/>
      <c r="AO1201" s="200"/>
      <c r="AP1201" s="200"/>
      <c r="AQ1201" s="200"/>
      <c r="AR1201" s="200"/>
      <c r="AS1201" s="200"/>
      <c r="AT1201" s="200"/>
    </row>
    <row r="1202" spans="1:46" ht="16.5" customHeight="1">
      <c r="A1202" s="432"/>
      <c r="B1202" s="307"/>
      <c r="C1202" s="200"/>
      <c r="D1202" s="200"/>
      <c r="E1202" s="200"/>
      <c r="F1202" s="200"/>
      <c r="G1202" s="200"/>
      <c r="H1202" s="200"/>
      <c r="I1202" s="200"/>
      <c r="J1202" s="200"/>
      <c r="K1202" s="200"/>
      <c r="L1202" s="200"/>
      <c r="M1202" s="200"/>
      <c r="N1202" s="200"/>
      <c r="O1202" s="200"/>
      <c r="P1202" s="200"/>
      <c r="Q1202" s="353"/>
      <c r="R1202" s="353"/>
      <c r="S1202" s="353"/>
      <c r="T1202" s="353"/>
      <c r="U1202" s="353"/>
      <c r="V1202" s="353"/>
      <c r="W1202" s="200"/>
      <c r="X1202" s="200"/>
      <c r="Y1202" s="200"/>
      <c r="Z1202" s="200"/>
      <c r="AA1202" s="200"/>
      <c r="AB1202" s="200"/>
      <c r="AC1202" s="200"/>
      <c r="AD1202" s="200"/>
      <c r="AE1202" s="200"/>
      <c r="AF1202" s="200"/>
      <c r="AG1202" s="200"/>
      <c r="AH1202" s="200"/>
      <c r="AI1202" s="200"/>
      <c r="AJ1202" s="200"/>
      <c r="AK1202" s="200"/>
      <c r="AL1202" s="200"/>
      <c r="AM1202" s="200"/>
      <c r="AN1202" s="200"/>
      <c r="AO1202" s="200"/>
      <c r="AP1202" s="200"/>
      <c r="AQ1202" s="200"/>
      <c r="AR1202" s="200"/>
      <c r="AS1202" s="200"/>
      <c r="AT1202" s="200"/>
    </row>
    <row r="1203" spans="1:46" ht="16.5" customHeight="1">
      <c r="A1203" s="432"/>
      <c r="B1203" s="307"/>
      <c r="C1203" s="200"/>
      <c r="D1203" s="200"/>
      <c r="E1203" s="200"/>
      <c r="F1203" s="200"/>
      <c r="G1203" s="200"/>
      <c r="H1203" s="200"/>
      <c r="I1203" s="200"/>
      <c r="J1203" s="200"/>
      <c r="K1203" s="200"/>
      <c r="L1203" s="200"/>
      <c r="M1203" s="200"/>
      <c r="N1203" s="200"/>
      <c r="O1203" s="200"/>
      <c r="P1203" s="200"/>
      <c r="Q1203" s="353"/>
      <c r="R1203" s="353"/>
      <c r="S1203" s="353"/>
      <c r="T1203" s="353"/>
      <c r="U1203" s="353"/>
      <c r="V1203" s="353"/>
      <c r="W1203" s="200"/>
      <c r="X1203" s="200"/>
      <c r="Y1203" s="200"/>
      <c r="Z1203" s="200"/>
      <c r="AA1203" s="200"/>
      <c r="AB1203" s="200"/>
      <c r="AC1203" s="200"/>
      <c r="AD1203" s="200"/>
      <c r="AE1203" s="200"/>
      <c r="AF1203" s="200"/>
      <c r="AG1203" s="200"/>
      <c r="AH1203" s="200"/>
      <c r="AI1203" s="200"/>
      <c r="AJ1203" s="200"/>
      <c r="AK1203" s="200"/>
      <c r="AL1203" s="200"/>
      <c r="AM1203" s="200"/>
      <c r="AN1203" s="200"/>
      <c r="AO1203" s="200"/>
      <c r="AP1203" s="200"/>
      <c r="AQ1203" s="200"/>
      <c r="AR1203" s="200"/>
      <c r="AS1203" s="200"/>
      <c r="AT1203" s="200"/>
    </row>
    <row r="1204" spans="1:46" ht="16.5" customHeight="1">
      <c r="A1204" s="432"/>
      <c r="B1204" s="307"/>
      <c r="C1204" s="200"/>
      <c r="D1204" s="200"/>
      <c r="E1204" s="200"/>
      <c r="F1204" s="200"/>
      <c r="G1204" s="200"/>
      <c r="H1204" s="200"/>
      <c r="I1204" s="200"/>
      <c r="J1204" s="200"/>
      <c r="K1204" s="200"/>
      <c r="L1204" s="200"/>
      <c r="M1204" s="200"/>
      <c r="N1204" s="200"/>
      <c r="O1204" s="200"/>
      <c r="P1204" s="200"/>
      <c r="Q1204" s="353"/>
      <c r="R1204" s="353"/>
      <c r="S1204" s="353"/>
      <c r="T1204" s="353"/>
      <c r="U1204" s="353"/>
      <c r="V1204" s="353"/>
      <c r="W1204" s="200"/>
      <c r="X1204" s="200"/>
      <c r="Y1204" s="200"/>
      <c r="Z1204" s="200"/>
      <c r="AA1204" s="200"/>
      <c r="AB1204" s="200"/>
      <c r="AC1204" s="200"/>
      <c r="AD1204" s="200"/>
      <c r="AE1204" s="200"/>
      <c r="AF1204" s="200"/>
      <c r="AG1204" s="200"/>
      <c r="AH1204" s="200"/>
      <c r="AI1204" s="200"/>
      <c r="AJ1204" s="200"/>
      <c r="AK1204" s="200"/>
      <c r="AL1204" s="200"/>
      <c r="AM1204" s="200"/>
      <c r="AN1204" s="200"/>
      <c r="AO1204" s="200"/>
      <c r="AP1204" s="200"/>
      <c r="AQ1204" s="200"/>
      <c r="AR1204" s="200"/>
      <c r="AS1204" s="200"/>
      <c r="AT1204" s="200"/>
    </row>
    <row r="1205" spans="1:46" ht="16.5" customHeight="1">
      <c r="A1205" s="432"/>
      <c r="B1205" s="307"/>
      <c r="C1205" s="200"/>
      <c r="D1205" s="200"/>
      <c r="E1205" s="200"/>
      <c r="F1205" s="200"/>
      <c r="G1205" s="200"/>
      <c r="H1205" s="200"/>
      <c r="I1205" s="200"/>
      <c r="J1205" s="200"/>
      <c r="K1205" s="200"/>
      <c r="L1205" s="200"/>
      <c r="M1205" s="200"/>
      <c r="N1205" s="200"/>
      <c r="O1205" s="200"/>
      <c r="P1205" s="200"/>
      <c r="Q1205" s="353"/>
      <c r="R1205" s="353"/>
      <c r="S1205" s="353"/>
      <c r="T1205" s="353"/>
      <c r="U1205" s="353"/>
      <c r="V1205" s="353"/>
      <c r="W1205" s="200"/>
      <c r="X1205" s="200"/>
      <c r="Y1205" s="200"/>
      <c r="Z1205" s="200"/>
      <c r="AA1205" s="200"/>
      <c r="AB1205" s="200"/>
      <c r="AC1205" s="200"/>
      <c r="AD1205" s="200"/>
      <c r="AE1205" s="200"/>
      <c r="AF1205" s="200"/>
      <c r="AG1205" s="200"/>
      <c r="AH1205" s="200"/>
      <c r="AI1205" s="200"/>
      <c r="AJ1205" s="200"/>
      <c r="AK1205" s="200"/>
      <c r="AL1205" s="200"/>
      <c r="AM1205" s="200"/>
      <c r="AN1205" s="200"/>
      <c r="AO1205" s="200"/>
      <c r="AP1205" s="200"/>
      <c r="AQ1205" s="200"/>
      <c r="AR1205" s="200"/>
      <c r="AS1205" s="200"/>
      <c r="AT1205" s="200"/>
    </row>
    <row r="1206" spans="1:46" ht="16.5" customHeight="1">
      <c r="A1206" s="432"/>
      <c r="B1206" s="307"/>
      <c r="C1206" s="200"/>
      <c r="D1206" s="200"/>
      <c r="E1206" s="200"/>
      <c r="F1206" s="200"/>
      <c r="G1206" s="200"/>
      <c r="H1206" s="200"/>
      <c r="I1206" s="200"/>
      <c r="J1206" s="200"/>
      <c r="K1206" s="200"/>
      <c r="L1206" s="200"/>
      <c r="M1206" s="200"/>
      <c r="N1206" s="200"/>
      <c r="O1206" s="200"/>
      <c r="P1206" s="200"/>
      <c r="Q1206" s="353"/>
      <c r="R1206" s="353"/>
      <c r="S1206" s="353"/>
      <c r="T1206" s="353"/>
      <c r="U1206" s="353"/>
      <c r="V1206" s="353"/>
      <c r="W1206" s="200"/>
      <c r="X1206" s="200"/>
      <c r="Y1206" s="200"/>
      <c r="Z1206" s="200"/>
      <c r="AA1206" s="200"/>
      <c r="AB1206" s="200"/>
      <c r="AC1206" s="200"/>
      <c r="AD1206" s="200"/>
      <c r="AE1206" s="200"/>
      <c r="AF1206" s="200"/>
      <c r="AG1206" s="200"/>
      <c r="AH1206" s="200"/>
      <c r="AI1206" s="200"/>
      <c r="AJ1206" s="200"/>
      <c r="AK1206" s="200"/>
      <c r="AL1206" s="200"/>
      <c r="AM1206" s="200"/>
      <c r="AN1206" s="200"/>
      <c r="AO1206" s="200"/>
      <c r="AP1206" s="200"/>
      <c r="AQ1206" s="200"/>
      <c r="AR1206" s="200"/>
      <c r="AS1206" s="200"/>
      <c r="AT1206" s="200"/>
    </row>
    <row r="1207" spans="1:46" ht="16.5" customHeight="1">
      <c r="A1207" s="432"/>
      <c r="B1207" s="307"/>
      <c r="C1207" s="200"/>
      <c r="D1207" s="200"/>
      <c r="E1207" s="200"/>
      <c r="F1207" s="200"/>
      <c r="G1207" s="200"/>
      <c r="H1207" s="200"/>
      <c r="I1207" s="200"/>
      <c r="J1207" s="200"/>
      <c r="K1207" s="200"/>
      <c r="L1207" s="200"/>
      <c r="M1207" s="200"/>
      <c r="N1207" s="200"/>
      <c r="O1207" s="200"/>
      <c r="P1207" s="200"/>
      <c r="Q1207" s="353"/>
      <c r="R1207" s="353"/>
      <c r="S1207" s="353"/>
      <c r="T1207" s="353"/>
      <c r="U1207" s="353"/>
      <c r="V1207" s="353"/>
      <c r="W1207" s="200"/>
      <c r="X1207" s="200"/>
      <c r="Y1207" s="200"/>
      <c r="Z1207" s="200"/>
      <c r="AA1207" s="200"/>
      <c r="AB1207" s="200"/>
      <c r="AC1207" s="200"/>
      <c r="AD1207" s="200"/>
      <c r="AE1207" s="200"/>
      <c r="AF1207" s="200"/>
      <c r="AG1207" s="200"/>
      <c r="AH1207" s="200"/>
      <c r="AI1207" s="200"/>
      <c r="AJ1207" s="200"/>
      <c r="AK1207" s="200"/>
      <c r="AL1207" s="200"/>
      <c r="AM1207" s="200"/>
      <c r="AN1207" s="200"/>
      <c r="AO1207" s="200"/>
      <c r="AP1207" s="200"/>
      <c r="AQ1207" s="200"/>
      <c r="AR1207" s="200"/>
      <c r="AS1207" s="200"/>
      <c r="AT1207" s="200"/>
    </row>
    <row r="1208" spans="1:46" ht="16.5" customHeight="1">
      <c r="A1208" s="432"/>
      <c r="B1208" s="307"/>
      <c r="C1208" s="200"/>
      <c r="D1208" s="200"/>
      <c r="E1208" s="200"/>
      <c r="F1208" s="200"/>
      <c r="G1208" s="200"/>
      <c r="H1208" s="200"/>
      <c r="I1208" s="200"/>
      <c r="J1208" s="200"/>
      <c r="K1208" s="200"/>
      <c r="L1208" s="200"/>
      <c r="M1208" s="200"/>
      <c r="N1208" s="200"/>
      <c r="O1208" s="200"/>
      <c r="P1208" s="200"/>
      <c r="Q1208" s="353"/>
      <c r="R1208" s="353"/>
      <c r="S1208" s="353"/>
      <c r="T1208" s="353"/>
      <c r="U1208" s="353"/>
      <c r="V1208" s="353"/>
      <c r="W1208" s="200"/>
      <c r="X1208" s="200"/>
      <c r="Y1208" s="200"/>
      <c r="Z1208" s="200"/>
      <c r="AA1208" s="200"/>
      <c r="AB1208" s="200"/>
      <c r="AC1208" s="200"/>
      <c r="AD1208" s="200"/>
      <c r="AE1208" s="200"/>
      <c r="AF1208" s="200"/>
      <c r="AG1208" s="200"/>
      <c r="AH1208" s="200"/>
      <c r="AI1208" s="200"/>
      <c r="AJ1208" s="200"/>
      <c r="AK1208" s="200"/>
      <c r="AL1208" s="200"/>
      <c r="AM1208" s="200"/>
      <c r="AN1208" s="200"/>
      <c r="AO1208" s="200"/>
      <c r="AP1208" s="200"/>
      <c r="AQ1208" s="200"/>
      <c r="AR1208" s="200"/>
      <c r="AS1208" s="200"/>
      <c r="AT1208" s="200"/>
    </row>
    <row r="1209" spans="1:46" ht="16.5" customHeight="1">
      <c r="A1209" s="432"/>
      <c r="B1209" s="307"/>
      <c r="C1209" s="200"/>
      <c r="D1209" s="200"/>
      <c r="E1209" s="200"/>
      <c r="F1209" s="200"/>
      <c r="G1209" s="200"/>
      <c r="H1209" s="200"/>
      <c r="I1209" s="200"/>
      <c r="J1209" s="200"/>
      <c r="K1209" s="200"/>
      <c r="L1209" s="200"/>
      <c r="M1209" s="200"/>
      <c r="N1209" s="200"/>
      <c r="O1209" s="200"/>
      <c r="P1209" s="200"/>
      <c r="Q1209" s="353"/>
      <c r="R1209" s="353"/>
      <c r="S1209" s="353"/>
      <c r="T1209" s="353"/>
      <c r="U1209" s="353"/>
      <c r="V1209" s="353"/>
      <c r="W1209" s="200"/>
      <c r="X1209" s="200"/>
      <c r="Y1209" s="200"/>
      <c r="Z1209" s="200"/>
      <c r="AA1209" s="200"/>
      <c r="AB1209" s="200"/>
      <c r="AC1209" s="200"/>
      <c r="AD1209" s="200"/>
      <c r="AE1209" s="200"/>
      <c r="AF1209" s="200"/>
      <c r="AG1209" s="200"/>
      <c r="AH1209" s="200"/>
      <c r="AI1209" s="200"/>
      <c r="AJ1209" s="200"/>
      <c r="AK1209" s="200"/>
      <c r="AL1209" s="200"/>
      <c r="AM1209" s="200"/>
      <c r="AN1209" s="200"/>
      <c r="AO1209" s="200"/>
      <c r="AP1209" s="200"/>
      <c r="AQ1209" s="200"/>
      <c r="AR1209" s="200"/>
      <c r="AS1209" s="200"/>
      <c r="AT1209" s="200"/>
    </row>
    <row r="1210" spans="1:46" ht="16.5" customHeight="1">
      <c r="A1210" s="432"/>
      <c r="B1210" s="307"/>
      <c r="C1210" s="200"/>
      <c r="D1210" s="200"/>
      <c r="E1210" s="200"/>
      <c r="F1210" s="200"/>
      <c r="G1210" s="200"/>
      <c r="H1210" s="200"/>
      <c r="I1210" s="200"/>
      <c r="J1210" s="200"/>
      <c r="K1210" s="200"/>
      <c r="L1210" s="200"/>
      <c r="M1210" s="200"/>
      <c r="N1210" s="200"/>
      <c r="O1210" s="200"/>
      <c r="P1210" s="200"/>
      <c r="Q1210" s="353"/>
      <c r="R1210" s="353"/>
      <c r="S1210" s="353"/>
      <c r="T1210" s="353"/>
      <c r="U1210" s="353"/>
      <c r="V1210" s="353"/>
      <c r="W1210" s="200"/>
      <c r="X1210" s="200"/>
      <c r="Y1210" s="200"/>
      <c r="Z1210" s="200"/>
      <c r="AA1210" s="200"/>
      <c r="AB1210" s="200"/>
      <c r="AC1210" s="200"/>
      <c r="AD1210" s="200"/>
      <c r="AE1210" s="200"/>
      <c r="AF1210" s="200"/>
      <c r="AG1210" s="200"/>
      <c r="AH1210" s="200"/>
      <c r="AI1210" s="200"/>
      <c r="AJ1210" s="200"/>
      <c r="AK1210" s="200"/>
      <c r="AL1210" s="200"/>
      <c r="AM1210" s="200"/>
      <c r="AN1210" s="200"/>
      <c r="AO1210" s="200"/>
      <c r="AP1210" s="200"/>
      <c r="AQ1210" s="200"/>
      <c r="AR1210" s="200"/>
      <c r="AS1210" s="200"/>
      <c r="AT1210" s="200"/>
    </row>
    <row r="1211" spans="1:46" ht="16.5" customHeight="1">
      <c r="A1211" s="432"/>
      <c r="B1211" s="307"/>
      <c r="C1211" s="200"/>
      <c r="D1211" s="200"/>
      <c r="E1211" s="200"/>
      <c r="F1211" s="200"/>
      <c r="G1211" s="200"/>
      <c r="H1211" s="200"/>
      <c r="I1211" s="200"/>
      <c r="J1211" s="200"/>
      <c r="K1211" s="200"/>
      <c r="L1211" s="200"/>
      <c r="M1211" s="200"/>
      <c r="N1211" s="200"/>
      <c r="O1211" s="200"/>
      <c r="P1211" s="200"/>
      <c r="Q1211" s="353"/>
      <c r="R1211" s="353"/>
      <c r="S1211" s="353"/>
      <c r="T1211" s="353"/>
      <c r="U1211" s="353"/>
      <c r="V1211" s="353"/>
      <c r="W1211" s="200"/>
      <c r="X1211" s="200"/>
      <c r="Y1211" s="200"/>
      <c r="Z1211" s="200"/>
      <c r="AA1211" s="200"/>
      <c r="AB1211" s="200"/>
      <c r="AC1211" s="200"/>
      <c r="AD1211" s="200"/>
      <c r="AE1211" s="200"/>
      <c r="AF1211" s="200"/>
      <c r="AG1211" s="200"/>
      <c r="AH1211" s="200"/>
      <c r="AI1211" s="200"/>
      <c r="AJ1211" s="200"/>
      <c r="AK1211" s="200"/>
      <c r="AL1211" s="200"/>
      <c r="AM1211" s="200"/>
      <c r="AN1211" s="200"/>
      <c r="AO1211" s="200"/>
      <c r="AP1211" s="200"/>
      <c r="AQ1211" s="200"/>
      <c r="AR1211" s="200"/>
      <c r="AS1211" s="200"/>
      <c r="AT1211" s="200"/>
    </row>
    <row r="1212" spans="1:46" ht="16.5" customHeight="1">
      <c r="A1212" s="432"/>
      <c r="B1212" s="307"/>
      <c r="C1212" s="200"/>
      <c r="D1212" s="200"/>
      <c r="E1212" s="200"/>
      <c r="F1212" s="200"/>
      <c r="G1212" s="200"/>
      <c r="H1212" s="200"/>
      <c r="I1212" s="200"/>
      <c r="J1212" s="200"/>
      <c r="K1212" s="200"/>
      <c r="L1212" s="200"/>
      <c r="M1212" s="200"/>
      <c r="N1212" s="200"/>
      <c r="O1212" s="200"/>
      <c r="P1212" s="200"/>
      <c r="Q1212" s="353"/>
      <c r="R1212" s="353"/>
      <c r="S1212" s="353"/>
      <c r="T1212" s="353"/>
      <c r="U1212" s="353"/>
      <c r="V1212" s="353"/>
      <c r="W1212" s="200"/>
      <c r="X1212" s="200"/>
      <c r="Y1212" s="200"/>
      <c r="Z1212" s="200"/>
      <c r="AA1212" s="200"/>
      <c r="AB1212" s="200"/>
      <c r="AC1212" s="200"/>
      <c r="AD1212" s="200"/>
      <c r="AE1212" s="200"/>
      <c r="AF1212" s="200"/>
      <c r="AG1212" s="200"/>
      <c r="AH1212" s="200"/>
      <c r="AI1212" s="200"/>
      <c r="AJ1212" s="200"/>
      <c r="AK1212" s="200"/>
      <c r="AL1212" s="200"/>
      <c r="AM1212" s="200"/>
      <c r="AN1212" s="200"/>
      <c r="AO1212" s="200"/>
      <c r="AP1212" s="200"/>
      <c r="AQ1212" s="200"/>
      <c r="AR1212" s="200"/>
      <c r="AS1212" s="200"/>
      <c r="AT1212" s="200"/>
    </row>
    <row r="1213" spans="1:46" ht="16.5" customHeight="1">
      <c r="A1213" s="432"/>
      <c r="B1213" s="307"/>
      <c r="C1213" s="200"/>
      <c r="D1213" s="200"/>
      <c r="E1213" s="200"/>
      <c r="F1213" s="200"/>
      <c r="G1213" s="200"/>
      <c r="H1213" s="200"/>
      <c r="I1213" s="200"/>
      <c r="J1213" s="200"/>
      <c r="K1213" s="200"/>
      <c r="L1213" s="200"/>
      <c r="M1213" s="200"/>
      <c r="N1213" s="200"/>
      <c r="O1213" s="200"/>
      <c r="P1213" s="200"/>
      <c r="Q1213" s="353"/>
      <c r="R1213" s="353"/>
      <c r="S1213" s="353"/>
      <c r="T1213" s="353"/>
      <c r="U1213" s="353"/>
      <c r="V1213" s="353"/>
      <c r="W1213" s="200"/>
      <c r="X1213" s="200"/>
      <c r="Y1213" s="200"/>
      <c r="Z1213" s="200"/>
      <c r="AA1213" s="200"/>
      <c r="AB1213" s="200"/>
      <c r="AC1213" s="200"/>
      <c r="AD1213" s="200"/>
      <c r="AE1213" s="200"/>
      <c r="AF1213" s="200"/>
      <c r="AG1213" s="200"/>
      <c r="AH1213" s="200"/>
      <c r="AI1213" s="200"/>
      <c r="AJ1213" s="200"/>
      <c r="AK1213" s="200"/>
      <c r="AL1213" s="200"/>
      <c r="AM1213" s="200"/>
      <c r="AN1213" s="200"/>
      <c r="AO1213" s="200"/>
      <c r="AP1213" s="200"/>
      <c r="AQ1213" s="200"/>
      <c r="AR1213" s="200"/>
      <c r="AS1213" s="200"/>
      <c r="AT1213" s="200"/>
    </row>
    <row r="1214" spans="1:46" ht="16.5" customHeight="1">
      <c r="A1214" s="432"/>
      <c r="B1214" s="307"/>
      <c r="C1214" s="200"/>
      <c r="D1214" s="200"/>
      <c r="E1214" s="200"/>
      <c r="F1214" s="200"/>
      <c r="G1214" s="200"/>
      <c r="H1214" s="200"/>
      <c r="I1214" s="200"/>
      <c r="J1214" s="200"/>
      <c r="K1214" s="200"/>
      <c r="L1214" s="200"/>
      <c r="M1214" s="200"/>
      <c r="N1214" s="200"/>
      <c r="O1214" s="200"/>
      <c r="P1214" s="200"/>
      <c r="Q1214" s="353"/>
      <c r="R1214" s="353"/>
      <c r="S1214" s="353"/>
      <c r="T1214" s="353"/>
      <c r="U1214" s="353"/>
      <c r="V1214" s="353"/>
      <c r="W1214" s="200"/>
      <c r="X1214" s="200"/>
      <c r="Y1214" s="200"/>
      <c r="Z1214" s="200"/>
      <c r="AA1214" s="200"/>
      <c r="AB1214" s="200"/>
      <c r="AC1214" s="200"/>
      <c r="AD1214" s="200"/>
      <c r="AE1214" s="200"/>
      <c r="AF1214" s="200"/>
      <c r="AG1214" s="200"/>
      <c r="AH1214" s="200"/>
      <c r="AI1214" s="200"/>
      <c r="AJ1214" s="200"/>
      <c r="AK1214" s="200"/>
      <c r="AL1214" s="200"/>
      <c r="AM1214" s="200"/>
      <c r="AN1214" s="200"/>
      <c r="AO1214" s="200"/>
      <c r="AP1214" s="200"/>
      <c r="AQ1214" s="200"/>
      <c r="AR1214" s="200"/>
      <c r="AS1214" s="200"/>
      <c r="AT1214" s="200"/>
    </row>
    <row r="1215" spans="1:46" ht="16.5" customHeight="1">
      <c r="A1215" s="432"/>
      <c r="B1215" s="307"/>
      <c r="C1215" s="200"/>
      <c r="D1215" s="200"/>
      <c r="E1215" s="200"/>
      <c r="F1215" s="200"/>
      <c r="G1215" s="200"/>
      <c r="H1215" s="200"/>
      <c r="I1215" s="200"/>
      <c r="J1215" s="200"/>
      <c r="K1215" s="200"/>
      <c r="L1215" s="200"/>
      <c r="M1215" s="200"/>
      <c r="N1215" s="200"/>
      <c r="O1215" s="200"/>
      <c r="P1215" s="200"/>
      <c r="Q1215" s="353"/>
      <c r="R1215" s="353"/>
      <c r="S1215" s="353"/>
      <c r="T1215" s="353"/>
      <c r="U1215" s="353"/>
      <c r="V1215" s="353"/>
      <c r="W1215" s="200"/>
      <c r="X1215" s="200"/>
      <c r="Y1215" s="200"/>
      <c r="Z1215" s="200"/>
      <c r="AA1215" s="200"/>
      <c r="AB1215" s="200"/>
      <c r="AC1215" s="200"/>
      <c r="AD1215" s="200"/>
      <c r="AE1215" s="200"/>
      <c r="AF1215" s="200"/>
      <c r="AG1215" s="200"/>
      <c r="AH1215" s="200"/>
      <c r="AI1215" s="200"/>
      <c r="AJ1215" s="200"/>
      <c r="AK1215" s="200"/>
      <c r="AL1215" s="200"/>
      <c r="AM1215" s="200"/>
      <c r="AN1215" s="200"/>
      <c r="AO1215" s="200"/>
      <c r="AP1215" s="200"/>
      <c r="AQ1215" s="200"/>
      <c r="AR1215" s="200"/>
      <c r="AS1215" s="200"/>
      <c r="AT1215" s="200"/>
    </row>
    <row r="1216" spans="1:46" ht="16.5" customHeight="1">
      <c r="A1216" s="432"/>
      <c r="B1216" s="307"/>
      <c r="C1216" s="200"/>
      <c r="D1216" s="200"/>
      <c r="E1216" s="200"/>
      <c r="F1216" s="200"/>
      <c r="G1216" s="200"/>
      <c r="H1216" s="200"/>
      <c r="I1216" s="200"/>
      <c r="J1216" s="200"/>
      <c r="K1216" s="200"/>
      <c r="L1216" s="200"/>
      <c r="M1216" s="200"/>
      <c r="N1216" s="200"/>
      <c r="O1216" s="200"/>
      <c r="P1216" s="200"/>
      <c r="Q1216" s="353"/>
      <c r="R1216" s="353"/>
      <c r="S1216" s="353"/>
      <c r="T1216" s="353"/>
      <c r="U1216" s="353"/>
      <c r="V1216" s="353"/>
      <c r="W1216" s="200"/>
      <c r="X1216" s="200"/>
      <c r="Y1216" s="200"/>
      <c r="Z1216" s="200"/>
      <c r="AA1216" s="200"/>
      <c r="AB1216" s="200"/>
      <c r="AC1216" s="200"/>
      <c r="AD1216" s="200"/>
      <c r="AE1216" s="200"/>
      <c r="AF1216" s="200"/>
      <c r="AG1216" s="200"/>
      <c r="AH1216" s="200"/>
      <c r="AI1216" s="200"/>
      <c r="AJ1216" s="200"/>
      <c r="AK1216" s="200"/>
      <c r="AL1216" s="200"/>
      <c r="AM1216" s="200"/>
      <c r="AN1216" s="200"/>
      <c r="AO1216" s="200"/>
      <c r="AP1216" s="200"/>
      <c r="AQ1216" s="200"/>
      <c r="AR1216" s="200"/>
      <c r="AS1216" s="200"/>
      <c r="AT1216" s="200"/>
    </row>
    <row r="1217" spans="1:46" ht="16.5" customHeight="1">
      <c r="A1217" s="432"/>
      <c r="B1217" s="307"/>
      <c r="C1217" s="200"/>
      <c r="D1217" s="200"/>
      <c r="E1217" s="200"/>
      <c r="F1217" s="200"/>
      <c r="G1217" s="200"/>
      <c r="H1217" s="200"/>
      <c r="I1217" s="200"/>
      <c r="J1217" s="200"/>
      <c r="K1217" s="200"/>
      <c r="L1217" s="200"/>
      <c r="M1217" s="200"/>
      <c r="N1217" s="200"/>
      <c r="O1217" s="200"/>
      <c r="P1217" s="200"/>
      <c r="Q1217" s="353"/>
      <c r="R1217" s="353"/>
      <c r="S1217" s="353"/>
      <c r="T1217" s="353"/>
      <c r="U1217" s="353"/>
      <c r="V1217" s="353"/>
      <c r="W1217" s="200"/>
      <c r="X1217" s="200"/>
      <c r="Y1217" s="200"/>
      <c r="Z1217" s="200"/>
      <c r="AA1217" s="200"/>
      <c r="AB1217" s="200"/>
      <c r="AC1217" s="200"/>
      <c r="AD1217" s="200"/>
      <c r="AE1217" s="200"/>
      <c r="AF1217" s="200"/>
      <c r="AG1217" s="200"/>
      <c r="AH1217" s="200"/>
      <c r="AI1217" s="200"/>
      <c r="AJ1217" s="200"/>
      <c r="AK1217" s="200"/>
      <c r="AL1217" s="200"/>
      <c r="AM1217" s="200"/>
      <c r="AN1217" s="200"/>
      <c r="AO1217" s="200"/>
      <c r="AP1217" s="200"/>
      <c r="AQ1217" s="200"/>
      <c r="AR1217" s="200"/>
      <c r="AS1217" s="200"/>
      <c r="AT1217" s="200"/>
    </row>
    <row r="1218" spans="1:46" ht="16.5" customHeight="1">
      <c r="A1218" s="432"/>
      <c r="B1218" s="307"/>
      <c r="C1218" s="200"/>
      <c r="D1218" s="200"/>
      <c r="E1218" s="200"/>
      <c r="F1218" s="200"/>
      <c r="G1218" s="200"/>
      <c r="H1218" s="200"/>
      <c r="I1218" s="200"/>
      <c r="J1218" s="200"/>
      <c r="K1218" s="200"/>
      <c r="L1218" s="200"/>
      <c r="M1218" s="200"/>
      <c r="N1218" s="200"/>
      <c r="O1218" s="200"/>
      <c r="P1218" s="200"/>
      <c r="Q1218" s="353"/>
      <c r="R1218" s="353"/>
      <c r="S1218" s="353"/>
      <c r="T1218" s="353"/>
      <c r="U1218" s="353"/>
      <c r="V1218" s="353"/>
      <c r="W1218" s="200"/>
      <c r="X1218" s="200"/>
      <c r="Y1218" s="200"/>
      <c r="Z1218" s="200"/>
      <c r="AA1218" s="200"/>
      <c r="AB1218" s="200"/>
      <c r="AC1218" s="200"/>
      <c r="AD1218" s="200"/>
      <c r="AE1218" s="200"/>
      <c r="AF1218" s="200"/>
      <c r="AG1218" s="200"/>
      <c r="AH1218" s="200"/>
      <c r="AI1218" s="200"/>
      <c r="AJ1218" s="200"/>
      <c r="AK1218" s="200"/>
      <c r="AL1218" s="200"/>
      <c r="AM1218" s="200"/>
      <c r="AN1218" s="200"/>
      <c r="AO1218" s="200"/>
      <c r="AP1218" s="200"/>
      <c r="AQ1218" s="200"/>
      <c r="AR1218" s="200"/>
      <c r="AS1218" s="200"/>
      <c r="AT1218" s="200"/>
    </row>
    <row r="1219" spans="1:46" ht="16.5" customHeight="1">
      <c r="A1219" s="432"/>
      <c r="B1219" s="307"/>
      <c r="C1219" s="200"/>
      <c r="D1219" s="200"/>
      <c r="E1219" s="200"/>
      <c r="F1219" s="200"/>
      <c r="G1219" s="200"/>
      <c r="H1219" s="200"/>
      <c r="I1219" s="200"/>
      <c r="J1219" s="200"/>
      <c r="K1219" s="200"/>
      <c r="L1219" s="200"/>
      <c r="M1219" s="200"/>
      <c r="N1219" s="200"/>
      <c r="O1219" s="200"/>
      <c r="P1219" s="200"/>
      <c r="Q1219" s="353"/>
      <c r="R1219" s="353"/>
      <c r="S1219" s="353"/>
      <c r="T1219" s="353"/>
      <c r="U1219" s="353"/>
      <c r="V1219" s="353"/>
      <c r="W1219" s="200"/>
      <c r="X1219" s="200"/>
      <c r="Y1219" s="200"/>
      <c r="Z1219" s="200"/>
      <c r="AA1219" s="200"/>
      <c r="AB1219" s="200"/>
      <c r="AC1219" s="200"/>
      <c r="AD1219" s="200"/>
      <c r="AE1219" s="200"/>
      <c r="AF1219" s="200"/>
      <c r="AG1219" s="200"/>
      <c r="AH1219" s="200"/>
      <c r="AI1219" s="200"/>
      <c r="AJ1219" s="200"/>
      <c r="AK1219" s="200"/>
      <c r="AL1219" s="200"/>
      <c r="AM1219" s="200"/>
      <c r="AN1219" s="200"/>
      <c r="AO1219" s="200"/>
      <c r="AP1219" s="200"/>
      <c r="AQ1219" s="200"/>
      <c r="AR1219" s="200"/>
      <c r="AS1219" s="200"/>
      <c r="AT1219" s="200"/>
    </row>
    <row r="1220" spans="1:46" ht="16.5" customHeight="1">
      <c r="A1220" s="432"/>
      <c r="B1220" s="307"/>
      <c r="C1220" s="200"/>
      <c r="D1220" s="200"/>
      <c r="E1220" s="200"/>
      <c r="F1220" s="200"/>
      <c r="G1220" s="200"/>
      <c r="H1220" s="200"/>
      <c r="I1220" s="200"/>
      <c r="J1220" s="200"/>
      <c r="K1220" s="200"/>
      <c r="L1220" s="200"/>
      <c r="M1220" s="200"/>
      <c r="N1220" s="200"/>
      <c r="O1220" s="200"/>
      <c r="P1220" s="200"/>
      <c r="Q1220" s="353"/>
      <c r="R1220" s="353"/>
      <c r="S1220" s="353"/>
      <c r="T1220" s="353"/>
      <c r="U1220" s="353"/>
      <c r="V1220" s="353"/>
      <c r="W1220" s="200"/>
      <c r="X1220" s="200"/>
      <c r="Y1220" s="200"/>
      <c r="Z1220" s="200"/>
      <c r="AA1220" s="200"/>
      <c r="AB1220" s="200"/>
      <c r="AC1220" s="200"/>
      <c r="AD1220" s="200"/>
      <c r="AE1220" s="200"/>
      <c r="AF1220" s="200"/>
      <c r="AG1220" s="200"/>
      <c r="AH1220" s="200"/>
      <c r="AI1220" s="200"/>
      <c r="AJ1220" s="200"/>
      <c r="AK1220" s="200"/>
      <c r="AL1220" s="200"/>
      <c r="AM1220" s="200"/>
      <c r="AN1220" s="200"/>
      <c r="AO1220" s="200"/>
      <c r="AP1220" s="200"/>
      <c r="AQ1220" s="200"/>
      <c r="AR1220" s="200"/>
      <c r="AS1220" s="200"/>
      <c r="AT1220" s="200"/>
    </row>
    <row r="1221" spans="1:46" ht="16.5" customHeight="1">
      <c r="A1221" s="432"/>
      <c r="B1221" s="307"/>
      <c r="C1221" s="200"/>
      <c r="D1221" s="200"/>
      <c r="E1221" s="200"/>
      <c r="F1221" s="200"/>
      <c r="G1221" s="200"/>
      <c r="H1221" s="200"/>
      <c r="I1221" s="200"/>
      <c r="J1221" s="200"/>
      <c r="K1221" s="200"/>
      <c r="L1221" s="200"/>
      <c r="M1221" s="200"/>
      <c r="N1221" s="200"/>
      <c r="O1221" s="200"/>
      <c r="P1221" s="200"/>
      <c r="Q1221" s="353"/>
      <c r="R1221" s="353"/>
      <c r="S1221" s="353"/>
      <c r="T1221" s="353"/>
      <c r="U1221" s="353"/>
      <c r="V1221" s="353"/>
      <c r="W1221" s="200"/>
      <c r="X1221" s="200"/>
      <c r="Y1221" s="200"/>
      <c r="Z1221" s="200"/>
      <c r="AA1221" s="200"/>
      <c r="AB1221" s="200"/>
      <c r="AC1221" s="200"/>
      <c r="AD1221" s="200"/>
      <c r="AE1221" s="200"/>
      <c r="AF1221" s="200"/>
      <c r="AG1221" s="200"/>
      <c r="AH1221" s="200"/>
      <c r="AI1221" s="200"/>
      <c r="AJ1221" s="200"/>
      <c r="AK1221" s="200"/>
      <c r="AL1221" s="200"/>
      <c r="AM1221" s="200"/>
      <c r="AN1221" s="200"/>
      <c r="AO1221" s="200"/>
      <c r="AP1221" s="200"/>
      <c r="AQ1221" s="200"/>
      <c r="AR1221" s="200"/>
      <c r="AS1221" s="200"/>
      <c r="AT1221" s="200"/>
    </row>
    <row r="1222" spans="1:46" ht="16.5" customHeight="1">
      <c r="A1222" s="432"/>
      <c r="B1222" s="307"/>
      <c r="C1222" s="200"/>
      <c r="D1222" s="200"/>
      <c r="E1222" s="200"/>
      <c r="F1222" s="200"/>
      <c r="G1222" s="200"/>
      <c r="H1222" s="200"/>
      <c r="I1222" s="200"/>
      <c r="J1222" s="200"/>
      <c r="K1222" s="200"/>
      <c r="L1222" s="200"/>
      <c r="M1222" s="200"/>
      <c r="N1222" s="200"/>
      <c r="O1222" s="200"/>
      <c r="P1222" s="200"/>
      <c r="Q1222" s="353"/>
      <c r="R1222" s="353"/>
      <c r="S1222" s="353"/>
      <c r="T1222" s="353"/>
      <c r="U1222" s="353"/>
      <c r="V1222" s="353"/>
      <c r="W1222" s="200"/>
      <c r="X1222" s="200"/>
      <c r="Y1222" s="200"/>
      <c r="Z1222" s="200"/>
      <c r="AA1222" s="200"/>
      <c r="AB1222" s="200"/>
      <c r="AC1222" s="200"/>
      <c r="AD1222" s="200"/>
      <c r="AE1222" s="200"/>
      <c r="AF1222" s="200"/>
      <c r="AG1222" s="200"/>
      <c r="AH1222" s="200"/>
      <c r="AI1222" s="200"/>
      <c r="AJ1222" s="200"/>
      <c r="AK1222" s="200"/>
      <c r="AL1222" s="200"/>
      <c r="AM1222" s="200"/>
      <c r="AN1222" s="200"/>
      <c r="AO1222" s="200"/>
      <c r="AP1222" s="200"/>
      <c r="AQ1222" s="200"/>
      <c r="AR1222" s="200"/>
      <c r="AS1222" s="200"/>
      <c r="AT1222" s="200"/>
    </row>
    <row r="1223" spans="1:46" ht="16.5" customHeight="1">
      <c r="A1223" s="432"/>
      <c r="B1223" s="307"/>
      <c r="C1223" s="200"/>
      <c r="D1223" s="200"/>
      <c r="E1223" s="200"/>
      <c r="F1223" s="200"/>
      <c r="G1223" s="200"/>
      <c r="H1223" s="200"/>
      <c r="I1223" s="200"/>
      <c r="J1223" s="200"/>
      <c r="K1223" s="200"/>
      <c r="L1223" s="200"/>
      <c r="M1223" s="200"/>
      <c r="N1223" s="200"/>
      <c r="O1223" s="200"/>
      <c r="P1223" s="200"/>
      <c r="Q1223" s="353"/>
      <c r="R1223" s="353"/>
      <c r="S1223" s="353"/>
      <c r="T1223" s="353"/>
      <c r="U1223" s="353"/>
      <c r="V1223" s="353"/>
      <c r="W1223" s="200"/>
      <c r="X1223" s="200"/>
      <c r="Y1223" s="200"/>
      <c r="Z1223" s="200"/>
      <c r="AA1223" s="200"/>
      <c r="AB1223" s="200"/>
      <c r="AC1223" s="200"/>
      <c r="AD1223" s="200"/>
      <c r="AE1223" s="200"/>
      <c r="AF1223" s="200"/>
      <c r="AG1223" s="200"/>
      <c r="AH1223" s="200"/>
      <c r="AI1223" s="200"/>
      <c r="AJ1223" s="200"/>
      <c r="AK1223" s="200"/>
      <c r="AL1223" s="200"/>
      <c r="AM1223" s="200"/>
      <c r="AN1223" s="200"/>
      <c r="AO1223" s="200"/>
      <c r="AP1223" s="200"/>
      <c r="AQ1223" s="200"/>
      <c r="AR1223" s="200"/>
      <c r="AS1223" s="200"/>
      <c r="AT1223" s="200"/>
    </row>
    <row r="1224" spans="1:46" ht="16.5" customHeight="1">
      <c r="A1224" s="432"/>
      <c r="B1224" s="307"/>
      <c r="C1224" s="200"/>
      <c r="D1224" s="200"/>
      <c r="E1224" s="200"/>
      <c r="F1224" s="200"/>
      <c r="G1224" s="200"/>
      <c r="H1224" s="200"/>
      <c r="I1224" s="200"/>
      <c r="J1224" s="200"/>
      <c r="K1224" s="200"/>
      <c r="L1224" s="200"/>
      <c r="M1224" s="200"/>
      <c r="N1224" s="200"/>
      <c r="O1224" s="200"/>
      <c r="P1224" s="200"/>
      <c r="Q1224" s="353"/>
      <c r="R1224" s="353"/>
      <c r="S1224" s="353"/>
      <c r="T1224" s="353"/>
      <c r="U1224" s="353"/>
      <c r="V1224" s="353"/>
      <c r="W1224" s="200"/>
      <c r="X1224" s="200"/>
      <c r="Y1224" s="200"/>
      <c r="Z1224" s="200"/>
      <c r="AA1224" s="200"/>
      <c r="AB1224" s="200"/>
      <c r="AC1224" s="200"/>
      <c r="AD1224" s="200"/>
      <c r="AE1224" s="200"/>
      <c r="AF1224" s="200"/>
      <c r="AG1224" s="200"/>
      <c r="AH1224" s="200"/>
      <c r="AI1224" s="200"/>
      <c r="AJ1224" s="200"/>
      <c r="AK1224" s="200"/>
      <c r="AL1224" s="200"/>
      <c r="AM1224" s="200"/>
      <c r="AN1224" s="200"/>
      <c r="AO1224" s="200"/>
      <c r="AP1224" s="200"/>
      <c r="AQ1224" s="200"/>
      <c r="AR1224" s="200"/>
      <c r="AS1224" s="200"/>
      <c r="AT1224" s="200"/>
    </row>
    <row r="1225" spans="1:46" ht="16.5" customHeight="1">
      <c r="A1225" s="432"/>
      <c r="B1225" s="307"/>
      <c r="C1225" s="200"/>
      <c r="D1225" s="200"/>
      <c r="E1225" s="200"/>
      <c r="F1225" s="200"/>
      <c r="G1225" s="200"/>
      <c r="H1225" s="200"/>
      <c r="I1225" s="200"/>
      <c r="J1225" s="200"/>
      <c r="K1225" s="200"/>
      <c r="L1225" s="200"/>
      <c r="M1225" s="200"/>
      <c r="N1225" s="200"/>
      <c r="O1225" s="200"/>
      <c r="P1225" s="200"/>
      <c r="Q1225" s="353"/>
      <c r="R1225" s="353"/>
      <c r="S1225" s="353"/>
      <c r="T1225" s="353"/>
      <c r="U1225" s="353"/>
      <c r="V1225" s="353"/>
      <c r="W1225" s="200"/>
      <c r="X1225" s="200"/>
      <c r="Y1225" s="200"/>
      <c r="Z1225" s="200"/>
      <c r="AA1225" s="200"/>
      <c r="AB1225" s="200"/>
      <c r="AC1225" s="200"/>
      <c r="AD1225" s="200"/>
      <c r="AE1225" s="200"/>
      <c r="AF1225" s="200"/>
      <c r="AG1225" s="200"/>
      <c r="AH1225" s="200"/>
      <c r="AI1225" s="200"/>
      <c r="AJ1225" s="200"/>
      <c r="AK1225" s="200"/>
      <c r="AL1225" s="200"/>
      <c r="AM1225" s="200"/>
      <c r="AN1225" s="200"/>
      <c r="AO1225" s="200"/>
      <c r="AP1225" s="200"/>
      <c r="AQ1225" s="200"/>
      <c r="AR1225" s="200"/>
      <c r="AS1225" s="200"/>
      <c r="AT1225" s="200"/>
    </row>
    <row r="1226" spans="1:46" ht="16.5" customHeight="1">
      <c r="A1226" s="434"/>
      <c r="B1226" s="307"/>
      <c r="C1226" s="200"/>
      <c r="D1226" s="200"/>
      <c r="E1226" s="200"/>
      <c r="F1226" s="200"/>
      <c r="G1226" s="200"/>
      <c r="H1226" s="200"/>
      <c r="I1226" s="200"/>
      <c r="J1226" s="200"/>
      <c r="K1226" s="200"/>
      <c r="L1226" s="200"/>
      <c r="M1226" s="200"/>
      <c r="N1226" s="200"/>
      <c r="O1226" s="200"/>
      <c r="P1226" s="200"/>
      <c r="Q1226" s="353"/>
      <c r="R1226" s="353"/>
      <c r="S1226" s="353"/>
      <c r="T1226" s="353"/>
      <c r="U1226" s="353"/>
      <c r="V1226" s="353"/>
      <c r="W1226" s="200"/>
      <c r="X1226" s="200"/>
      <c r="Y1226" s="200"/>
      <c r="Z1226" s="200"/>
      <c r="AA1226" s="200"/>
      <c r="AB1226" s="200"/>
      <c r="AC1226" s="200"/>
      <c r="AD1226" s="200"/>
      <c r="AE1226" s="200"/>
      <c r="AF1226" s="200"/>
      <c r="AG1226" s="200"/>
      <c r="AH1226" s="200"/>
      <c r="AI1226" s="200"/>
      <c r="AJ1226" s="200"/>
      <c r="AK1226" s="200"/>
      <c r="AL1226" s="200"/>
      <c r="AM1226" s="200"/>
      <c r="AN1226" s="200"/>
      <c r="AO1226" s="200"/>
      <c r="AP1226" s="200"/>
      <c r="AQ1226" s="200"/>
      <c r="AR1226" s="200"/>
      <c r="AS1226" s="200"/>
      <c r="AT1226" s="200"/>
    </row>
    <row r="1227" spans="1:46" ht="16.5" customHeight="1">
      <c r="A1227" s="434"/>
      <c r="B1227" s="307"/>
      <c r="C1227" s="200"/>
      <c r="D1227" s="200"/>
      <c r="E1227" s="200"/>
      <c r="F1227" s="200"/>
      <c r="G1227" s="200"/>
      <c r="H1227" s="200"/>
      <c r="I1227" s="200"/>
      <c r="J1227" s="200"/>
      <c r="K1227" s="200"/>
      <c r="L1227" s="200"/>
      <c r="M1227" s="200"/>
      <c r="N1227" s="200"/>
      <c r="O1227" s="200"/>
      <c r="P1227" s="200"/>
      <c r="Q1227" s="353"/>
      <c r="R1227" s="353"/>
      <c r="S1227" s="353"/>
      <c r="T1227" s="353"/>
      <c r="U1227" s="353"/>
      <c r="V1227" s="353"/>
      <c r="W1227" s="200"/>
      <c r="X1227" s="200"/>
      <c r="Y1227" s="200"/>
      <c r="Z1227" s="200"/>
      <c r="AA1227" s="200"/>
      <c r="AB1227" s="200"/>
      <c r="AC1227" s="200"/>
      <c r="AD1227" s="200"/>
      <c r="AE1227" s="200"/>
      <c r="AF1227" s="200"/>
      <c r="AG1227" s="200"/>
      <c r="AH1227" s="200"/>
      <c r="AI1227" s="200"/>
      <c r="AJ1227" s="200"/>
      <c r="AK1227" s="200"/>
      <c r="AL1227" s="200"/>
      <c r="AM1227" s="200"/>
      <c r="AN1227" s="200"/>
      <c r="AO1227" s="200"/>
      <c r="AP1227" s="200"/>
      <c r="AQ1227" s="200"/>
      <c r="AR1227" s="200"/>
      <c r="AS1227" s="200"/>
      <c r="AT1227" s="200"/>
    </row>
    <row r="1228" spans="1:46" ht="16.5" customHeight="1">
      <c r="A1228" s="434"/>
      <c r="B1228" s="307"/>
      <c r="C1228" s="200"/>
      <c r="D1228" s="200"/>
      <c r="E1228" s="200"/>
      <c r="F1228" s="200"/>
      <c r="G1228" s="200"/>
      <c r="H1228" s="200"/>
      <c r="I1228" s="200"/>
      <c r="J1228" s="200"/>
      <c r="K1228" s="200"/>
      <c r="L1228" s="200"/>
      <c r="M1228" s="200"/>
      <c r="N1228" s="200"/>
      <c r="O1228" s="200"/>
      <c r="P1228" s="200"/>
      <c r="Q1228" s="353"/>
      <c r="R1228" s="353"/>
      <c r="S1228" s="353"/>
      <c r="T1228" s="353"/>
      <c r="U1228" s="353"/>
      <c r="V1228" s="353"/>
      <c r="W1228" s="200"/>
      <c r="X1228" s="200"/>
      <c r="Y1228" s="200"/>
      <c r="Z1228" s="200"/>
      <c r="AA1228" s="200"/>
      <c r="AB1228" s="200"/>
      <c r="AC1228" s="200"/>
      <c r="AD1228" s="200"/>
      <c r="AE1228" s="200"/>
      <c r="AF1228" s="200"/>
      <c r="AG1228" s="200"/>
      <c r="AH1228" s="200"/>
      <c r="AI1228" s="200"/>
      <c r="AJ1228" s="200"/>
      <c r="AK1228" s="200"/>
      <c r="AL1228" s="200"/>
      <c r="AM1228" s="200"/>
      <c r="AN1228" s="200"/>
      <c r="AO1228" s="200"/>
      <c r="AP1228" s="200"/>
      <c r="AQ1228" s="200"/>
      <c r="AR1228" s="200"/>
      <c r="AS1228" s="200"/>
      <c r="AT1228" s="200"/>
    </row>
  </sheetData>
  <mergeCells count="4">
    <mergeCell ref="C1:H1"/>
    <mergeCell ref="J1:P1"/>
    <mergeCell ref="T1:V1"/>
    <mergeCell ref="X1:AD1"/>
  </mergeCells>
  <conditionalFormatting sqref="C16:AT21 C29:X29 AD29:AT29">
    <cfRule type="cellIs" dxfId="3" priority="1" operator="between">
      <formula>-0.000001</formula>
      <formula>0.000001</formula>
    </cfRule>
  </conditionalFormatting>
  <conditionalFormatting sqref="C16:AT21 C29:X29 AD29:AT29">
    <cfRule type="cellIs" dxfId="2" priority="2" operator="not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263"/>
  <sheetViews>
    <sheetView showGridLines="0" tabSelected="1" workbookViewId="0">
      <pane ySplit="3" topLeftCell="A4" activePane="bottomLeft" state="frozen"/>
      <selection pane="bottomLeft" activeCell="P19" sqref="P19"/>
    </sheetView>
  </sheetViews>
  <sheetFormatPr defaultColWidth="12.5703125" defaultRowHeight="15.75" customHeight="1" outlineLevelRow="1"/>
  <cols>
    <col min="1" max="1" width="2.5703125" customWidth="1"/>
    <col min="2" max="2" width="14.42578125" customWidth="1"/>
    <col min="3" max="3" width="8.85546875" customWidth="1"/>
    <col min="4" max="5" width="8.85546875" hidden="1" customWidth="1"/>
    <col min="6" max="8" width="8.85546875" customWidth="1"/>
    <col min="9" max="9" width="2.85546875" customWidth="1"/>
    <col min="10" max="13" width="8.85546875" customWidth="1"/>
    <col min="14" max="14" width="8.85546875" hidden="1" customWidth="1"/>
    <col min="15" max="16" width="8.85546875" customWidth="1"/>
    <col min="17" max="18" width="8.85546875" hidden="1" customWidth="1"/>
    <col min="19" max="19" width="2.85546875" customWidth="1"/>
    <col min="20" max="21" width="8.85546875" customWidth="1"/>
    <col min="22" max="22" width="8.5703125" hidden="1" customWidth="1"/>
    <col min="23" max="23" width="2.5703125" customWidth="1"/>
    <col min="24" max="24" width="10.140625" hidden="1" customWidth="1"/>
    <col min="25" max="29" width="10.140625" customWidth="1"/>
    <col min="30" max="30" width="10.140625" hidden="1" customWidth="1"/>
  </cols>
  <sheetData>
    <row r="1" spans="1:46" ht="16.5" customHeight="1">
      <c r="A1" s="1"/>
      <c r="B1" s="1"/>
      <c r="C1" s="479" t="s">
        <v>0</v>
      </c>
      <c r="D1" s="480"/>
      <c r="E1" s="480"/>
      <c r="F1" s="480"/>
      <c r="G1" s="480"/>
      <c r="H1" s="480"/>
      <c r="I1" s="2"/>
      <c r="J1" s="481" t="s">
        <v>1</v>
      </c>
      <c r="K1" s="480"/>
      <c r="L1" s="480"/>
      <c r="M1" s="480"/>
      <c r="N1" s="480"/>
      <c r="O1" s="480"/>
      <c r="P1" s="480"/>
      <c r="Q1" s="3"/>
      <c r="R1" s="3"/>
      <c r="S1" s="2"/>
      <c r="T1" s="481" t="s">
        <v>2</v>
      </c>
      <c r="U1" s="480"/>
      <c r="V1" s="480"/>
      <c r="W1" s="432"/>
      <c r="X1" s="483" t="s">
        <v>3</v>
      </c>
      <c r="Y1" s="480"/>
      <c r="Z1" s="480"/>
      <c r="AA1" s="480"/>
      <c r="AB1" s="480"/>
      <c r="AC1" s="480"/>
      <c r="AD1" s="480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ht="31.5" customHeight="1">
      <c r="A2" s="372"/>
      <c r="B2" s="372"/>
      <c r="C2" s="6" t="s">
        <v>4</v>
      </c>
      <c r="D2" s="6" t="s">
        <v>5</v>
      </c>
      <c r="E2" s="6" t="s">
        <v>70</v>
      </c>
      <c r="F2" s="6" t="s">
        <v>7</v>
      </c>
      <c r="G2" s="6" t="s">
        <v>8</v>
      </c>
      <c r="H2" s="6" t="s">
        <v>9</v>
      </c>
      <c r="I2" s="7"/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10" t="s">
        <v>17</v>
      </c>
      <c r="R2" s="10" t="s">
        <v>18</v>
      </c>
      <c r="S2" s="7"/>
      <c r="T2" s="12" t="s">
        <v>19</v>
      </c>
      <c r="U2" s="12" t="s">
        <v>20</v>
      </c>
      <c r="V2" s="12" t="s">
        <v>21</v>
      </c>
      <c r="W2" s="435"/>
      <c r="X2" s="13" t="s">
        <v>22</v>
      </c>
      <c r="Y2" s="13" t="s">
        <v>23</v>
      </c>
      <c r="Z2" s="13" t="s">
        <v>24</v>
      </c>
      <c r="AA2" s="13" t="s">
        <v>103</v>
      </c>
      <c r="AB2" s="13" t="s">
        <v>26</v>
      </c>
      <c r="AC2" s="13" t="s">
        <v>27</v>
      </c>
      <c r="AD2" s="13" t="s">
        <v>28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</row>
    <row r="3" spans="1:46" ht="84">
      <c r="A3" s="16"/>
      <c r="B3" s="16"/>
      <c r="C3" s="17" t="s">
        <v>104</v>
      </c>
      <c r="D3" s="17" t="s">
        <v>105</v>
      </c>
      <c r="E3" s="375" t="s">
        <v>106</v>
      </c>
      <c r="F3" s="17" t="s">
        <v>107</v>
      </c>
      <c r="G3" s="19" t="s">
        <v>33</v>
      </c>
      <c r="H3" s="17" t="s">
        <v>34</v>
      </c>
      <c r="I3" s="20"/>
      <c r="J3" s="21" t="s">
        <v>108</v>
      </c>
      <c r="K3" s="21" t="s">
        <v>36</v>
      </c>
      <c r="L3" s="21" t="s">
        <v>109</v>
      </c>
      <c r="M3" s="21" t="s">
        <v>110</v>
      </c>
      <c r="N3" s="22" t="s">
        <v>111</v>
      </c>
      <c r="O3" s="21" t="s">
        <v>112</v>
      </c>
      <c r="P3" s="21" t="s">
        <v>113</v>
      </c>
      <c r="Q3" s="24" t="s">
        <v>114</v>
      </c>
      <c r="R3" s="24" t="s">
        <v>115</v>
      </c>
      <c r="S3" s="20"/>
      <c r="T3" s="26" t="s">
        <v>116</v>
      </c>
      <c r="U3" s="26" t="s">
        <v>117</v>
      </c>
      <c r="V3" s="26" t="s">
        <v>46</v>
      </c>
      <c r="W3" s="436"/>
      <c r="X3" s="27" t="s">
        <v>47</v>
      </c>
      <c r="Y3" s="28" t="s">
        <v>48</v>
      </c>
      <c r="Z3" s="27" t="s">
        <v>49</v>
      </c>
      <c r="AA3" s="27" t="s">
        <v>50</v>
      </c>
      <c r="AB3" s="27" t="s">
        <v>118</v>
      </c>
      <c r="AC3" s="27" t="s">
        <v>119</v>
      </c>
      <c r="AD3" s="27" t="s">
        <v>120</v>
      </c>
      <c r="AE3" s="20"/>
      <c r="AF3" s="29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</row>
    <row r="4" spans="1:46" ht="15.75" customHeight="1">
      <c r="A4" s="30"/>
      <c r="B4" s="30"/>
      <c r="C4" s="31"/>
      <c r="D4" s="32"/>
      <c r="E4" s="33"/>
      <c r="F4" s="33"/>
      <c r="G4" s="34"/>
      <c r="H4" s="34"/>
      <c r="I4" s="35"/>
      <c r="J4" s="35"/>
      <c r="K4" s="36"/>
      <c r="L4" s="33"/>
      <c r="M4" s="33"/>
      <c r="N4" s="37"/>
      <c r="O4" s="37"/>
      <c r="P4" s="38"/>
      <c r="Q4" s="39"/>
      <c r="R4" s="39"/>
      <c r="S4" s="35"/>
      <c r="T4" s="41"/>
      <c r="U4" s="42"/>
      <c r="V4" s="43"/>
      <c r="W4" s="437"/>
      <c r="X4" s="35"/>
      <c r="Y4" s="35"/>
      <c r="Z4" s="35"/>
      <c r="AA4" s="35"/>
      <c r="AB4" s="35"/>
      <c r="AC4" s="35"/>
      <c r="AD4" s="35"/>
      <c r="AE4" s="3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</row>
    <row r="5" spans="1:46" ht="22.5" customHeight="1">
      <c r="A5" s="46"/>
      <c r="B5" s="46" t="s">
        <v>121</v>
      </c>
      <c r="C5" s="47"/>
      <c r="D5" s="48"/>
      <c r="E5" s="48"/>
      <c r="F5" s="48"/>
      <c r="G5" s="50"/>
      <c r="H5" s="50"/>
      <c r="I5" s="51"/>
      <c r="J5" s="51"/>
      <c r="K5" s="384"/>
      <c r="L5" s="53"/>
      <c r="M5" s="53"/>
      <c r="N5" s="53"/>
      <c r="O5" s="53"/>
      <c r="P5" s="50"/>
      <c r="Q5" s="55"/>
      <c r="R5" s="55"/>
      <c r="S5" s="51"/>
      <c r="T5" s="385"/>
      <c r="U5" s="149"/>
      <c r="V5" s="58"/>
      <c r="W5" s="438"/>
      <c r="X5" s="51"/>
      <c r="Y5" s="51"/>
      <c r="Z5" s="51"/>
      <c r="AA5" s="51"/>
      <c r="AB5" s="51"/>
      <c r="AC5" s="51"/>
      <c r="AD5" s="51"/>
      <c r="AE5" s="51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</row>
    <row r="6" spans="1:46" ht="15.75" customHeight="1">
      <c r="A6" s="439"/>
      <c r="B6" s="60"/>
      <c r="C6" s="166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440"/>
      <c r="R6" s="440"/>
      <c r="S6" s="62"/>
      <c r="T6" s="440"/>
      <c r="U6" s="440"/>
      <c r="V6" s="73"/>
      <c r="W6" s="441"/>
      <c r="X6" s="65"/>
      <c r="Y6" s="65"/>
      <c r="Z6" s="65"/>
      <c r="AA6" s="65"/>
      <c r="AB6" s="65"/>
      <c r="AC6" s="65"/>
      <c r="AD6" s="65"/>
      <c r="AE6" s="65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</row>
    <row r="7" spans="1:46" ht="22.5" customHeight="1">
      <c r="A7" s="75"/>
      <c r="B7" s="75" t="s">
        <v>122</v>
      </c>
      <c r="C7" s="442"/>
      <c r="D7" s="48"/>
      <c r="E7" s="49"/>
      <c r="F7" s="49"/>
      <c r="G7" s="50"/>
      <c r="H7" s="50"/>
      <c r="I7" s="51"/>
      <c r="J7" s="443"/>
      <c r="K7" s="52"/>
      <c r="L7" s="49"/>
      <c r="M7" s="49"/>
      <c r="N7" s="53"/>
      <c r="O7" s="53"/>
      <c r="P7" s="444"/>
      <c r="Q7" s="385"/>
      <c r="R7" s="385"/>
      <c r="S7" s="51"/>
      <c r="T7" s="57"/>
      <c r="U7" s="149"/>
      <c r="V7" s="58"/>
      <c r="W7" s="445"/>
      <c r="X7" s="51"/>
      <c r="Y7" s="51"/>
      <c r="Z7" s="51"/>
      <c r="AA7" s="51"/>
      <c r="AB7" s="51"/>
      <c r="AC7" s="51"/>
      <c r="AD7" s="51"/>
      <c r="AE7" s="51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</row>
    <row r="8" spans="1:46" ht="17.25" customHeight="1">
      <c r="A8" s="446"/>
      <c r="B8" s="91" t="s">
        <v>123</v>
      </c>
      <c r="C8" s="166"/>
      <c r="D8" s="62"/>
      <c r="E8" s="63"/>
      <c r="F8" s="63"/>
      <c r="G8" s="64"/>
      <c r="H8" s="64"/>
      <c r="I8" s="65"/>
      <c r="J8" s="447"/>
      <c r="K8" s="66"/>
      <c r="L8" s="63"/>
      <c r="M8" s="63"/>
      <c r="N8" s="67"/>
      <c r="O8" s="67"/>
      <c r="P8" s="168"/>
      <c r="Q8" s="174"/>
      <c r="R8" s="174"/>
      <c r="S8" s="65"/>
      <c r="T8" s="71"/>
      <c r="U8" s="72"/>
      <c r="V8" s="73"/>
      <c r="W8" s="441"/>
      <c r="X8" s="65"/>
      <c r="Y8" s="65"/>
      <c r="Z8" s="65"/>
      <c r="AA8" s="65"/>
      <c r="AB8" s="65"/>
      <c r="AC8" s="65"/>
      <c r="AD8" s="65"/>
      <c r="AE8" s="65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</row>
    <row r="9" spans="1:46" ht="17.25" customHeight="1">
      <c r="A9" s="446"/>
      <c r="B9" s="91" t="s">
        <v>124</v>
      </c>
      <c r="C9" s="166"/>
      <c r="D9" s="62"/>
      <c r="E9" s="63"/>
      <c r="F9" s="63"/>
      <c r="G9" s="64"/>
      <c r="H9" s="64"/>
      <c r="I9" s="65"/>
      <c r="J9" s="447"/>
      <c r="K9" s="66"/>
      <c r="L9" s="63"/>
      <c r="M9" s="63"/>
      <c r="N9" s="67"/>
      <c r="O9" s="67"/>
      <c r="P9" s="168"/>
      <c r="Q9" s="174"/>
      <c r="R9" s="174"/>
      <c r="S9" s="65"/>
      <c r="T9" s="71"/>
      <c r="U9" s="72"/>
      <c r="V9" s="73"/>
      <c r="W9" s="441"/>
      <c r="X9" s="65"/>
      <c r="Y9" s="65"/>
      <c r="Z9" s="65"/>
      <c r="AA9" s="65"/>
      <c r="AB9" s="65"/>
      <c r="AC9" s="65"/>
      <c r="AD9" s="65"/>
      <c r="AE9" s="65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</row>
    <row r="10" spans="1:46" ht="15.75" customHeight="1">
      <c r="A10" s="448"/>
      <c r="B10" s="30"/>
      <c r="C10" s="164"/>
      <c r="D10" s="32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449"/>
      <c r="R10" s="449"/>
      <c r="S10" s="175"/>
      <c r="T10" s="449"/>
      <c r="U10" s="449"/>
      <c r="V10" s="449"/>
      <c r="W10" s="175"/>
      <c r="X10" s="175"/>
      <c r="Y10" s="175"/>
      <c r="Z10" s="35"/>
      <c r="AA10" s="35"/>
      <c r="AB10" s="35"/>
      <c r="AC10" s="35"/>
      <c r="AD10" s="35"/>
      <c r="AE10" s="3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</row>
    <row r="11" spans="1:46" ht="22.5" customHeight="1">
      <c r="A11" s="448"/>
      <c r="B11" s="30" t="s">
        <v>125</v>
      </c>
      <c r="C11" s="164">
        <v>900</v>
      </c>
      <c r="D11" s="32"/>
      <c r="E11" s="175"/>
      <c r="F11" s="175">
        <f>G11/C11</f>
        <v>2.2222222222222223E-2</v>
      </c>
      <c r="G11" s="450">
        <v>20</v>
      </c>
      <c r="H11" s="34">
        <f>G11*P11</f>
        <v>20</v>
      </c>
      <c r="I11" s="35"/>
      <c r="J11" s="451">
        <f>K11*P11-O11</f>
        <v>-3000</v>
      </c>
      <c r="K11" s="452">
        <v>3000</v>
      </c>
      <c r="L11" s="176"/>
      <c r="M11" s="36"/>
      <c r="N11" s="37"/>
      <c r="O11" s="452">
        <v>6000</v>
      </c>
      <c r="P11" s="450">
        <v>1</v>
      </c>
      <c r="Q11" s="39"/>
      <c r="R11" s="39"/>
      <c r="S11" s="35"/>
      <c r="T11" s="426"/>
      <c r="U11" s="453">
        <f>J11*F11</f>
        <v>-66.666666666666671</v>
      </c>
      <c r="V11" s="43"/>
      <c r="W11" s="437"/>
      <c r="X11" s="35"/>
      <c r="Y11" s="35">
        <f>AA11-AB11</f>
        <v>-60000</v>
      </c>
      <c r="Z11" s="35">
        <f>K11*H11</f>
        <v>60000</v>
      </c>
      <c r="AA11" s="35">
        <f>J11*G11</f>
        <v>-60000</v>
      </c>
      <c r="AB11" s="35">
        <f>T11*C11</f>
        <v>0</v>
      </c>
      <c r="AC11" s="35">
        <f>G11*O11</f>
        <v>120000</v>
      </c>
      <c r="AD11" s="35"/>
      <c r="AE11" s="3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</row>
    <row r="12" spans="1:46" ht="22.5" customHeight="1">
      <c r="A12" s="448"/>
      <c r="B12" s="30"/>
      <c r="C12" s="31"/>
      <c r="D12" s="32"/>
      <c r="E12" s="32"/>
      <c r="F12" s="32"/>
      <c r="G12" s="162"/>
      <c r="H12" s="34"/>
      <c r="I12" s="35"/>
      <c r="J12" s="35"/>
      <c r="K12" s="36"/>
      <c r="L12" s="36"/>
      <c r="M12" s="36"/>
      <c r="N12" s="37"/>
      <c r="O12" s="36"/>
      <c r="P12" s="162"/>
      <c r="Q12" s="39"/>
      <c r="R12" s="39"/>
      <c r="S12" s="35"/>
      <c r="T12" s="426"/>
      <c r="U12" s="42"/>
      <c r="V12" s="43"/>
      <c r="W12" s="437"/>
      <c r="X12" s="35"/>
      <c r="Y12" s="35"/>
      <c r="Z12" s="35"/>
      <c r="AA12" s="35"/>
      <c r="AB12" s="35"/>
      <c r="AC12" s="35"/>
      <c r="AD12" s="35"/>
      <c r="AE12" s="3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</row>
    <row r="13" spans="1:46" ht="22.5" customHeight="1">
      <c r="A13" s="454"/>
      <c r="B13" s="454" t="s">
        <v>126</v>
      </c>
      <c r="C13" s="47"/>
      <c r="D13" s="48"/>
      <c r="E13" s="49"/>
      <c r="F13" s="49"/>
      <c r="G13" s="50"/>
      <c r="H13" s="50"/>
      <c r="I13" s="51"/>
      <c r="J13" s="51"/>
      <c r="K13" s="52"/>
      <c r="L13" s="52"/>
      <c r="M13" s="52"/>
      <c r="N13" s="53"/>
      <c r="O13" s="53"/>
      <c r="P13" s="444"/>
      <c r="Q13" s="55"/>
      <c r="R13" s="55"/>
      <c r="S13" s="51"/>
      <c r="T13" s="57"/>
      <c r="U13" s="385"/>
      <c r="V13" s="58"/>
      <c r="W13" s="455"/>
      <c r="X13" s="51"/>
      <c r="Y13" s="51"/>
      <c r="Z13" s="51"/>
      <c r="AA13" s="51"/>
      <c r="AB13" s="51"/>
      <c r="AC13" s="51"/>
      <c r="AD13" s="51"/>
      <c r="AE13" s="51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</row>
    <row r="14" spans="1:46" ht="17.25" customHeight="1">
      <c r="A14" s="446"/>
      <c r="B14" s="91" t="s">
        <v>127</v>
      </c>
      <c r="C14" s="166"/>
      <c r="D14" s="62"/>
      <c r="E14" s="63"/>
      <c r="F14" s="63"/>
      <c r="G14" s="64"/>
      <c r="H14" s="64"/>
      <c r="I14" s="65"/>
      <c r="J14" s="447"/>
      <c r="K14" s="66"/>
      <c r="L14" s="63"/>
      <c r="M14" s="63"/>
      <c r="N14" s="67"/>
      <c r="O14" s="67"/>
      <c r="P14" s="168"/>
      <c r="Q14" s="174"/>
      <c r="R14" s="174"/>
      <c r="S14" s="65"/>
      <c r="T14" s="71"/>
      <c r="U14" s="72"/>
      <c r="V14" s="73"/>
      <c r="W14" s="441"/>
      <c r="X14" s="65"/>
      <c r="Y14" s="65"/>
      <c r="Z14" s="65"/>
      <c r="AA14" s="65"/>
      <c r="AB14" s="65"/>
      <c r="AC14" s="65"/>
      <c r="AD14" s="65"/>
      <c r="AE14" s="65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</row>
    <row r="15" spans="1:46" ht="17.25" customHeight="1">
      <c r="A15" s="446"/>
      <c r="B15" s="91" t="s">
        <v>128</v>
      </c>
      <c r="C15" s="166"/>
      <c r="D15" s="62"/>
      <c r="E15" s="63"/>
      <c r="F15" s="63"/>
      <c r="G15" s="64"/>
      <c r="H15" s="64"/>
      <c r="I15" s="65"/>
      <c r="J15" s="447"/>
      <c r="K15" s="66"/>
      <c r="L15" s="63"/>
      <c r="M15" s="63"/>
      <c r="N15" s="67"/>
      <c r="O15" s="67"/>
      <c r="P15" s="168"/>
      <c r="Q15" s="174"/>
      <c r="R15" s="174"/>
      <c r="S15" s="65"/>
      <c r="T15" s="71"/>
      <c r="U15" s="72"/>
      <c r="V15" s="73"/>
      <c r="W15" s="441"/>
      <c r="X15" s="65"/>
      <c r="Y15" s="65"/>
      <c r="Z15" s="65"/>
      <c r="AA15" s="65"/>
      <c r="AB15" s="65"/>
      <c r="AC15" s="65"/>
      <c r="AD15" s="65"/>
      <c r="AE15" s="65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</row>
    <row r="16" spans="1:46" ht="15.75" customHeight="1">
      <c r="A16" s="448"/>
      <c r="B16" s="30"/>
      <c r="C16" s="31"/>
      <c r="D16" s="32"/>
      <c r="E16" s="32"/>
      <c r="F16" s="32"/>
      <c r="G16" s="162"/>
      <c r="H16" s="34"/>
      <c r="I16" s="35"/>
      <c r="J16" s="35"/>
      <c r="K16" s="36"/>
      <c r="L16" s="36"/>
      <c r="M16" s="36"/>
      <c r="N16" s="37"/>
      <c r="O16" s="36"/>
      <c r="P16" s="162"/>
      <c r="Q16" s="39"/>
      <c r="R16" s="39"/>
      <c r="S16" s="35"/>
      <c r="T16" s="426"/>
      <c r="U16" s="42"/>
      <c r="V16" s="43"/>
      <c r="W16" s="437"/>
      <c r="X16" s="35"/>
      <c r="Y16" s="35"/>
      <c r="Z16" s="35"/>
      <c r="AA16" s="35"/>
      <c r="AB16" s="35"/>
      <c r="AC16" s="35"/>
      <c r="AD16" s="35"/>
      <c r="AE16" s="3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</row>
    <row r="17" spans="1:46" ht="22.5" customHeight="1">
      <c r="A17" s="456"/>
      <c r="B17" s="30" t="s">
        <v>129</v>
      </c>
      <c r="C17" s="164">
        <v>900</v>
      </c>
      <c r="D17" s="32"/>
      <c r="E17" s="175"/>
      <c r="F17" s="175">
        <f>G17/C17</f>
        <v>2.2222222222222223E-2</v>
      </c>
      <c r="G17" s="450">
        <v>20</v>
      </c>
      <c r="H17" s="34">
        <f>G17*P17</f>
        <v>60</v>
      </c>
      <c r="I17" s="35"/>
      <c r="J17" s="452">
        <f>K17*P17-O17</f>
        <v>3000</v>
      </c>
      <c r="K17" s="452">
        <v>3000</v>
      </c>
      <c r="L17" s="176"/>
      <c r="M17" s="36"/>
      <c r="N17" s="37"/>
      <c r="O17" s="452">
        <v>6000</v>
      </c>
      <c r="P17" s="457">
        <v>3</v>
      </c>
      <c r="Q17" s="39"/>
      <c r="R17" s="39"/>
      <c r="S17" s="35"/>
      <c r="T17" s="426"/>
      <c r="U17" s="453">
        <f>J17*F17</f>
        <v>66.666666666666671</v>
      </c>
      <c r="V17" s="43"/>
      <c r="W17" s="437"/>
      <c r="X17" s="35"/>
      <c r="Y17" s="35">
        <f>AA17-AB17</f>
        <v>60000</v>
      </c>
      <c r="Z17" s="35">
        <f>K17*H17</f>
        <v>180000</v>
      </c>
      <c r="AA17" s="35">
        <f>J17*G17</f>
        <v>60000</v>
      </c>
      <c r="AB17" s="35">
        <f>T17*C17</f>
        <v>0</v>
      </c>
      <c r="AC17" s="35">
        <f>G17*O17</f>
        <v>120000</v>
      </c>
      <c r="AD17" s="35"/>
      <c r="AE17" s="3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</row>
    <row r="18" spans="1:46" ht="22.5" customHeight="1">
      <c r="A18" s="458"/>
      <c r="B18" s="459"/>
      <c r="C18" s="31"/>
      <c r="D18" s="32"/>
      <c r="E18" s="32"/>
      <c r="F18" s="32"/>
      <c r="G18" s="34"/>
      <c r="H18" s="34"/>
      <c r="I18" s="35"/>
      <c r="J18" s="35"/>
      <c r="K18" s="460"/>
      <c r="L18" s="37"/>
      <c r="M18" s="37"/>
      <c r="N18" s="37"/>
      <c r="O18" s="37"/>
      <c r="P18" s="34"/>
      <c r="Q18" s="39"/>
      <c r="R18" s="39"/>
      <c r="S18" s="35"/>
      <c r="T18" s="426"/>
      <c r="U18" s="42"/>
      <c r="V18" s="43"/>
      <c r="W18" s="437"/>
      <c r="X18" s="35"/>
      <c r="Y18" s="35"/>
      <c r="Z18" s="35"/>
      <c r="AA18" s="35"/>
      <c r="AB18" s="35"/>
      <c r="AC18" s="35"/>
      <c r="AD18" s="35"/>
      <c r="AE18" s="3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</row>
    <row r="19" spans="1:46" ht="15.75" customHeight="1">
      <c r="A19" s="458"/>
      <c r="B19" s="459"/>
      <c r="C19" s="31"/>
      <c r="D19" s="32"/>
      <c r="E19" s="32"/>
      <c r="F19" s="32"/>
      <c r="G19" s="34"/>
      <c r="H19" s="34"/>
      <c r="I19" s="35"/>
      <c r="J19" s="35"/>
      <c r="K19" s="460"/>
      <c r="L19" s="37"/>
      <c r="M19" s="37"/>
      <c r="N19" s="37"/>
      <c r="O19" s="37"/>
      <c r="P19" s="34"/>
      <c r="Q19" s="39"/>
      <c r="R19" s="39"/>
      <c r="S19" s="35"/>
      <c r="T19" s="426"/>
      <c r="U19" s="42"/>
      <c r="V19" s="43"/>
      <c r="W19" s="437"/>
      <c r="X19" s="35"/>
      <c r="Y19" s="35"/>
      <c r="Z19" s="35"/>
      <c r="AA19" s="35"/>
      <c r="AB19" s="35"/>
      <c r="AC19" s="35"/>
      <c r="AD19" s="35"/>
      <c r="AE19" s="3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</row>
    <row r="20" spans="1:46" ht="22.5" hidden="1" customHeight="1">
      <c r="A20" s="461"/>
      <c r="B20" s="461" t="s">
        <v>63</v>
      </c>
      <c r="C20" s="47"/>
      <c r="D20" s="462"/>
      <c r="E20" s="462"/>
      <c r="F20" s="462"/>
      <c r="G20" s="50"/>
      <c r="H20" s="444"/>
      <c r="I20" s="463"/>
      <c r="J20" s="463"/>
      <c r="K20" s="463"/>
      <c r="L20" s="464"/>
      <c r="M20" s="464"/>
      <c r="N20" s="463"/>
      <c r="O20" s="463"/>
      <c r="P20" s="444"/>
      <c r="Q20" s="380"/>
      <c r="R20" s="380"/>
      <c r="S20" s="463"/>
      <c r="T20" s="385"/>
      <c r="U20" s="149"/>
      <c r="V20" s="58"/>
      <c r="W20" s="465"/>
      <c r="X20" s="466"/>
      <c r="Y20" s="466">
        <f t="shared" ref="Y20:AC20" si="0">Y21-Y22</f>
        <v>0</v>
      </c>
      <c r="Z20" s="466">
        <f t="shared" si="0"/>
        <v>0</v>
      </c>
      <c r="AA20" s="466">
        <f t="shared" si="0"/>
        <v>0</v>
      </c>
      <c r="AB20" s="466">
        <f t="shared" si="0"/>
        <v>0</v>
      </c>
      <c r="AC20" s="466">
        <f t="shared" si="0"/>
        <v>0</v>
      </c>
      <c r="AD20" s="466"/>
      <c r="AE20" s="466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</row>
    <row r="21" spans="1:46" ht="22.5" hidden="1" customHeight="1" outlineLevel="1">
      <c r="A21" s="467"/>
      <c r="B21" s="417" t="s">
        <v>64</v>
      </c>
      <c r="C21" s="61"/>
      <c r="D21" s="167"/>
      <c r="E21" s="167"/>
      <c r="F21" s="167"/>
      <c r="G21" s="64"/>
      <c r="H21" s="168"/>
      <c r="I21" s="169"/>
      <c r="J21" s="169"/>
      <c r="K21" s="169"/>
      <c r="L21" s="173"/>
      <c r="M21" s="173"/>
      <c r="N21" s="169"/>
      <c r="O21" s="169"/>
      <c r="P21" s="168"/>
      <c r="Q21" s="171"/>
      <c r="R21" s="171"/>
      <c r="S21" s="169"/>
      <c r="T21" s="174"/>
      <c r="U21" s="72"/>
      <c r="V21" s="73"/>
      <c r="W21" s="428"/>
      <c r="X21" s="158"/>
      <c r="Y21" s="158">
        <f>C11*(U11-T11)</f>
        <v>-60000.000000000007</v>
      </c>
      <c r="Z21" s="418">
        <f>H11*K11</f>
        <v>60000</v>
      </c>
      <c r="AA21" s="418">
        <f>C11*U11</f>
        <v>-60000.000000000007</v>
      </c>
      <c r="AB21" s="418">
        <f>T11*C11</f>
        <v>0</v>
      </c>
      <c r="AC21" s="158">
        <f>G11*O11</f>
        <v>120000</v>
      </c>
      <c r="AD21" s="468"/>
      <c r="AE21" s="4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</row>
    <row r="22" spans="1:46" ht="22.5" hidden="1" customHeight="1" outlineLevel="1">
      <c r="A22" s="467"/>
      <c r="B22" s="419" t="s">
        <v>65</v>
      </c>
      <c r="C22" s="61"/>
      <c r="D22" s="167"/>
      <c r="E22" s="167"/>
      <c r="F22" s="167"/>
      <c r="G22" s="64"/>
      <c r="H22" s="168"/>
      <c r="I22" s="169"/>
      <c r="J22" s="169"/>
      <c r="K22" s="169"/>
      <c r="L22" s="173"/>
      <c r="M22" s="173"/>
      <c r="N22" s="169"/>
      <c r="O22" s="169"/>
      <c r="P22" s="168"/>
      <c r="Q22" s="171"/>
      <c r="R22" s="171"/>
      <c r="S22" s="169"/>
      <c r="T22" s="174"/>
      <c r="U22" s="72"/>
      <c r="V22" s="73"/>
      <c r="W22" s="428"/>
      <c r="X22" s="158"/>
      <c r="Y22" s="158">
        <f>Z11-AC11-AB11</f>
        <v>-60000</v>
      </c>
      <c r="Z22" s="418">
        <f>AA11+AC11</f>
        <v>60000</v>
      </c>
      <c r="AA22" s="418">
        <f>Z11-AC11</f>
        <v>-60000</v>
      </c>
      <c r="AB22" s="418">
        <f>AB11</f>
        <v>0</v>
      </c>
      <c r="AC22" s="158">
        <f>Z11-AA11</f>
        <v>120000</v>
      </c>
      <c r="AD22" s="158"/>
      <c r="AE22" s="4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</row>
    <row r="23" spans="1:46" ht="22.5" hidden="1" customHeight="1">
      <c r="A23" s="469"/>
      <c r="B23" s="470"/>
      <c r="C23" s="223"/>
      <c r="D23" s="37"/>
      <c r="E23" s="156"/>
      <c r="F23" s="156"/>
      <c r="G23" s="429"/>
      <c r="H23" s="34"/>
      <c r="I23" s="181"/>
      <c r="J23" s="181"/>
      <c r="K23" s="155"/>
      <c r="L23" s="165"/>
      <c r="M23" s="165"/>
      <c r="N23" s="37"/>
      <c r="O23" s="37"/>
      <c r="P23" s="471"/>
      <c r="Q23" s="39"/>
      <c r="R23" s="39"/>
      <c r="S23" s="181"/>
      <c r="T23" s="39"/>
      <c r="U23" s="129"/>
      <c r="V23" s="43"/>
      <c r="W23" s="428"/>
      <c r="X23" s="181"/>
      <c r="Y23" s="181"/>
      <c r="Z23" s="181"/>
      <c r="AA23" s="181"/>
      <c r="AB23" s="181"/>
      <c r="AC23" s="181"/>
      <c r="AD23" s="181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</row>
    <row r="24" spans="1:46" ht="22.5" customHeight="1">
      <c r="A24" s="469"/>
      <c r="B24" s="470"/>
      <c r="C24" s="196"/>
      <c r="D24" s="37"/>
      <c r="E24" s="156"/>
      <c r="F24" s="156"/>
      <c r="G24" s="429"/>
      <c r="H24" s="429"/>
      <c r="I24" s="181"/>
      <c r="J24" s="181"/>
      <c r="K24" s="155"/>
      <c r="L24" s="165"/>
      <c r="M24" s="165"/>
      <c r="N24" s="37"/>
      <c r="O24" s="37"/>
      <c r="P24" s="471"/>
      <c r="Q24" s="39"/>
      <c r="R24" s="39"/>
      <c r="S24" s="181"/>
      <c r="T24" s="118"/>
      <c r="U24" s="129"/>
      <c r="V24" s="192"/>
      <c r="W24" s="428"/>
      <c r="X24" s="181"/>
      <c r="Y24" s="181"/>
      <c r="Z24" s="181"/>
      <c r="AA24" s="181"/>
      <c r="AB24" s="181"/>
      <c r="AC24" s="181"/>
      <c r="AD24" s="3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</row>
    <row r="25" spans="1:46" ht="22.5" customHeight="1">
      <c r="A25" s="469"/>
      <c r="B25" s="470"/>
      <c r="C25" s="196"/>
      <c r="D25" s="37"/>
      <c r="E25" s="156"/>
      <c r="F25" s="156"/>
      <c r="G25" s="429"/>
      <c r="H25" s="429"/>
      <c r="I25" s="181"/>
      <c r="J25" s="181"/>
      <c r="K25" s="155"/>
      <c r="L25" s="165"/>
      <c r="M25" s="165"/>
      <c r="N25" s="37"/>
      <c r="O25" s="37"/>
      <c r="P25" s="471"/>
      <c r="Q25" s="39"/>
      <c r="R25" s="39"/>
      <c r="S25" s="181"/>
      <c r="T25" s="118"/>
      <c r="U25" s="129"/>
      <c r="V25" s="192"/>
      <c r="W25" s="428"/>
      <c r="X25" s="181"/>
      <c r="Y25" s="181"/>
      <c r="Z25" s="181"/>
      <c r="AA25" s="181"/>
      <c r="AB25" s="181"/>
      <c r="AC25" s="181"/>
      <c r="AD25" s="3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</row>
    <row r="26" spans="1:46" ht="22.5" customHeight="1">
      <c r="A26" s="470"/>
      <c r="B26" s="470"/>
      <c r="C26" s="196"/>
      <c r="D26" s="37"/>
      <c r="E26" s="165"/>
      <c r="F26" s="165"/>
      <c r="G26" s="429"/>
      <c r="H26" s="429"/>
      <c r="I26" s="181"/>
      <c r="J26" s="181"/>
      <c r="K26" s="155"/>
      <c r="L26" s="165"/>
      <c r="M26" s="165"/>
      <c r="N26" s="37"/>
      <c r="O26" s="37"/>
      <c r="P26" s="471"/>
      <c r="Q26" s="39"/>
      <c r="R26" s="39"/>
      <c r="S26" s="181"/>
      <c r="T26" s="118"/>
      <c r="U26" s="129"/>
      <c r="V26" s="192"/>
      <c r="W26" s="428"/>
      <c r="X26" s="181"/>
      <c r="Y26" s="181"/>
      <c r="Z26" s="181"/>
      <c r="AA26" s="181"/>
      <c r="AB26" s="181"/>
      <c r="AC26" s="181"/>
      <c r="AD26" s="3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</row>
    <row r="27" spans="1:46" ht="22.5" customHeight="1">
      <c r="A27" s="470"/>
      <c r="B27" s="470"/>
      <c r="C27" s="196"/>
      <c r="D27" s="37"/>
      <c r="E27" s="165"/>
      <c r="F27" s="165"/>
      <c r="G27" s="429"/>
      <c r="H27" s="429"/>
      <c r="I27" s="181"/>
      <c r="J27" s="181"/>
      <c r="K27" s="155"/>
      <c r="L27" s="165"/>
      <c r="M27" s="165"/>
      <c r="N27" s="37"/>
      <c r="O27" s="37"/>
      <c r="P27" s="471"/>
      <c r="Q27" s="39"/>
      <c r="R27" s="39"/>
      <c r="S27" s="181"/>
      <c r="T27" s="118"/>
      <c r="U27" s="129"/>
      <c r="V27" s="192"/>
      <c r="W27" s="428"/>
      <c r="X27" s="181"/>
      <c r="Y27" s="181"/>
      <c r="Z27" s="181"/>
      <c r="AA27" s="181"/>
      <c r="AB27" s="181"/>
      <c r="AC27" s="181"/>
      <c r="AD27" s="3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</row>
    <row r="28" spans="1:46" ht="16.5" customHeight="1">
      <c r="A28" s="470"/>
      <c r="B28" s="470"/>
      <c r="C28" s="196"/>
      <c r="D28" s="37"/>
      <c r="E28" s="165"/>
      <c r="F28" s="165"/>
      <c r="G28" s="429"/>
      <c r="H28" s="429"/>
      <c r="I28" s="181"/>
      <c r="J28" s="181"/>
      <c r="K28" s="155"/>
      <c r="L28" s="165"/>
      <c r="M28" s="165"/>
      <c r="N28" s="37"/>
      <c r="O28" s="37"/>
      <c r="P28" s="471"/>
      <c r="Q28" s="39"/>
      <c r="R28" s="39"/>
      <c r="S28" s="181"/>
      <c r="T28" s="118"/>
      <c r="U28" s="129"/>
      <c r="V28" s="192"/>
      <c r="W28" s="428"/>
      <c r="X28" s="181"/>
      <c r="Y28" s="181"/>
      <c r="Z28" s="181"/>
      <c r="AA28" s="181"/>
      <c r="AB28" s="181"/>
      <c r="AC28" s="181"/>
      <c r="AD28" s="3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</row>
    <row r="29" spans="1:46" ht="16.5" customHeight="1">
      <c r="A29" s="470"/>
      <c r="B29" s="470"/>
      <c r="C29" s="196"/>
      <c r="D29" s="37"/>
      <c r="E29" s="165"/>
      <c r="F29" s="165"/>
      <c r="G29" s="429"/>
      <c r="H29" s="429"/>
      <c r="I29" s="181"/>
      <c r="J29" s="181"/>
      <c r="K29" s="155"/>
      <c r="L29" s="165"/>
      <c r="M29" s="165"/>
      <c r="N29" s="37"/>
      <c r="O29" s="37"/>
      <c r="P29" s="471"/>
      <c r="Q29" s="39"/>
      <c r="R29" s="39"/>
      <c r="S29" s="181"/>
      <c r="T29" s="118"/>
      <c r="U29" s="129"/>
      <c r="V29" s="192"/>
      <c r="W29" s="428"/>
      <c r="X29" s="181"/>
      <c r="Y29" s="181"/>
      <c r="Z29" s="181"/>
      <c r="AA29" s="181"/>
      <c r="AB29" s="181"/>
      <c r="AC29" s="181"/>
      <c r="AD29" s="3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</row>
    <row r="30" spans="1:46" ht="16.5" customHeight="1">
      <c r="A30" s="470"/>
      <c r="B30" s="470"/>
      <c r="C30" s="196"/>
      <c r="D30" s="37"/>
      <c r="E30" s="165"/>
      <c r="F30" s="165"/>
      <c r="G30" s="429"/>
      <c r="H30" s="429"/>
      <c r="I30" s="181"/>
      <c r="J30" s="181"/>
      <c r="K30" s="155"/>
      <c r="L30" s="165"/>
      <c r="M30" s="165"/>
      <c r="N30" s="37"/>
      <c r="O30" s="37"/>
      <c r="P30" s="471"/>
      <c r="Q30" s="39"/>
      <c r="R30" s="39"/>
      <c r="S30" s="181"/>
      <c r="T30" s="118"/>
      <c r="U30" s="129"/>
      <c r="V30" s="192"/>
      <c r="W30" s="428"/>
      <c r="X30" s="181"/>
      <c r="Y30" s="181"/>
      <c r="Z30" s="181"/>
      <c r="AA30" s="181"/>
      <c r="AB30" s="181"/>
      <c r="AC30" s="181"/>
      <c r="AD30" s="3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</row>
    <row r="31" spans="1:46" ht="16.5" customHeight="1">
      <c r="A31" s="470"/>
      <c r="B31" s="470"/>
      <c r="C31" s="196"/>
      <c r="D31" s="37"/>
      <c r="E31" s="165"/>
      <c r="F31" s="165"/>
      <c r="G31" s="429"/>
      <c r="H31" s="429"/>
      <c r="I31" s="181"/>
      <c r="J31" s="181"/>
      <c r="K31" s="155"/>
      <c r="L31" s="165"/>
      <c r="M31" s="165"/>
      <c r="N31" s="37"/>
      <c r="O31" s="37"/>
      <c r="P31" s="471"/>
      <c r="Q31" s="39"/>
      <c r="R31" s="39"/>
      <c r="S31" s="181"/>
      <c r="T31" s="118"/>
      <c r="U31" s="129"/>
      <c r="V31" s="192"/>
      <c r="W31" s="428"/>
      <c r="X31" s="181"/>
      <c r="Y31" s="181"/>
      <c r="Z31" s="181"/>
      <c r="AA31" s="181"/>
      <c r="AB31" s="181"/>
      <c r="AC31" s="181"/>
      <c r="AD31" s="3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</row>
    <row r="32" spans="1:46" ht="16.5" customHeight="1">
      <c r="A32" s="470"/>
      <c r="B32" s="470"/>
      <c r="C32" s="196"/>
      <c r="D32" s="37"/>
      <c r="E32" s="156"/>
      <c r="F32" s="156"/>
      <c r="G32" s="429"/>
      <c r="H32" s="429"/>
      <c r="I32" s="181"/>
      <c r="J32" s="181"/>
      <c r="K32" s="155"/>
      <c r="L32" s="165"/>
      <c r="M32" s="165"/>
      <c r="N32" s="37"/>
      <c r="O32" s="37"/>
      <c r="P32" s="471"/>
      <c r="Q32" s="39"/>
      <c r="R32" s="39"/>
      <c r="S32" s="181"/>
      <c r="T32" s="202"/>
      <c r="U32" s="129"/>
      <c r="V32" s="43"/>
      <c r="W32" s="428"/>
      <c r="X32" s="35"/>
      <c r="Y32" s="35"/>
      <c r="Z32" s="158"/>
      <c r="AA32" s="158"/>
      <c r="AB32" s="158"/>
      <c r="AC32" s="158"/>
      <c r="AD32" s="3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</row>
    <row r="33" spans="1:46" ht="16.5" customHeight="1">
      <c r="A33" s="470"/>
      <c r="B33" s="470"/>
      <c r="C33" s="223"/>
      <c r="D33" s="37"/>
      <c r="E33" s="156"/>
      <c r="F33" s="156"/>
      <c r="G33" s="429"/>
      <c r="H33" s="429"/>
      <c r="I33" s="181"/>
      <c r="J33" s="181"/>
      <c r="K33" s="155"/>
      <c r="L33" s="165"/>
      <c r="M33" s="165"/>
      <c r="N33" s="37"/>
      <c r="O33" s="37"/>
      <c r="P33" s="471"/>
      <c r="Q33" s="39"/>
      <c r="R33" s="39"/>
      <c r="S33" s="181"/>
      <c r="T33" s="117"/>
      <c r="U33" s="129"/>
      <c r="V33" s="192"/>
      <c r="W33" s="428"/>
      <c r="X33" s="181"/>
      <c r="Y33" s="181"/>
      <c r="Z33" s="181"/>
      <c r="AA33" s="181"/>
      <c r="AB33" s="181"/>
      <c r="AC33" s="181"/>
      <c r="AD33" s="181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</row>
    <row r="34" spans="1:46" ht="16.5" customHeight="1">
      <c r="A34" s="459"/>
      <c r="B34" s="459"/>
      <c r="C34" s="223"/>
      <c r="D34" s="37"/>
      <c r="E34" s="156"/>
      <c r="F34" s="156"/>
      <c r="G34" s="429"/>
      <c r="H34" s="429"/>
      <c r="I34" s="181"/>
      <c r="J34" s="181"/>
      <c r="K34" s="155"/>
      <c r="L34" s="165"/>
      <c r="M34" s="165"/>
      <c r="N34" s="37"/>
      <c r="O34" s="37"/>
      <c r="P34" s="471"/>
      <c r="Q34" s="39"/>
      <c r="R34" s="39"/>
      <c r="S34" s="181"/>
      <c r="T34" s="117"/>
      <c r="U34" s="129"/>
      <c r="V34" s="42"/>
      <c r="W34" s="428"/>
      <c r="X34" s="181"/>
      <c r="Y34" s="181"/>
      <c r="Z34" s="181"/>
      <c r="AA34" s="181"/>
      <c r="AB34" s="181"/>
      <c r="AC34" s="181"/>
      <c r="AD34" s="181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</row>
    <row r="35" spans="1:46" ht="16.5" customHeight="1">
      <c r="A35" s="470"/>
      <c r="B35" s="470"/>
      <c r="C35" s="223"/>
      <c r="D35" s="37"/>
      <c r="E35" s="165"/>
      <c r="F35" s="165"/>
      <c r="G35" s="429"/>
      <c r="H35" s="429"/>
      <c r="I35" s="181"/>
      <c r="J35" s="181"/>
      <c r="K35" s="155"/>
      <c r="L35" s="165"/>
      <c r="M35" s="165"/>
      <c r="N35" s="37"/>
      <c r="O35" s="37"/>
      <c r="P35" s="471"/>
      <c r="Q35" s="39"/>
      <c r="R35" s="39"/>
      <c r="S35" s="181"/>
      <c r="T35" s="117"/>
      <c r="U35" s="129"/>
      <c r="V35" s="42"/>
      <c r="W35" s="428"/>
      <c r="X35" s="181"/>
      <c r="Y35" s="181"/>
      <c r="Z35" s="181"/>
      <c r="AA35" s="181"/>
      <c r="AB35" s="181"/>
      <c r="AC35" s="181"/>
      <c r="AD35" s="181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</row>
    <row r="36" spans="1:46" ht="16.5" customHeight="1">
      <c r="A36" s="470"/>
      <c r="B36" s="470"/>
      <c r="C36" s="196"/>
      <c r="D36" s="37"/>
      <c r="E36" s="165"/>
      <c r="F36" s="165"/>
      <c r="G36" s="429"/>
      <c r="H36" s="34"/>
      <c r="I36" s="181"/>
      <c r="J36" s="181"/>
      <c r="K36" s="155"/>
      <c r="L36" s="155"/>
      <c r="M36" s="155"/>
      <c r="N36" s="37"/>
      <c r="O36" s="37"/>
      <c r="P36" s="471"/>
      <c r="Q36" s="39"/>
      <c r="R36" s="39"/>
      <c r="S36" s="181"/>
      <c r="T36" s="202"/>
      <c r="U36" s="129"/>
      <c r="V36" s="150"/>
      <c r="W36" s="428"/>
      <c r="X36" s="181"/>
      <c r="Y36" s="181"/>
      <c r="Z36" s="158"/>
      <c r="AA36" s="158"/>
      <c r="AB36" s="158"/>
      <c r="AC36" s="158"/>
      <c r="AD36" s="3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</row>
    <row r="37" spans="1:46" ht="16.5" customHeight="1">
      <c r="A37" s="470"/>
      <c r="B37" s="470"/>
      <c r="C37" s="196"/>
      <c r="D37" s="37"/>
      <c r="E37" s="165"/>
      <c r="F37" s="165"/>
      <c r="G37" s="429"/>
      <c r="H37" s="34"/>
      <c r="I37" s="181"/>
      <c r="J37" s="181"/>
      <c r="K37" s="155"/>
      <c r="L37" s="165"/>
      <c r="M37" s="165"/>
      <c r="N37" s="37"/>
      <c r="O37" s="37"/>
      <c r="P37" s="471"/>
      <c r="Q37" s="39"/>
      <c r="R37" s="39"/>
      <c r="S37" s="181"/>
      <c r="T37" s="202"/>
      <c r="U37" s="129"/>
      <c r="V37" s="43"/>
      <c r="W37" s="428"/>
      <c r="X37" s="181"/>
      <c r="Y37" s="181"/>
      <c r="Z37" s="158"/>
      <c r="AA37" s="158"/>
      <c r="AB37" s="158"/>
      <c r="AC37" s="158"/>
      <c r="AD37" s="3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</row>
    <row r="38" spans="1:46" ht="16.5" customHeight="1">
      <c r="A38" s="470"/>
      <c r="B38" s="470"/>
      <c r="C38" s="196"/>
      <c r="D38" s="37"/>
      <c r="E38" s="165"/>
      <c r="F38" s="165"/>
      <c r="G38" s="429"/>
      <c r="H38" s="34"/>
      <c r="I38" s="181"/>
      <c r="J38" s="181"/>
      <c r="K38" s="155"/>
      <c r="L38" s="165"/>
      <c r="M38" s="165"/>
      <c r="N38" s="37"/>
      <c r="O38" s="37"/>
      <c r="P38" s="471"/>
      <c r="Q38" s="39"/>
      <c r="R38" s="39"/>
      <c r="S38" s="181"/>
      <c r="T38" s="202"/>
      <c r="U38" s="129"/>
      <c r="V38" s="43"/>
      <c r="W38" s="428"/>
      <c r="X38" s="181"/>
      <c r="Y38" s="181"/>
      <c r="Z38" s="158"/>
      <c r="AA38" s="158"/>
      <c r="AB38" s="158"/>
      <c r="AC38" s="158"/>
      <c r="AD38" s="3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</row>
    <row r="39" spans="1:46" ht="16.5" customHeight="1">
      <c r="A39" s="470"/>
      <c r="B39" s="470"/>
      <c r="C39" s="31"/>
      <c r="D39" s="161"/>
      <c r="E39" s="161"/>
      <c r="F39" s="161"/>
      <c r="G39" s="34"/>
      <c r="H39" s="162"/>
      <c r="I39" s="196"/>
      <c r="J39" s="196"/>
      <c r="K39" s="155"/>
      <c r="L39" s="156"/>
      <c r="M39" s="156"/>
      <c r="N39" s="155"/>
      <c r="O39" s="155"/>
      <c r="P39" s="162"/>
      <c r="Q39" s="163"/>
      <c r="R39" s="163"/>
      <c r="S39" s="196"/>
      <c r="T39" s="117"/>
      <c r="U39" s="129"/>
      <c r="V39" s="43"/>
      <c r="W39" s="379"/>
      <c r="X39" s="196"/>
      <c r="Y39" s="196"/>
      <c r="Z39" s="158"/>
      <c r="AA39" s="158"/>
      <c r="AB39" s="158"/>
      <c r="AC39" s="158"/>
      <c r="AD39" s="3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</row>
    <row r="40" spans="1:46" ht="16.5" customHeight="1">
      <c r="A40" s="470"/>
      <c r="B40" s="470"/>
      <c r="C40" s="31"/>
      <c r="D40" s="161"/>
      <c r="E40" s="161"/>
      <c r="F40" s="161"/>
      <c r="G40" s="34"/>
      <c r="H40" s="162"/>
      <c r="I40" s="155"/>
      <c r="J40" s="155"/>
      <c r="K40" s="155"/>
      <c r="L40" s="156"/>
      <c r="M40" s="156"/>
      <c r="N40" s="155"/>
      <c r="O40" s="155"/>
      <c r="P40" s="162"/>
      <c r="Q40" s="163"/>
      <c r="R40" s="163"/>
      <c r="S40" s="155"/>
      <c r="T40" s="117"/>
      <c r="U40" s="129"/>
      <c r="V40" s="43"/>
      <c r="W40" s="428"/>
      <c r="X40" s="35"/>
      <c r="Y40" s="35"/>
      <c r="Z40" s="158"/>
      <c r="AA40" s="158"/>
      <c r="AB40" s="158"/>
      <c r="AC40" s="158"/>
      <c r="AD40" s="3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</row>
    <row r="41" spans="1:46" ht="16.5" customHeight="1">
      <c r="A41" s="160"/>
      <c r="B41" s="160"/>
      <c r="C41" s="223"/>
      <c r="D41" s="37"/>
      <c r="E41" s="156"/>
      <c r="F41" s="156"/>
      <c r="G41" s="429"/>
      <c r="H41" s="429"/>
      <c r="I41" s="181"/>
      <c r="J41" s="181"/>
      <c r="K41" s="155"/>
      <c r="L41" s="165"/>
      <c r="M41" s="165"/>
      <c r="N41" s="37"/>
      <c r="O41" s="37"/>
      <c r="P41" s="471"/>
      <c r="Q41" s="39"/>
      <c r="R41" s="39"/>
      <c r="S41" s="181"/>
      <c r="T41" s="117"/>
      <c r="U41" s="129"/>
      <c r="V41" s="192"/>
      <c r="W41" s="428"/>
      <c r="X41" s="181"/>
      <c r="Y41" s="181"/>
      <c r="Z41" s="181"/>
      <c r="AA41" s="181"/>
      <c r="AB41" s="181"/>
      <c r="AC41" s="181"/>
      <c r="AD41" s="181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</row>
    <row r="42" spans="1:46" ht="16.5" customHeight="1">
      <c r="A42" s="160"/>
      <c r="B42" s="160"/>
      <c r="C42" s="31"/>
      <c r="D42" s="161"/>
      <c r="E42" s="161"/>
      <c r="F42" s="161"/>
      <c r="G42" s="34"/>
      <c r="H42" s="162"/>
      <c r="I42" s="155"/>
      <c r="J42" s="155"/>
      <c r="K42" s="155"/>
      <c r="L42" s="156"/>
      <c r="M42" s="156"/>
      <c r="N42" s="155"/>
      <c r="O42" s="155"/>
      <c r="P42" s="162"/>
      <c r="Q42" s="163"/>
      <c r="R42" s="163"/>
      <c r="S42" s="155"/>
      <c r="T42" s="117"/>
      <c r="U42" s="129"/>
      <c r="V42" s="43"/>
      <c r="W42" s="428"/>
      <c r="X42" s="35"/>
      <c r="Y42" s="35"/>
      <c r="Z42" s="158"/>
      <c r="AA42" s="158"/>
      <c r="AB42" s="158"/>
      <c r="AC42" s="158"/>
      <c r="AD42" s="3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</row>
    <row r="43" spans="1:46" ht="16.5" customHeight="1">
      <c r="A43" s="160"/>
      <c r="B43" s="160"/>
      <c r="C43" s="164"/>
      <c r="D43" s="161"/>
      <c r="E43" s="176"/>
      <c r="F43" s="176"/>
      <c r="G43" s="34"/>
      <c r="H43" s="162"/>
      <c r="I43" s="155"/>
      <c r="J43" s="155"/>
      <c r="K43" s="155"/>
      <c r="L43" s="165"/>
      <c r="M43" s="165"/>
      <c r="N43" s="155"/>
      <c r="O43" s="155"/>
      <c r="P43" s="162"/>
      <c r="Q43" s="163"/>
      <c r="R43" s="163"/>
      <c r="S43" s="155"/>
      <c r="T43" s="118"/>
      <c r="U43" s="129"/>
      <c r="V43" s="43"/>
      <c r="W43" s="428"/>
      <c r="X43" s="35"/>
      <c r="Y43" s="35"/>
      <c r="Z43" s="158"/>
      <c r="AA43" s="158"/>
      <c r="AB43" s="158"/>
      <c r="AC43" s="158"/>
      <c r="AD43" s="3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</row>
    <row r="44" spans="1:46" ht="16.5" customHeight="1">
      <c r="A44" s="160"/>
      <c r="B44" s="160"/>
      <c r="C44" s="31"/>
      <c r="D44" s="161"/>
      <c r="E44" s="161"/>
      <c r="F44" s="161"/>
      <c r="G44" s="34"/>
      <c r="H44" s="162"/>
      <c r="I44" s="155"/>
      <c r="J44" s="155"/>
      <c r="K44" s="155"/>
      <c r="L44" s="156"/>
      <c r="M44" s="156"/>
      <c r="N44" s="155"/>
      <c r="O44" s="155"/>
      <c r="P44" s="162"/>
      <c r="Q44" s="163"/>
      <c r="R44" s="163"/>
      <c r="S44" s="155"/>
      <c r="T44" s="117"/>
      <c r="U44" s="129"/>
      <c r="V44" s="43"/>
      <c r="W44" s="428"/>
      <c r="X44" s="35"/>
      <c r="Y44" s="35"/>
      <c r="Z44" s="158"/>
      <c r="AA44" s="158"/>
      <c r="AB44" s="158"/>
      <c r="AC44" s="158"/>
      <c r="AD44" s="3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</row>
    <row r="45" spans="1:46" ht="16.5" customHeight="1">
      <c r="A45" s="160"/>
      <c r="B45" s="160"/>
      <c r="C45" s="164"/>
      <c r="D45" s="161"/>
      <c r="E45" s="33"/>
      <c r="F45" s="33"/>
      <c r="G45" s="31"/>
      <c r="H45" s="162"/>
      <c r="I45" s="155"/>
      <c r="J45" s="155"/>
      <c r="K45" s="155"/>
      <c r="L45" s="165"/>
      <c r="M45" s="165"/>
      <c r="N45" s="155"/>
      <c r="O45" s="155"/>
      <c r="P45" s="162"/>
      <c r="Q45" s="163"/>
      <c r="R45" s="163"/>
      <c r="S45" s="155"/>
      <c r="T45" s="118"/>
      <c r="U45" s="117"/>
      <c r="V45" s="43"/>
      <c r="W45" s="428"/>
      <c r="X45" s="35"/>
      <c r="Y45" s="35"/>
      <c r="Z45" s="158"/>
      <c r="AA45" s="158"/>
      <c r="AB45" s="158"/>
      <c r="AC45" s="158"/>
      <c r="AD45" s="3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</row>
    <row r="46" spans="1:46" ht="16.5" customHeight="1">
      <c r="A46" s="160"/>
      <c r="B46" s="160"/>
      <c r="C46" s="31"/>
      <c r="D46" s="161"/>
      <c r="E46" s="161"/>
      <c r="F46" s="161"/>
      <c r="G46" s="31"/>
      <c r="H46" s="162"/>
      <c r="I46" s="155"/>
      <c r="J46" s="155"/>
      <c r="K46" s="155"/>
      <c r="L46" s="156"/>
      <c r="M46" s="156"/>
      <c r="N46" s="155"/>
      <c r="O46" s="155"/>
      <c r="P46" s="162"/>
      <c r="Q46" s="163"/>
      <c r="R46" s="163"/>
      <c r="S46" s="155"/>
      <c r="T46" s="117"/>
      <c r="U46" s="129"/>
      <c r="V46" s="43"/>
      <c r="W46" s="428"/>
      <c r="X46" s="31"/>
      <c r="Y46" s="31"/>
      <c r="Z46" s="158"/>
      <c r="AA46" s="158"/>
      <c r="AB46" s="158"/>
      <c r="AC46" s="158"/>
      <c r="AD46" s="3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</row>
    <row r="47" spans="1:46" ht="16.5" customHeight="1">
      <c r="A47" s="160"/>
      <c r="B47" s="160"/>
      <c r="C47" s="164"/>
      <c r="D47" s="161"/>
      <c r="E47" s="175"/>
      <c r="F47" s="175"/>
      <c r="G47" s="31"/>
      <c r="H47" s="162"/>
      <c r="I47" s="155"/>
      <c r="J47" s="155"/>
      <c r="K47" s="155"/>
      <c r="L47" s="165"/>
      <c r="M47" s="165"/>
      <c r="N47" s="155"/>
      <c r="O47" s="155"/>
      <c r="P47" s="162"/>
      <c r="Q47" s="163"/>
      <c r="R47" s="163"/>
      <c r="S47" s="155"/>
      <c r="T47" s="118"/>
      <c r="U47" s="117"/>
      <c r="V47" s="43"/>
      <c r="W47" s="428"/>
      <c r="X47" s="35"/>
      <c r="Y47" s="35"/>
      <c r="Z47" s="158"/>
      <c r="AA47" s="158"/>
      <c r="AB47" s="158"/>
      <c r="AC47" s="158"/>
      <c r="AD47" s="3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</row>
    <row r="48" spans="1:46" ht="16.5" customHeight="1">
      <c r="A48" s="160"/>
      <c r="B48" s="160"/>
      <c r="C48" s="31"/>
      <c r="D48" s="161"/>
      <c r="E48" s="161"/>
      <c r="F48" s="161"/>
      <c r="G48" s="164"/>
      <c r="H48" s="162"/>
      <c r="I48" s="155"/>
      <c r="J48" s="155"/>
      <c r="K48" s="155"/>
      <c r="L48" s="156"/>
      <c r="M48" s="156"/>
      <c r="N48" s="155"/>
      <c r="O48" s="155"/>
      <c r="P48" s="162"/>
      <c r="Q48" s="163"/>
      <c r="R48" s="163"/>
      <c r="S48" s="155"/>
      <c r="T48" s="117"/>
      <c r="U48" s="129"/>
      <c r="V48" s="43"/>
      <c r="W48" s="428"/>
      <c r="X48" s="35"/>
      <c r="Y48" s="35"/>
      <c r="Z48" s="158"/>
      <c r="AA48" s="158"/>
      <c r="AB48" s="158"/>
      <c r="AC48" s="158"/>
      <c r="AD48" s="3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</row>
    <row r="49" spans="1:46" ht="16.5" customHeight="1">
      <c r="A49" s="160"/>
      <c r="B49" s="160"/>
      <c r="C49" s="31"/>
      <c r="D49" s="161"/>
      <c r="E49" s="161"/>
      <c r="F49" s="161"/>
      <c r="G49" s="34"/>
      <c r="H49" s="162"/>
      <c r="I49" s="155"/>
      <c r="J49" s="155"/>
      <c r="K49" s="155"/>
      <c r="L49" s="156"/>
      <c r="M49" s="156"/>
      <c r="N49" s="155"/>
      <c r="O49" s="155"/>
      <c r="P49" s="162"/>
      <c r="Q49" s="163"/>
      <c r="R49" s="163"/>
      <c r="S49" s="155"/>
      <c r="T49" s="117"/>
      <c r="U49" s="129"/>
      <c r="V49" s="43"/>
      <c r="W49" s="428"/>
      <c r="X49" s="35"/>
      <c r="Y49" s="35"/>
      <c r="Z49" s="158"/>
      <c r="AA49" s="158"/>
      <c r="AB49" s="158"/>
      <c r="AC49" s="158"/>
      <c r="AD49" s="3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</row>
    <row r="50" spans="1:46" ht="16.5" customHeight="1">
      <c r="A50" s="160"/>
      <c r="B50" s="160"/>
      <c r="C50" s="164"/>
      <c r="D50" s="161"/>
      <c r="E50" s="176"/>
      <c r="F50" s="176"/>
      <c r="G50" s="34"/>
      <c r="H50" s="162"/>
      <c r="I50" s="155"/>
      <c r="J50" s="155"/>
      <c r="K50" s="155"/>
      <c r="L50" s="165"/>
      <c r="M50" s="165"/>
      <c r="N50" s="155"/>
      <c r="O50" s="155"/>
      <c r="P50" s="162"/>
      <c r="Q50" s="163"/>
      <c r="R50" s="163"/>
      <c r="S50" s="155"/>
      <c r="T50" s="118"/>
      <c r="U50" s="117"/>
      <c r="V50" s="43"/>
      <c r="W50" s="428"/>
      <c r="X50" s="35"/>
      <c r="Y50" s="35"/>
      <c r="Z50" s="158"/>
      <c r="AA50" s="158"/>
      <c r="AB50" s="158"/>
      <c r="AC50" s="158"/>
      <c r="AD50" s="3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</row>
    <row r="51" spans="1:46" ht="16.5" customHeight="1">
      <c r="A51" s="160"/>
      <c r="B51" s="160"/>
      <c r="C51" s="31"/>
      <c r="D51" s="161"/>
      <c r="E51" s="161"/>
      <c r="F51" s="161"/>
      <c r="G51" s="34"/>
      <c r="H51" s="162"/>
      <c r="I51" s="155"/>
      <c r="J51" s="155"/>
      <c r="K51" s="155"/>
      <c r="L51" s="156"/>
      <c r="M51" s="156"/>
      <c r="N51" s="155"/>
      <c r="O51" s="155"/>
      <c r="P51" s="162"/>
      <c r="Q51" s="163"/>
      <c r="R51" s="163"/>
      <c r="S51" s="155"/>
      <c r="T51" s="117"/>
      <c r="U51" s="129"/>
      <c r="V51" s="43"/>
      <c r="W51" s="428"/>
      <c r="X51" s="35"/>
      <c r="Y51" s="35"/>
      <c r="Z51" s="158"/>
      <c r="AA51" s="158"/>
      <c r="AB51" s="158"/>
      <c r="AC51" s="158"/>
      <c r="AD51" s="3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</row>
    <row r="52" spans="1:46" ht="16.5" customHeight="1">
      <c r="A52" s="160"/>
      <c r="B52" s="160"/>
      <c r="C52" s="31"/>
      <c r="D52" s="161"/>
      <c r="E52" s="161"/>
      <c r="F52" s="161"/>
      <c r="G52" s="34"/>
      <c r="H52" s="162"/>
      <c r="I52" s="155"/>
      <c r="J52" s="155"/>
      <c r="K52" s="155"/>
      <c r="L52" s="156"/>
      <c r="M52" s="156"/>
      <c r="N52" s="155"/>
      <c r="O52" s="155"/>
      <c r="P52" s="162"/>
      <c r="Q52" s="163"/>
      <c r="R52" s="163"/>
      <c r="S52" s="155"/>
      <c r="T52" s="117"/>
      <c r="U52" s="129"/>
      <c r="V52" s="43"/>
      <c r="W52" s="428"/>
      <c r="X52" s="35"/>
      <c r="Y52" s="35"/>
      <c r="Z52" s="158"/>
      <c r="AA52" s="158"/>
      <c r="AB52" s="158"/>
      <c r="AC52" s="158"/>
      <c r="AD52" s="3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</row>
    <row r="53" spans="1:46" ht="16.5" customHeight="1">
      <c r="A53" s="160"/>
      <c r="B53" s="160"/>
      <c r="C53" s="31"/>
      <c r="D53" s="161"/>
      <c r="E53" s="161"/>
      <c r="F53" s="161"/>
      <c r="G53" s="34"/>
      <c r="H53" s="162"/>
      <c r="I53" s="155"/>
      <c r="J53" s="155"/>
      <c r="K53" s="155"/>
      <c r="L53" s="156"/>
      <c r="M53" s="156"/>
      <c r="N53" s="155"/>
      <c r="O53" s="155"/>
      <c r="P53" s="162"/>
      <c r="Q53" s="163"/>
      <c r="R53" s="163"/>
      <c r="S53" s="155"/>
      <c r="T53" s="117"/>
      <c r="U53" s="129"/>
      <c r="V53" s="43"/>
      <c r="W53" s="428"/>
      <c r="X53" s="35"/>
      <c r="Y53" s="35"/>
      <c r="Z53" s="158"/>
      <c r="AA53" s="158"/>
      <c r="AB53" s="158"/>
      <c r="AC53" s="158"/>
      <c r="AD53" s="3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</row>
    <row r="54" spans="1:46" ht="16.5" customHeight="1">
      <c r="A54" s="160"/>
      <c r="B54" s="160"/>
      <c r="C54" s="31"/>
      <c r="D54" s="161"/>
      <c r="E54" s="161"/>
      <c r="F54" s="161"/>
      <c r="G54" s="34"/>
      <c r="H54" s="162"/>
      <c r="I54" s="155"/>
      <c r="J54" s="155"/>
      <c r="K54" s="155"/>
      <c r="L54" s="156"/>
      <c r="M54" s="156"/>
      <c r="N54" s="155"/>
      <c r="O54" s="155"/>
      <c r="P54" s="162"/>
      <c r="Q54" s="163"/>
      <c r="R54" s="163"/>
      <c r="S54" s="155"/>
      <c r="T54" s="117"/>
      <c r="U54" s="129"/>
      <c r="V54" s="43"/>
      <c r="W54" s="428"/>
      <c r="X54" s="35"/>
      <c r="Y54" s="35"/>
      <c r="Z54" s="158"/>
      <c r="AA54" s="158"/>
      <c r="AB54" s="158"/>
      <c r="AC54" s="158"/>
      <c r="AD54" s="3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</row>
    <row r="55" spans="1:46" ht="16.5" customHeight="1">
      <c r="A55" s="160"/>
      <c r="B55" s="160"/>
      <c r="C55" s="109"/>
      <c r="D55" s="154"/>
      <c r="E55" s="114"/>
      <c r="F55" s="114"/>
      <c r="G55" s="125"/>
      <c r="H55" s="159"/>
      <c r="I55" s="155"/>
      <c r="J55" s="155"/>
      <c r="K55" s="155"/>
      <c r="L55" s="165"/>
      <c r="M55" s="165"/>
      <c r="N55" s="155"/>
      <c r="O55" s="155"/>
      <c r="P55" s="159"/>
      <c r="Q55" s="157"/>
      <c r="R55" s="157"/>
      <c r="S55" s="155"/>
      <c r="T55" s="118"/>
      <c r="U55" s="129"/>
      <c r="V55" s="122"/>
      <c r="W55" s="428"/>
      <c r="X55" s="44"/>
      <c r="Y55" s="44"/>
      <c r="Z55" s="158"/>
      <c r="AA55" s="158"/>
      <c r="AB55" s="158"/>
      <c r="AC55" s="158"/>
      <c r="AD55" s="3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</row>
    <row r="56" spans="1:46" ht="16.5" customHeight="1">
      <c r="A56" s="160"/>
      <c r="B56" s="160"/>
      <c r="C56" s="109"/>
      <c r="D56" s="154"/>
      <c r="E56" s="114"/>
      <c r="F56" s="114"/>
      <c r="G56" s="125"/>
      <c r="H56" s="159"/>
      <c r="I56" s="155"/>
      <c r="J56" s="155"/>
      <c r="K56" s="155"/>
      <c r="L56" s="165"/>
      <c r="M56" s="165"/>
      <c r="N56" s="155"/>
      <c r="O56" s="155"/>
      <c r="P56" s="159"/>
      <c r="Q56" s="157"/>
      <c r="R56" s="157"/>
      <c r="S56" s="155"/>
      <c r="T56" s="118"/>
      <c r="U56" s="129"/>
      <c r="V56" s="122"/>
      <c r="W56" s="428"/>
      <c r="X56" s="44"/>
      <c r="Y56" s="44"/>
      <c r="Z56" s="158"/>
      <c r="AA56" s="158"/>
      <c r="AB56" s="158"/>
      <c r="AC56" s="158"/>
      <c r="AD56" s="3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</row>
    <row r="57" spans="1:46" ht="16.5" customHeight="1">
      <c r="A57" s="160"/>
      <c r="B57" s="160"/>
      <c r="C57" s="109"/>
      <c r="D57" s="154"/>
      <c r="E57" s="114"/>
      <c r="F57" s="114"/>
      <c r="G57" s="125"/>
      <c r="H57" s="159"/>
      <c r="I57" s="155"/>
      <c r="J57" s="155"/>
      <c r="K57" s="155"/>
      <c r="L57" s="165"/>
      <c r="M57" s="165"/>
      <c r="N57" s="155"/>
      <c r="O57" s="155"/>
      <c r="P57" s="159"/>
      <c r="Q57" s="157"/>
      <c r="R57" s="157"/>
      <c r="S57" s="155"/>
      <c r="T57" s="118"/>
      <c r="U57" s="129"/>
      <c r="V57" s="122"/>
      <c r="W57" s="428"/>
      <c r="X57" s="44"/>
      <c r="Y57" s="44"/>
      <c r="Z57" s="158"/>
      <c r="AA57" s="158"/>
      <c r="AB57" s="158"/>
      <c r="AC57" s="158"/>
      <c r="AD57" s="3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</row>
    <row r="58" spans="1:46" ht="16.5" customHeight="1">
      <c r="A58" s="160"/>
      <c r="B58" s="160"/>
      <c r="C58" s="109"/>
      <c r="D58" s="154"/>
      <c r="E58" s="114"/>
      <c r="F58" s="114"/>
      <c r="G58" s="125"/>
      <c r="H58" s="159"/>
      <c r="I58" s="155"/>
      <c r="J58" s="155"/>
      <c r="K58" s="155"/>
      <c r="L58" s="165"/>
      <c r="M58" s="165"/>
      <c r="N58" s="155"/>
      <c r="O58" s="155"/>
      <c r="P58" s="159"/>
      <c r="Q58" s="157"/>
      <c r="R58" s="157"/>
      <c r="S58" s="155"/>
      <c r="T58" s="118"/>
      <c r="U58" s="129"/>
      <c r="V58" s="122"/>
      <c r="W58" s="428"/>
      <c r="X58" s="44"/>
      <c r="Y58" s="44"/>
      <c r="Z58" s="158"/>
      <c r="AA58" s="158"/>
      <c r="AB58" s="158"/>
      <c r="AC58" s="158"/>
      <c r="AD58" s="3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</row>
    <row r="59" spans="1:46" ht="16.5" customHeight="1">
      <c r="A59" s="160"/>
      <c r="B59" s="160"/>
      <c r="C59" s="31"/>
      <c r="D59" s="161"/>
      <c r="E59" s="161"/>
      <c r="F59" s="161"/>
      <c r="G59" s="34"/>
      <c r="H59" s="162"/>
      <c r="I59" s="155"/>
      <c r="J59" s="155"/>
      <c r="K59" s="155"/>
      <c r="L59" s="156"/>
      <c r="M59" s="156"/>
      <c r="N59" s="155"/>
      <c r="O59" s="155"/>
      <c r="P59" s="162"/>
      <c r="Q59" s="163"/>
      <c r="R59" s="163"/>
      <c r="S59" s="155"/>
      <c r="T59" s="117"/>
      <c r="U59" s="129"/>
      <c r="V59" s="43"/>
      <c r="W59" s="428"/>
      <c r="X59" s="35"/>
      <c r="Y59" s="35"/>
      <c r="Z59" s="158"/>
      <c r="AA59" s="158"/>
      <c r="AB59" s="158"/>
      <c r="AC59" s="158"/>
      <c r="AD59" s="3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</row>
    <row r="60" spans="1:46" ht="16.5" customHeight="1">
      <c r="A60" s="160"/>
      <c r="B60" s="160"/>
      <c r="C60" s="31"/>
      <c r="D60" s="161"/>
      <c r="E60" s="161"/>
      <c r="F60" s="161"/>
      <c r="G60" s="34"/>
      <c r="H60" s="162"/>
      <c r="I60" s="155"/>
      <c r="J60" s="155"/>
      <c r="K60" s="155"/>
      <c r="L60" s="156"/>
      <c r="M60" s="156"/>
      <c r="N60" s="155"/>
      <c r="O60" s="155"/>
      <c r="P60" s="162"/>
      <c r="Q60" s="163"/>
      <c r="R60" s="163"/>
      <c r="S60" s="155"/>
      <c r="T60" s="117"/>
      <c r="U60" s="129"/>
      <c r="V60" s="43"/>
      <c r="W60" s="428"/>
      <c r="X60" s="35"/>
      <c r="Y60" s="35"/>
      <c r="Z60" s="158"/>
      <c r="AA60" s="158"/>
      <c r="AB60" s="158"/>
      <c r="AC60" s="158"/>
      <c r="AD60" s="3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</row>
    <row r="61" spans="1:46" ht="16.5" customHeight="1">
      <c r="A61" s="160"/>
      <c r="B61" s="160"/>
      <c r="C61" s="31"/>
      <c r="D61" s="161"/>
      <c r="E61" s="161"/>
      <c r="F61" s="161"/>
      <c r="G61" s="162"/>
      <c r="H61" s="162"/>
      <c r="I61" s="155"/>
      <c r="J61" s="155"/>
      <c r="K61" s="155"/>
      <c r="L61" s="156"/>
      <c r="M61" s="156"/>
      <c r="N61" s="155"/>
      <c r="O61" s="155"/>
      <c r="P61" s="162"/>
      <c r="Q61" s="163"/>
      <c r="R61" s="163"/>
      <c r="S61" s="155"/>
      <c r="T61" s="117"/>
      <c r="U61" s="129"/>
      <c r="V61" s="43"/>
      <c r="W61" s="428"/>
      <c r="X61" s="35"/>
      <c r="Y61" s="35"/>
      <c r="Z61" s="158"/>
      <c r="AA61" s="158"/>
      <c r="AB61" s="158"/>
      <c r="AC61" s="158"/>
      <c r="AD61" s="3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</row>
    <row r="62" spans="1:46" ht="16.5" customHeight="1">
      <c r="A62" s="160"/>
      <c r="B62" s="160"/>
      <c r="C62" s="31"/>
      <c r="D62" s="161"/>
      <c r="E62" s="161"/>
      <c r="F62" s="161"/>
      <c r="G62" s="162"/>
      <c r="H62" s="162"/>
      <c r="I62" s="155"/>
      <c r="J62" s="155"/>
      <c r="K62" s="155"/>
      <c r="L62" s="156"/>
      <c r="M62" s="156"/>
      <c r="N62" s="155"/>
      <c r="O62" s="155"/>
      <c r="P62" s="162"/>
      <c r="Q62" s="163"/>
      <c r="R62" s="163"/>
      <c r="S62" s="155"/>
      <c r="T62" s="117"/>
      <c r="U62" s="129"/>
      <c r="V62" s="43"/>
      <c r="W62" s="428"/>
      <c r="X62" s="35"/>
      <c r="Y62" s="35"/>
      <c r="Z62" s="158"/>
      <c r="AA62" s="158"/>
      <c r="AB62" s="158"/>
      <c r="AC62" s="158"/>
      <c r="AD62" s="3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</row>
    <row r="63" spans="1:46" ht="16.5" customHeight="1">
      <c r="A63" s="160"/>
      <c r="B63" s="160"/>
      <c r="C63" s="31"/>
      <c r="D63" s="161"/>
      <c r="E63" s="161"/>
      <c r="F63" s="161"/>
      <c r="G63" s="34"/>
      <c r="H63" s="162"/>
      <c r="I63" s="155"/>
      <c r="J63" s="155"/>
      <c r="K63" s="155"/>
      <c r="L63" s="156"/>
      <c r="M63" s="156"/>
      <c r="N63" s="155"/>
      <c r="O63" s="155"/>
      <c r="P63" s="162"/>
      <c r="Q63" s="163"/>
      <c r="R63" s="163"/>
      <c r="S63" s="155"/>
      <c r="T63" s="117"/>
      <c r="U63" s="129"/>
      <c r="V63" s="43"/>
      <c r="W63" s="428"/>
      <c r="X63" s="35"/>
      <c r="Y63" s="35"/>
      <c r="Z63" s="158"/>
      <c r="AA63" s="158"/>
      <c r="AB63" s="158"/>
      <c r="AC63" s="158"/>
      <c r="AD63" s="3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</row>
    <row r="64" spans="1:46" ht="16.5" customHeight="1">
      <c r="A64" s="160"/>
      <c r="B64" s="160"/>
      <c r="C64" s="31"/>
      <c r="D64" s="161"/>
      <c r="E64" s="161"/>
      <c r="F64" s="161"/>
      <c r="G64" s="34"/>
      <c r="H64" s="162"/>
      <c r="I64" s="155"/>
      <c r="J64" s="155"/>
      <c r="K64" s="155"/>
      <c r="L64" s="155"/>
      <c r="M64" s="155"/>
      <c r="N64" s="155"/>
      <c r="O64" s="155"/>
      <c r="P64" s="162"/>
      <c r="Q64" s="163"/>
      <c r="R64" s="163"/>
      <c r="S64" s="155"/>
      <c r="T64" s="117"/>
      <c r="U64" s="129"/>
      <c r="V64" s="43"/>
      <c r="W64" s="428"/>
      <c r="X64" s="35"/>
      <c r="Y64" s="35"/>
      <c r="Z64" s="158"/>
      <c r="AA64" s="158"/>
      <c r="AB64" s="158"/>
      <c r="AC64" s="158"/>
      <c r="AD64" s="3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</row>
    <row r="65" spans="1:46" ht="16.5" customHeight="1">
      <c r="A65" s="160"/>
      <c r="B65" s="160"/>
      <c r="C65" s="31"/>
      <c r="D65" s="161"/>
      <c r="E65" s="161"/>
      <c r="F65" s="161"/>
      <c r="G65" s="34"/>
      <c r="H65" s="162"/>
      <c r="I65" s="155"/>
      <c r="J65" s="155"/>
      <c r="K65" s="155"/>
      <c r="L65" s="165"/>
      <c r="M65" s="165"/>
      <c r="N65" s="155"/>
      <c r="O65" s="155"/>
      <c r="P65" s="162"/>
      <c r="Q65" s="163"/>
      <c r="R65" s="163"/>
      <c r="S65" s="155"/>
      <c r="T65" s="117"/>
      <c r="U65" s="129"/>
      <c r="V65" s="43"/>
      <c r="W65" s="428"/>
      <c r="X65" s="35"/>
      <c r="Y65" s="35"/>
      <c r="Z65" s="158"/>
      <c r="AA65" s="158"/>
      <c r="AB65" s="158"/>
      <c r="AC65" s="158"/>
      <c r="AD65" s="3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</row>
    <row r="66" spans="1:46" ht="16.5" customHeight="1">
      <c r="A66" s="160"/>
      <c r="B66" s="160"/>
      <c r="C66" s="31"/>
      <c r="D66" s="161"/>
      <c r="E66" s="161"/>
      <c r="F66" s="161"/>
      <c r="G66" s="34"/>
      <c r="H66" s="162"/>
      <c r="I66" s="155"/>
      <c r="J66" s="155"/>
      <c r="K66" s="155"/>
      <c r="L66" s="156"/>
      <c r="M66" s="156"/>
      <c r="N66" s="155"/>
      <c r="O66" s="155"/>
      <c r="P66" s="162"/>
      <c r="Q66" s="163"/>
      <c r="R66" s="163"/>
      <c r="S66" s="155"/>
      <c r="T66" s="117"/>
      <c r="U66" s="129"/>
      <c r="V66" s="43"/>
      <c r="W66" s="428"/>
      <c r="X66" s="35"/>
      <c r="Y66" s="35"/>
      <c r="Z66" s="158"/>
      <c r="AA66" s="158"/>
      <c r="AB66" s="158"/>
      <c r="AC66" s="158"/>
      <c r="AD66" s="3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</row>
    <row r="67" spans="1:46" ht="16.5" customHeight="1">
      <c r="A67" s="160"/>
      <c r="B67" s="160"/>
      <c r="C67" s="31"/>
      <c r="D67" s="161"/>
      <c r="E67" s="161"/>
      <c r="F67" s="161"/>
      <c r="G67" s="34"/>
      <c r="H67" s="162"/>
      <c r="I67" s="155"/>
      <c r="J67" s="155"/>
      <c r="K67" s="155"/>
      <c r="L67" s="156"/>
      <c r="M67" s="156"/>
      <c r="N67" s="155"/>
      <c r="O67" s="155"/>
      <c r="P67" s="162"/>
      <c r="Q67" s="163"/>
      <c r="R67" s="163"/>
      <c r="S67" s="155"/>
      <c r="T67" s="117"/>
      <c r="U67" s="129"/>
      <c r="V67" s="43"/>
      <c r="W67" s="428"/>
      <c r="X67" s="35"/>
      <c r="Y67" s="35"/>
      <c r="Z67" s="158"/>
      <c r="AA67" s="158"/>
      <c r="AB67" s="158"/>
      <c r="AC67" s="158"/>
      <c r="AD67" s="3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</row>
    <row r="68" spans="1:46" ht="16.5" customHeight="1">
      <c r="A68" s="160"/>
      <c r="B68" s="160"/>
      <c r="C68" s="31"/>
      <c r="D68" s="161"/>
      <c r="E68" s="161"/>
      <c r="F68" s="161"/>
      <c r="G68" s="34"/>
      <c r="H68" s="162"/>
      <c r="I68" s="155"/>
      <c r="J68" s="155"/>
      <c r="K68" s="155"/>
      <c r="L68" s="156"/>
      <c r="M68" s="156"/>
      <c r="N68" s="155"/>
      <c r="O68" s="155"/>
      <c r="P68" s="162"/>
      <c r="Q68" s="163"/>
      <c r="R68" s="163"/>
      <c r="S68" s="155"/>
      <c r="T68" s="117"/>
      <c r="U68" s="129"/>
      <c r="V68" s="43"/>
      <c r="W68" s="428"/>
      <c r="X68" s="35"/>
      <c r="Y68" s="35"/>
      <c r="Z68" s="158"/>
      <c r="AA68" s="158"/>
      <c r="AB68" s="158"/>
      <c r="AC68" s="158"/>
      <c r="AD68" s="3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</row>
    <row r="69" spans="1:46" ht="16.5" customHeight="1">
      <c r="A69" s="160"/>
      <c r="B69" s="160"/>
      <c r="C69" s="164"/>
      <c r="D69" s="161"/>
      <c r="E69" s="33"/>
      <c r="F69" s="33"/>
      <c r="G69" s="34"/>
      <c r="H69" s="162"/>
      <c r="I69" s="155"/>
      <c r="J69" s="155"/>
      <c r="K69" s="155"/>
      <c r="L69" s="165"/>
      <c r="M69" s="165"/>
      <c r="N69" s="155"/>
      <c r="O69" s="155"/>
      <c r="P69" s="162"/>
      <c r="Q69" s="163"/>
      <c r="R69" s="163"/>
      <c r="S69" s="155"/>
      <c r="T69" s="118"/>
      <c r="U69" s="129"/>
      <c r="V69" s="43"/>
      <c r="W69" s="428"/>
      <c r="X69" s="35"/>
      <c r="Y69" s="35"/>
      <c r="Z69" s="158"/>
      <c r="AA69" s="158"/>
      <c r="AB69" s="158"/>
      <c r="AC69" s="158"/>
      <c r="AD69" s="3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</row>
    <row r="70" spans="1:46" ht="16.5" customHeight="1">
      <c r="A70" s="160"/>
      <c r="B70" s="160"/>
      <c r="C70" s="164"/>
      <c r="D70" s="161"/>
      <c r="E70" s="33"/>
      <c r="F70" s="33"/>
      <c r="G70" s="34"/>
      <c r="H70" s="162"/>
      <c r="I70" s="155"/>
      <c r="J70" s="155"/>
      <c r="K70" s="155"/>
      <c r="L70" s="165"/>
      <c r="M70" s="165"/>
      <c r="N70" s="155"/>
      <c r="O70" s="155"/>
      <c r="P70" s="162"/>
      <c r="Q70" s="163"/>
      <c r="R70" s="163"/>
      <c r="S70" s="155"/>
      <c r="T70" s="118"/>
      <c r="U70" s="129"/>
      <c r="V70" s="43"/>
      <c r="W70" s="428"/>
      <c r="X70" s="35"/>
      <c r="Y70" s="35"/>
      <c r="Z70" s="158"/>
      <c r="AA70" s="158"/>
      <c r="AB70" s="158"/>
      <c r="AC70" s="158"/>
      <c r="AD70" s="3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</row>
    <row r="71" spans="1:46" ht="16.5" customHeight="1">
      <c r="A71" s="160"/>
      <c r="B71" s="160"/>
      <c r="C71" s="164"/>
      <c r="D71" s="161"/>
      <c r="E71" s="33"/>
      <c r="F71" s="33"/>
      <c r="G71" s="34"/>
      <c r="H71" s="162"/>
      <c r="I71" s="155"/>
      <c r="J71" s="155"/>
      <c r="K71" s="155"/>
      <c r="L71" s="165"/>
      <c r="M71" s="165"/>
      <c r="N71" s="155"/>
      <c r="O71" s="155"/>
      <c r="P71" s="162"/>
      <c r="Q71" s="163"/>
      <c r="R71" s="163"/>
      <c r="S71" s="155"/>
      <c r="T71" s="118"/>
      <c r="U71" s="129"/>
      <c r="V71" s="43"/>
      <c r="W71" s="428"/>
      <c r="X71" s="35"/>
      <c r="Y71" s="35"/>
      <c r="Z71" s="158"/>
      <c r="AA71" s="158"/>
      <c r="AB71" s="158"/>
      <c r="AC71" s="158"/>
      <c r="AD71" s="3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</row>
    <row r="72" spans="1:46" ht="16.5" customHeight="1">
      <c r="A72" s="160"/>
      <c r="B72" s="160"/>
      <c r="C72" s="164"/>
      <c r="D72" s="161"/>
      <c r="E72" s="33"/>
      <c r="F72" s="33"/>
      <c r="G72" s="34"/>
      <c r="H72" s="162"/>
      <c r="I72" s="155"/>
      <c r="J72" s="155"/>
      <c r="K72" s="155"/>
      <c r="L72" s="165"/>
      <c r="M72" s="165"/>
      <c r="N72" s="155"/>
      <c r="O72" s="155"/>
      <c r="P72" s="162"/>
      <c r="Q72" s="163"/>
      <c r="R72" s="163"/>
      <c r="S72" s="155"/>
      <c r="T72" s="118"/>
      <c r="U72" s="129"/>
      <c r="V72" s="43"/>
      <c r="W72" s="428"/>
      <c r="X72" s="35"/>
      <c r="Y72" s="35"/>
      <c r="Z72" s="158"/>
      <c r="AA72" s="158"/>
      <c r="AB72" s="158"/>
      <c r="AC72" s="158"/>
      <c r="AD72" s="3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</row>
    <row r="73" spans="1:46" ht="16.5" customHeight="1">
      <c r="A73" s="160"/>
      <c r="B73" s="160"/>
      <c r="C73" s="31"/>
      <c r="D73" s="161"/>
      <c r="E73" s="161"/>
      <c r="F73" s="161"/>
      <c r="G73" s="34"/>
      <c r="H73" s="162"/>
      <c r="I73" s="155"/>
      <c r="J73" s="155"/>
      <c r="K73" s="155"/>
      <c r="L73" s="156"/>
      <c r="M73" s="156"/>
      <c r="N73" s="155"/>
      <c r="O73" s="155"/>
      <c r="P73" s="162"/>
      <c r="Q73" s="163"/>
      <c r="R73" s="163"/>
      <c r="S73" s="155"/>
      <c r="T73" s="117"/>
      <c r="U73" s="129"/>
      <c r="V73" s="43"/>
      <c r="W73" s="428"/>
      <c r="X73" s="35"/>
      <c r="Y73" s="35"/>
      <c r="Z73" s="158"/>
      <c r="AA73" s="158"/>
      <c r="AB73" s="158"/>
      <c r="AC73" s="158"/>
      <c r="AD73" s="3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</row>
    <row r="74" spans="1:46" ht="16.5" customHeight="1">
      <c r="A74" s="160"/>
      <c r="B74" s="160"/>
      <c r="C74" s="164"/>
      <c r="D74" s="161"/>
      <c r="E74" s="33"/>
      <c r="F74" s="33"/>
      <c r="G74" s="34"/>
      <c r="H74" s="162"/>
      <c r="I74" s="155"/>
      <c r="J74" s="155"/>
      <c r="K74" s="155"/>
      <c r="L74" s="165"/>
      <c r="M74" s="165"/>
      <c r="N74" s="155"/>
      <c r="O74" s="155"/>
      <c r="P74" s="162"/>
      <c r="Q74" s="163"/>
      <c r="R74" s="163"/>
      <c r="S74" s="155"/>
      <c r="T74" s="118"/>
      <c r="U74" s="129"/>
      <c r="V74" s="43"/>
      <c r="W74" s="428"/>
      <c r="X74" s="35"/>
      <c r="Y74" s="35"/>
      <c r="Z74" s="158"/>
      <c r="AA74" s="158"/>
      <c r="AB74" s="158"/>
      <c r="AC74" s="158"/>
      <c r="AD74" s="3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</row>
    <row r="75" spans="1:46" ht="16.5" customHeight="1">
      <c r="A75" s="160"/>
      <c r="B75" s="160"/>
      <c r="C75" s="31"/>
      <c r="D75" s="161"/>
      <c r="E75" s="161"/>
      <c r="F75" s="161"/>
      <c r="G75" s="34"/>
      <c r="H75" s="162"/>
      <c r="I75" s="155"/>
      <c r="J75" s="155"/>
      <c r="K75" s="155"/>
      <c r="L75" s="156"/>
      <c r="M75" s="156"/>
      <c r="N75" s="155"/>
      <c r="O75" s="155"/>
      <c r="P75" s="162"/>
      <c r="Q75" s="163"/>
      <c r="R75" s="163"/>
      <c r="S75" s="155"/>
      <c r="T75" s="117"/>
      <c r="U75" s="129"/>
      <c r="V75" s="43"/>
      <c r="W75" s="428"/>
      <c r="X75" s="35"/>
      <c r="Y75" s="35"/>
      <c r="Z75" s="158"/>
      <c r="AA75" s="158"/>
      <c r="AB75" s="158"/>
      <c r="AC75" s="158"/>
      <c r="AD75" s="3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</row>
    <row r="76" spans="1:46" ht="16.5" customHeight="1">
      <c r="A76" s="160"/>
      <c r="B76" s="160"/>
      <c r="C76" s="31"/>
      <c r="D76" s="161"/>
      <c r="E76" s="161"/>
      <c r="F76" s="161"/>
      <c r="G76" s="34"/>
      <c r="H76" s="162"/>
      <c r="I76" s="155"/>
      <c r="J76" s="155"/>
      <c r="K76" s="155"/>
      <c r="L76" s="156"/>
      <c r="M76" s="156"/>
      <c r="N76" s="155"/>
      <c r="O76" s="155"/>
      <c r="P76" s="162"/>
      <c r="Q76" s="163"/>
      <c r="R76" s="163"/>
      <c r="S76" s="155"/>
      <c r="T76" s="117"/>
      <c r="U76" s="129"/>
      <c r="V76" s="43"/>
      <c r="W76" s="428"/>
      <c r="X76" s="35"/>
      <c r="Y76" s="35"/>
      <c r="Z76" s="158"/>
      <c r="AA76" s="158"/>
      <c r="AB76" s="158"/>
      <c r="AC76" s="158"/>
      <c r="AD76" s="3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</row>
    <row r="77" spans="1:46" ht="16.5" customHeight="1">
      <c r="A77" s="160"/>
      <c r="B77" s="160"/>
      <c r="C77" s="166"/>
      <c r="D77" s="167"/>
      <c r="E77" s="63"/>
      <c r="F77" s="63"/>
      <c r="G77" s="64"/>
      <c r="H77" s="168"/>
      <c r="I77" s="169"/>
      <c r="J77" s="169"/>
      <c r="K77" s="169"/>
      <c r="L77" s="170"/>
      <c r="M77" s="170"/>
      <c r="N77" s="169"/>
      <c r="O77" s="169"/>
      <c r="P77" s="68"/>
      <c r="Q77" s="171"/>
      <c r="R77" s="171"/>
      <c r="S77" s="169"/>
      <c r="T77" s="71"/>
      <c r="U77" s="72"/>
      <c r="V77" s="73"/>
      <c r="W77" s="428"/>
      <c r="X77" s="65"/>
      <c r="Y77" s="65"/>
      <c r="Z77" s="172"/>
      <c r="AA77" s="172"/>
      <c r="AB77" s="172"/>
      <c r="AC77" s="172"/>
      <c r="AD77" s="6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</row>
    <row r="78" spans="1:46" ht="16.5" customHeight="1">
      <c r="A78" s="160"/>
      <c r="B78" s="160"/>
      <c r="C78" s="61"/>
      <c r="D78" s="167"/>
      <c r="E78" s="167"/>
      <c r="F78" s="167"/>
      <c r="G78" s="64"/>
      <c r="H78" s="168"/>
      <c r="I78" s="169"/>
      <c r="J78" s="169"/>
      <c r="K78" s="169"/>
      <c r="L78" s="173"/>
      <c r="M78" s="173"/>
      <c r="N78" s="169"/>
      <c r="O78" s="169"/>
      <c r="P78" s="168"/>
      <c r="Q78" s="171"/>
      <c r="R78" s="171"/>
      <c r="S78" s="169"/>
      <c r="T78" s="174"/>
      <c r="U78" s="72"/>
      <c r="V78" s="73"/>
      <c r="W78" s="428"/>
      <c r="X78" s="65"/>
      <c r="Y78" s="65"/>
      <c r="Z78" s="172"/>
      <c r="AA78" s="172"/>
      <c r="AB78" s="172"/>
      <c r="AC78" s="172"/>
      <c r="AD78" s="6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</row>
    <row r="79" spans="1:46" ht="16.5" customHeight="1">
      <c r="A79" s="160"/>
      <c r="B79" s="160"/>
      <c r="C79" s="61"/>
      <c r="D79" s="167"/>
      <c r="E79" s="167"/>
      <c r="F79" s="167"/>
      <c r="G79" s="64"/>
      <c r="H79" s="168"/>
      <c r="I79" s="169"/>
      <c r="J79" s="169"/>
      <c r="K79" s="169"/>
      <c r="L79" s="173"/>
      <c r="M79" s="173"/>
      <c r="N79" s="169"/>
      <c r="O79" s="169"/>
      <c r="P79" s="168"/>
      <c r="Q79" s="171"/>
      <c r="R79" s="171"/>
      <c r="S79" s="169"/>
      <c r="T79" s="174"/>
      <c r="U79" s="72"/>
      <c r="V79" s="73"/>
      <c r="W79" s="428"/>
      <c r="X79" s="65"/>
      <c r="Y79" s="65"/>
      <c r="Z79" s="172"/>
      <c r="AA79" s="172"/>
      <c r="AB79" s="172"/>
      <c r="AC79" s="172"/>
      <c r="AD79" s="6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</row>
    <row r="80" spans="1:46" ht="16.5" customHeight="1">
      <c r="A80" s="160"/>
      <c r="B80" s="160"/>
      <c r="C80" s="61"/>
      <c r="D80" s="167"/>
      <c r="E80" s="167"/>
      <c r="F80" s="167"/>
      <c r="G80" s="64"/>
      <c r="H80" s="168"/>
      <c r="I80" s="169"/>
      <c r="J80" s="169"/>
      <c r="K80" s="169"/>
      <c r="L80" s="173"/>
      <c r="M80" s="173"/>
      <c r="N80" s="169"/>
      <c r="O80" s="169"/>
      <c r="P80" s="168"/>
      <c r="Q80" s="171"/>
      <c r="R80" s="171"/>
      <c r="S80" s="169"/>
      <c r="T80" s="174"/>
      <c r="U80" s="72"/>
      <c r="V80" s="73"/>
      <c r="W80" s="428"/>
      <c r="X80" s="65"/>
      <c r="Y80" s="65"/>
      <c r="Z80" s="172"/>
      <c r="AA80" s="172"/>
      <c r="AB80" s="172"/>
      <c r="AC80" s="172"/>
      <c r="AD80" s="6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</row>
    <row r="81" spans="1:46" ht="16.5" customHeight="1">
      <c r="A81" s="160"/>
      <c r="B81" s="160"/>
      <c r="C81" s="61"/>
      <c r="D81" s="167"/>
      <c r="E81" s="167"/>
      <c r="F81" s="167"/>
      <c r="G81" s="64"/>
      <c r="H81" s="168"/>
      <c r="I81" s="169"/>
      <c r="J81" s="169"/>
      <c r="K81" s="169"/>
      <c r="L81" s="173"/>
      <c r="M81" s="173"/>
      <c r="N81" s="169"/>
      <c r="O81" s="169"/>
      <c r="P81" s="168"/>
      <c r="Q81" s="171"/>
      <c r="R81" s="171"/>
      <c r="S81" s="169"/>
      <c r="T81" s="174"/>
      <c r="U81" s="72"/>
      <c r="V81" s="73"/>
      <c r="W81" s="428"/>
      <c r="X81" s="65"/>
      <c r="Y81" s="65"/>
      <c r="Z81" s="172"/>
      <c r="AA81" s="172"/>
      <c r="AB81" s="172"/>
      <c r="AC81" s="172"/>
      <c r="AD81" s="6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</row>
    <row r="82" spans="1:46" ht="16.5" customHeight="1">
      <c r="A82" s="160"/>
      <c r="B82" s="160"/>
      <c r="C82" s="61"/>
      <c r="D82" s="167"/>
      <c r="E82" s="167"/>
      <c r="F82" s="167"/>
      <c r="G82" s="64"/>
      <c r="H82" s="168"/>
      <c r="I82" s="169"/>
      <c r="J82" s="169"/>
      <c r="K82" s="169"/>
      <c r="L82" s="173"/>
      <c r="M82" s="173"/>
      <c r="N82" s="169"/>
      <c r="O82" s="169"/>
      <c r="P82" s="168"/>
      <c r="Q82" s="171"/>
      <c r="R82" s="171"/>
      <c r="S82" s="169"/>
      <c r="T82" s="174"/>
      <c r="U82" s="72"/>
      <c r="V82" s="73"/>
      <c r="W82" s="428"/>
      <c r="X82" s="65"/>
      <c r="Y82" s="65"/>
      <c r="Z82" s="172"/>
      <c r="AA82" s="172"/>
      <c r="AB82" s="172"/>
      <c r="AC82" s="172"/>
      <c r="AD82" s="6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</row>
    <row r="83" spans="1:46" ht="16.5" customHeight="1">
      <c r="A83" s="160"/>
      <c r="B83" s="160"/>
      <c r="C83" s="31"/>
      <c r="D83" s="161"/>
      <c r="E83" s="161"/>
      <c r="F83" s="161"/>
      <c r="G83" s="34"/>
      <c r="H83" s="162"/>
      <c r="I83" s="155"/>
      <c r="J83" s="155"/>
      <c r="K83" s="155"/>
      <c r="L83" s="156"/>
      <c r="M83" s="156"/>
      <c r="N83" s="155"/>
      <c r="O83" s="155"/>
      <c r="P83" s="162"/>
      <c r="Q83" s="163"/>
      <c r="R83" s="163"/>
      <c r="S83" s="155"/>
      <c r="T83" s="117"/>
      <c r="U83" s="129"/>
      <c r="V83" s="43"/>
      <c r="W83" s="428"/>
      <c r="X83" s="35"/>
      <c r="Y83" s="35"/>
      <c r="Z83" s="158"/>
      <c r="AA83" s="158"/>
      <c r="AB83" s="158"/>
      <c r="AC83" s="158"/>
      <c r="AD83" s="3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</row>
    <row r="84" spans="1:46" ht="16.5" customHeight="1">
      <c r="A84" s="160"/>
      <c r="B84" s="160"/>
      <c r="C84" s="31"/>
      <c r="D84" s="161"/>
      <c r="E84" s="161"/>
      <c r="F84" s="161"/>
      <c r="G84" s="34"/>
      <c r="H84" s="162"/>
      <c r="I84" s="155"/>
      <c r="J84" s="155"/>
      <c r="K84" s="155"/>
      <c r="L84" s="156"/>
      <c r="M84" s="156"/>
      <c r="N84" s="155"/>
      <c r="O84" s="155"/>
      <c r="P84" s="162"/>
      <c r="Q84" s="163"/>
      <c r="R84" s="163"/>
      <c r="S84" s="155"/>
      <c r="T84" s="117"/>
      <c r="U84" s="129"/>
      <c r="V84" s="43"/>
      <c r="W84" s="428"/>
      <c r="X84" s="35"/>
      <c r="Y84" s="35"/>
      <c r="Z84" s="158"/>
      <c r="AA84" s="158"/>
      <c r="AB84" s="158"/>
      <c r="AC84" s="158"/>
      <c r="AD84" s="3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</row>
    <row r="85" spans="1:46" ht="16.5" customHeight="1">
      <c r="A85" s="160"/>
      <c r="B85" s="160"/>
      <c r="C85" s="164"/>
      <c r="D85" s="33"/>
      <c r="E85" s="175"/>
      <c r="F85" s="175"/>
      <c r="G85" s="34"/>
      <c r="H85" s="162"/>
      <c r="I85" s="155"/>
      <c r="J85" s="155"/>
      <c r="K85" s="155"/>
      <c r="L85" s="165"/>
      <c r="M85" s="165"/>
      <c r="N85" s="155"/>
      <c r="O85" s="155"/>
      <c r="P85" s="162"/>
      <c r="Q85" s="163"/>
      <c r="R85" s="163"/>
      <c r="S85" s="155"/>
      <c r="T85" s="118"/>
      <c r="U85" s="117"/>
      <c r="V85" s="43"/>
      <c r="W85" s="428"/>
      <c r="X85" s="35"/>
      <c r="Y85" s="35"/>
      <c r="Z85" s="158"/>
      <c r="AA85" s="158"/>
      <c r="AB85" s="158"/>
      <c r="AC85" s="158"/>
      <c r="AD85" s="3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</row>
    <row r="86" spans="1:46" ht="16.5" customHeight="1">
      <c r="A86" s="160"/>
      <c r="B86" s="160"/>
      <c r="C86" s="31"/>
      <c r="D86" s="161"/>
      <c r="E86" s="161"/>
      <c r="F86" s="161"/>
      <c r="G86" s="34"/>
      <c r="H86" s="162"/>
      <c r="I86" s="155"/>
      <c r="J86" s="155"/>
      <c r="K86" s="155"/>
      <c r="L86" s="156"/>
      <c r="M86" s="156"/>
      <c r="N86" s="155"/>
      <c r="O86" s="155"/>
      <c r="P86" s="162"/>
      <c r="Q86" s="163"/>
      <c r="R86" s="163"/>
      <c r="S86" s="155"/>
      <c r="T86" s="117"/>
      <c r="U86" s="129"/>
      <c r="V86" s="43"/>
      <c r="W86" s="428"/>
      <c r="X86" s="35"/>
      <c r="Y86" s="35"/>
      <c r="Z86" s="158"/>
      <c r="AA86" s="158"/>
      <c r="AB86" s="158"/>
      <c r="AC86" s="158"/>
      <c r="AD86" s="3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</row>
    <row r="87" spans="1:46" ht="16.5" customHeight="1">
      <c r="A87" s="160"/>
      <c r="B87" s="160"/>
      <c r="C87" s="31"/>
      <c r="D87" s="161"/>
      <c r="E87" s="176"/>
      <c r="F87" s="176"/>
      <c r="G87" s="34"/>
      <c r="H87" s="162"/>
      <c r="I87" s="155"/>
      <c r="J87" s="155"/>
      <c r="K87" s="155"/>
      <c r="L87" s="156"/>
      <c r="M87" s="156"/>
      <c r="N87" s="155"/>
      <c r="O87" s="155"/>
      <c r="P87" s="162"/>
      <c r="Q87" s="163"/>
      <c r="R87" s="163"/>
      <c r="S87" s="155"/>
      <c r="T87" s="117"/>
      <c r="U87" s="129"/>
      <c r="V87" s="43"/>
      <c r="W87" s="428"/>
      <c r="X87" s="35"/>
      <c r="Y87" s="35"/>
      <c r="Z87" s="158"/>
      <c r="AA87" s="158"/>
      <c r="AB87" s="158"/>
      <c r="AC87" s="158"/>
      <c r="AD87" s="3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</row>
    <row r="88" spans="1:46" ht="16.5" customHeight="1">
      <c r="A88" s="160"/>
      <c r="B88" s="160"/>
      <c r="C88" s="31"/>
      <c r="D88" s="161"/>
      <c r="E88" s="161"/>
      <c r="F88" s="161"/>
      <c r="G88" s="34"/>
      <c r="H88" s="162"/>
      <c r="I88" s="155"/>
      <c r="J88" s="155"/>
      <c r="K88" s="155"/>
      <c r="L88" s="156"/>
      <c r="M88" s="156"/>
      <c r="N88" s="155"/>
      <c r="O88" s="155"/>
      <c r="P88" s="162"/>
      <c r="Q88" s="163"/>
      <c r="R88" s="163"/>
      <c r="S88" s="155"/>
      <c r="T88" s="117"/>
      <c r="U88" s="129"/>
      <c r="V88" s="43"/>
      <c r="W88" s="428"/>
      <c r="X88" s="35"/>
      <c r="Y88" s="35"/>
      <c r="Z88" s="158"/>
      <c r="AA88" s="158"/>
      <c r="AB88" s="158"/>
      <c r="AC88" s="158"/>
      <c r="AD88" s="3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</row>
    <row r="89" spans="1:46" ht="16.5" customHeight="1">
      <c r="A89" s="153"/>
      <c r="B89" s="153"/>
      <c r="C89" s="124"/>
      <c r="D89" s="154"/>
      <c r="E89" s="114"/>
      <c r="F89" s="114"/>
      <c r="G89" s="125"/>
      <c r="H89" s="159"/>
      <c r="I89" s="155"/>
      <c r="J89" s="155"/>
      <c r="K89" s="155"/>
      <c r="L89" s="156"/>
      <c r="M89" s="156"/>
      <c r="N89" s="155"/>
      <c r="O89" s="155"/>
      <c r="P89" s="159"/>
      <c r="Q89" s="157"/>
      <c r="R89" s="157"/>
      <c r="S89" s="155"/>
      <c r="T89" s="118"/>
      <c r="U89" s="117"/>
      <c r="V89" s="122"/>
      <c r="W89" s="428"/>
      <c r="X89" s="44"/>
      <c r="Y89" s="44"/>
      <c r="Z89" s="158"/>
      <c r="AA89" s="177"/>
      <c r="AB89" s="158"/>
      <c r="AC89" s="158"/>
      <c r="AD89" s="177"/>
      <c r="AE89" s="123"/>
      <c r="AF89" s="123"/>
      <c r="AG89" s="123"/>
      <c r="AH89" s="123"/>
      <c r="AI89" s="123"/>
      <c r="AJ89" s="123"/>
      <c r="AK89" s="123"/>
      <c r="AL89" s="123"/>
      <c r="AM89" s="123"/>
      <c r="AN89" s="123"/>
      <c r="AO89" s="123"/>
      <c r="AP89" s="123"/>
      <c r="AQ89" s="123"/>
      <c r="AR89" s="123"/>
      <c r="AS89" s="123"/>
      <c r="AT89" s="123"/>
    </row>
    <row r="90" spans="1:46" ht="16.5" customHeight="1">
      <c r="A90" s="153"/>
      <c r="B90" s="153"/>
      <c r="C90" s="124"/>
      <c r="D90" s="154"/>
      <c r="E90" s="114"/>
      <c r="F90" s="114"/>
      <c r="G90" s="125"/>
      <c r="H90" s="159"/>
      <c r="I90" s="155"/>
      <c r="J90" s="155"/>
      <c r="K90" s="155"/>
      <c r="L90" s="156"/>
      <c r="M90" s="156"/>
      <c r="N90" s="155"/>
      <c r="O90" s="155"/>
      <c r="P90" s="159"/>
      <c r="Q90" s="157"/>
      <c r="R90" s="157"/>
      <c r="S90" s="155"/>
      <c r="T90" s="118"/>
      <c r="U90" s="117"/>
      <c r="V90" s="122"/>
      <c r="W90" s="428"/>
      <c r="X90" s="44"/>
      <c r="Y90" s="44"/>
      <c r="Z90" s="158"/>
      <c r="AA90" s="158"/>
      <c r="AB90" s="158"/>
      <c r="AC90" s="158"/>
      <c r="AD90" s="44"/>
      <c r="AE90" s="123"/>
      <c r="AF90" s="123"/>
      <c r="AG90" s="123"/>
      <c r="AH90" s="123"/>
      <c r="AI90" s="123"/>
      <c r="AJ90" s="123"/>
      <c r="AK90" s="123"/>
      <c r="AL90" s="123"/>
      <c r="AM90" s="123"/>
      <c r="AN90" s="123"/>
      <c r="AO90" s="123"/>
      <c r="AP90" s="123"/>
      <c r="AQ90" s="123"/>
      <c r="AR90" s="123"/>
      <c r="AS90" s="123"/>
      <c r="AT90" s="123"/>
    </row>
    <row r="91" spans="1:46" ht="16.5" customHeight="1">
      <c r="A91" s="153"/>
      <c r="B91" s="153"/>
      <c r="C91" s="124"/>
      <c r="D91" s="154"/>
      <c r="E91" s="114"/>
      <c r="F91" s="114"/>
      <c r="G91" s="125"/>
      <c r="H91" s="159"/>
      <c r="I91" s="155"/>
      <c r="J91" s="155"/>
      <c r="K91" s="155"/>
      <c r="L91" s="156"/>
      <c r="M91" s="156"/>
      <c r="N91" s="155"/>
      <c r="O91" s="155"/>
      <c r="P91" s="159"/>
      <c r="Q91" s="157"/>
      <c r="R91" s="157"/>
      <c r="S91" s="155"/>
      <c r="T91" s="118"/>
      <c r="U91" s="117"/>
      <c r="V91" s="122"/>
      <c r="W91" s="428"/>
      <c r="X91" s="44"/>
      <c r="Y91" s="44"/>
      <c r="Z91" s="158"/>
      <c r="AA91" s="158"/>
      <c r="AB91" s="158"/>
      <c r="AC91" s="158"/>
      <c r="AD91" s="44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3"/>
    </row>
    <row r="92" spans="1:46" ht="16.5" customHeight="1">
      <c r="A92" s="153"/>
      <c r="B92" s="153"/>
      <c r="C92" s="109"/>
      <c r="D92" s="114"/>
      <c r="E92" s="178"/>
      <c r="F92" s="178"/>
      <c r="G92" s="125"/>
      <c r="H92" s="159"/>
      <c r="I92" s="155"/>
      <c r="J92" s="155"/>
      <c r="K92" s="155"/>
      <c r="L92" s="155"/>
      <c r="M92" s="155"/>
      <c r="N92" s="155"/>
      <c r="O92" s="155"/>
      <c r="P92" s="159"/>
      <c r="Q92" s="157"/>
      <c r="R92" s="157"/>
      <c r="S92" s="155"/>
      <c r="T92" s="118"/>
      <c r="U92" s="117"/>
      <c r="V92" s="122"/>
      <c r="W92" s="428"/>
      <c r="X92" s="44"/>
      <c r="Y92" s="44"/>
      <c r="Z92" s="158"/>
      <c r="AA92" s="158"/>
      <c r="AB92" s="158"/>
      <c r="AC92" s="158"/>
      <c r="AD92" s="177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</row>
    <row r="93" spans="1:46" ht="16.5" customHeight="1">
      <c r="A93" s="153"/>
      <c r="B93" s="153"/>
      <c r="C93" s="109"/>
      <c r="D93" s="114"/>
      <c r="E93" s="178"/>
      <c r="F93" s="178"/>
      <c r="G93" s="125"/>
      <c r="H93" s="159"/>
      <c r="I93" s="155"/>
      <c r="J93" s="155"/>
      <c r="K93" s="155"/>
      <c r="L93" s="155"/>
      <c r="M93" s="155"/>
      <c r="N93" s="155"/>
      <c r="O93" s="155"/>
      <c r="P93" s="159"/>
      <c r="Q93" s="157"/>
      <c r="R93" s="157"/>
      <c r="S93" s="155"/>
      <c r="T93" s="118"/>
      <c r="U93" s="117"/>
      <c r="V93" s="122"/>
      <c r="W93" s="428"/>
      <c r="X93" s="44"/>
      <c r="Y93" s="44"/>
      <c r="Z93" s="158"/>
      <c r="AA93" s="158"/>
      <c r="AB93" s="158"/>
      <c r="AC93" s="158"/>
      <c r="AD93" s="177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</row>
    <row r="94" spans="1:46" ht="16.5" customHeight="1">
      <c r="A94" s="153"/>
      <c r="B94" s="153"/>
      <c r="C94" s="124"/>
      <c r="D94" s="154"/>
      <c r="E94" s="154"/>
      <c r="F94" s="154"/>
      <c r="G94" s="125"/>
      <c r="H94" s="159"/>
      <c r="I94" s="155"/>
      <c r="J94" s="155"/>
      <c r="K94" s="155"/>
      <c r="L94" s="156"/>
      <c r="M94" s="156"/>
      <c r="N94" s="155"/>
      <c r="O94" s="155"/>
      <c r="P94" s="159"/>
      <c r="Q94" s="157"/>
      <c r="R94" s="157"/>
      <c r="S94" s="155"/>
      <c r="T94" s="117"/>
      <c r="U94" s="129"/>
      <c r="V94" s="122"/>
      <c r="W94" s="428"/>
      <c r="X94" s="44"/>
      <c r="Y94" s="44"/>
      <c r="Z94" s="158"/>
      <c r="AA94" s="158"/>
      <c r="AB94" s="158"/>
      <c r="AC94" s="158"/>
      <c r="AD94" s="44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3"/>
      <c r="AT94" s="123"/>
    </row>
    <row r="95" spans="1:46" ht="16.5" customHeight="1">
      <c r="A95" s="153"/>
      <c r="B95" s="153"/>
      <c r="C95" s="109"/>
      <c r="D95" s="123"/>
      <c r="E95" s="114"/>
      <c r="F95" s="114"/>
      <c r="G95" s="159"/>
      <c r="H95" s="159"/>
      <c r="I95" s="155"/>
      <c r="J95" s="155"/>
      <c r="K95" s="155"/>
      <c r="L95" s="155"/>
      <c r="M95" s="155"/>
      <c r="N95" s="165"/>
      <c r="O95" s="155"/>
      <c r="P95" s="159"/>
      <c r="Q95" s="157"/>
      <c r="R95" s="157"/>
      <c r="S95" s="155"/>
      <c r="T95" s="118"/>
      <c r="U95" s="117"/>
      <c r="V95" s="122"/>
      <c r="W95" s="428"/>
      <c r="X95" s="44"/>
      <c r="Y95" s="44"/>
      <c r="Z95" s="158"/>
      <c r="AA95" s="158"/>
      <c r="AB95" s="158"/>
      <c r="AC95" s="158"/>
      <c r="AD95" s="177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</row>
    <row r="96" spans="1:46" ht="16.5" customHeight="1">
      <c r="A96" s="153"/>
      <c r="B96" s="153"/>
      <c r="C96" s="124"/>
      <c r="D96" s="154"/>
      <c r="E96" s="178"/>
      <c r="F96" s="178"/>
      <c r="G96" s="159"/>
      <c r="H96" s="159"/>
      <c r="I96" s="155"/>
      <c r="J96" s="155"/>
      <c r="K96" s="155"/>
      <c r="L96" s="155"/>
      <c r="M96" s="155"/>
      <c r="N96" s="165"/>
      <c r="O96" s="155"/>
      <c r="P96" s="159"/>
      <c r="Q96" s="157"/>
      <c r="R96" s="157"/>
      <c r="S96" s="155"/>
      <c r="T96" s="117"/>
      <c r="U96" s="129"/>
      <c r="V96" s="122"/>
      <c r="W96" s="428"/>
      <c r="X96" s="44"/>
      <c r="Y96" s="44"/>
      <c r="Z96" s="158"/>
      <c r="AA96" s="158"/>
      <c r="AB96" s="158"/>
      <c r="AC96" s="158"/>
      <c r="AD96" s="44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</row>
    <row r="97" spans="1:46" ht="16.5" customHeight="1">
      <c r="A97" s="153"/>
      <c r="B97" s="153"/>
      <c r="C97" s="124"/>
      <c r="D97" s="154"/>
      <c r="E97" s="179"/>
      <c r="F97" s="179"/>
      <c r="G97" s="125"/>
      <c r="H97" s="159"/>
      <c r="I97" s="155"/>
      <c r="J97" s="155"/>
      <c r="K97" s="155"/>
      <c r="L97" s="155"/>
      <c r="M97" s="155"/>
      <c r="N97" s="165"/>
      <c r="O97" s="155"/>
      <c r="P97" s="159"/>
      <c r="Q97" s="157"/>
      <c r="R97" s="157"/>
      <c r="S97" s="155"/>
      <c r="T97" s="117"/>
      <c r="U97" s="117"/>
      <c r="V97" s="122"/>
      <c r="W97" s="428"/>
      <c r="X97" s="44"/>
      <c r="Y97" s="44"/>
      <c r="Z97" s="158"/>
      <c r="AA97" s="158"/>
      <c r="AB97" s="158"/>
      <c r="AC97" s="158"/>
      <c r="AD97" s="44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</row>
    <row r="98" spans="1:46" ht="16.5" customHeight="1">
      <c r="A98" s="153"/>
      <c r="B98" s="153"/>
      <c r="C98" s="124"/>
      <c r="D98" s="154"/>
      <c r="E98" s="179"/>
      <c r="F98" s="179"/>
      <c r="G98" s="159"/>
      <c r="H98" s="159"/>
      <c r="I98" s="155"/>
      <c r="J98" s="155"/>
      <c r="K98" s="155"/>
      <c r="L98" s="155"/>
      <c r="M98" s="155"/>
      <c r="N98" s="165"/>
      <c r="O98" s="155"/>
      <c r="P98" s="159"/>
      <c r="Q98" s="157"/>
      <c r="R98" s="157"/>
      <c r="S98" s="155"/>
      <c r="T98" s="117"/>
      <c r="U98" s="117"/>
      <c r="V98" s="122"/>
      <c r="W98" s="428"/>
      <c r="X98" s="44"/>
      <c r="Y98" s="44"/>
      <c r="Z98" s="158"/>
      <c r="AA98" s="158"/>
      <c r="AB98" s="158"/>
      <c r="AC98" s="158"/>
      <c r="AD98" s="44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</row>
    <row r="99" spans="1:46" ht="16.5" customHeight="1">
      <c r="A99" s="153"/>
      <c r="B99" s="153"/>
      <c r="C99" s="124"/>
      <c r="D99" s="154"/>
      <c r="E99" s="154"/>
      <c r="F99" s="154"/>
      <c r="G99" s="125"/>
      <c r="H99" s="159"/>
      <c r="I99" s="155"/>
      <c r="J99" s="155"/>
      <c r="K99" s="155"/>
      <c r="L99" s="155"/>
      <c r="M99" s="155"/>
      <c r="N99" s="165"/>
      <c r="O99" s="155"/>
      <c r="P99" s="159"/>
      <c r="Q99" s="157"/>
      <c r="R99" s="157"/>
      <c r="S99" s="155"/>
      <c r="T99" s="117"/>
      <c r="U99" s="129"/>
      <c r="V99" s="122"/>
      <c r="W99" s="428"/>
      <c r="X99" s="44"/>
      <c r="Y99" s="44"/>
      <c r="Z99" s="158"/>
      <c r="AA99" s="158"/>
      <c r="AB99" s="158"/>
      <c r="AC99" s="158"/>
      <c r="AD99" s="44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</row>
    <row r="100" spans="1:46" ht="16.5" customHeight="1">
      <c r="A100" s="160"/>
      <c r="B100" s="160"/>
      <c r="C100" s="31"/>
      <c r="D100" s="161"/>
      <c r="E100" s="161"/>
      <c r="F100" s="161"/>
      <c r="G100" s="34"/>
      <c r="H100" s="162"/>
      <c r="I100" s="155"/>
      <c r="J100" s="155"/>
      <c r="K100" s="155"/>
      <c r="L100" s="156"/>
      <c r="M100" s="156"/>
      <c r="N100" s="155"/>
      <c r="O100" s="155"/>
      <c r="P100" s="162"/>
      <c r="Q100" s="163"/>
      <c r="R100" s="163"/>
      <c r="S100" s="155"/>
      <c r="T100" s="117"/>
      <c r="U100" s="129"/>
      <c r="V100" s="43"/>
      <c r="W100" s="428"/>
      <c r="X100" s="35"/>
      <c r="Y100" s="35"/>
      <c r="Z100" s="158"/>
      <c r="AA100" s="158"/>
      <c r="AB100" s="158"/>
      <c r="AC100" s="158"/>
      <c r="AD100" s="3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</row>
    <row r="101" spans="1:46" ht="16.5" customHeight="1">
      <c r="A101" s="160"/>
      <c r="B101" s="160"/>
      <c r="C101" s="31"/>
      <c r="D101" s="161"/>
      <c r="E101" s="161"/>
      <c r="F101" s="161"/>
      <c r="G101" s="34"/>
      <c r="H101" s="162"/>
      <c r="I101" s="155"/>
      <c r="J101" s="155"/>
      <c r="K101" s="155"/>
      <c r="L101" s="156"/>
      <c r="M101" s="156"/>
      <c r="N101" s="155"/>
      <c r="O101" s="155"/>
      <c r="P101" s="162"/>
      <c r="Q101" s="163"/>
      <c r="R101" s="163"/>
      <c r="S101" s="155"/>
      <c r="T101" s="117"/>
      <c r="U101" s="129"/>
      <c r="V101" s="43"/>
      <c r="W101" s="428"/>
      <c r="X101" s="35"/>
      <c r="Y101" s="35"/>
      <c r="Z101" s="158"/>
      <c r="AA101" s="158"/>
      <c r="AB101" s="158"/>
      <c r="AC101" s="158"/>
      <c r="AD101" s="3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</row>
    <row r="102" spans="1:46" ht="16.5" customHeight="1">
      <c r="A102" s="180"/>
      <c r="B102" s="180"/>
      <c r="C102" s="31"/>
      <c r="D102" s="161"/>
      <c r="E102" s="161"/>
      <c r="F102" s="161"/>
      <c r="G102" s="34"/>
      <c r="H102" s="162"/>
      <c r="I102" s="155"/>
      <c r="J102" s="155"/>
      <c r="K102" s="155"/>
      <c r="L102" s="156"/>
      <c r="M102" s="156"/>
      <c r="N102" s="155"/>
      <c r="O102" s="155"/>
      <c r="P102" s="162"/>
      <c r="Q102" s="163"/>
      <c r="R102" s="163"/>
      <c r="S102" s="155"/>
      <c r="T102" s="117"/>
      <c r="U102" s="129"/>
      <c r="V102" s="43"/>
      <c r="W102" s="428"/>
      <c r="X102" s="35"/>
      <c r="Y102" s="35"/>
      <c r="Z102" s="158"/>
      <c r="AA102" s="158"/>
      <c r="AB102" s="158"/>
      <c r="AC102" s="158"/>
      <c r="AD102" s="3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</row>
    <row r="103" spans="1:46" ht="16.5" customHeight="1">
      <c r="A103" s="180"/>
      <c r="B103" s="180"/>
      <c r="C103" s="31"/>
      <c r="D103" s="161"/>
      <c r="E103" s="161"/>
      <c r="F103" s="161"/>
      <c r="G103" s="34"/>
      <c r="H103" s="34"/>
      <c r="I103" s="35"/>
      <c r="J103" s="35"/>
      <c r="K103" s="181"/>
      <c r="L103" s="156"/>
      <c r="M103" s="156"/>
      <c r="N103" s="37"/>
      <c r="O103" s="37"/>
      <c r="P103" s="34"/>
      <c r="Q103" s="163"/>
      <c r="R103" s="163"/>
      <c r="S103" s="35"/>
      <c r="T103" s="117"/>
      <c r="U103" s="129"/>
      <c r="V103" s="43"/>
      <c r="W103" s="437"/>
      <c r="X103" s="35"/>
      <c r="Y103" s="35"/>
      <c r="Z103" s="158"/>
      <c r="AA103" s="158"/>
      <c r="AB103" s="158"/>
      <c r="AC103" s="158"/>
      <c r="AD103" s="3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</row>
    <row r="104" spans="1:46" ht="16.5" customHeight="1">
      <c r="A104" s="180"/>
      <c r="B104" s="180"/>
      <c r="C104" s="31"/>
      <c r="D104" s="161"/>
      <c r="E104" s="161"/>
      <c r="F104" s="161"/>
      <c r="G104" s="34"/>
      <c r="H104" s="162"/>
      <c r="I104" s="155"/>
      <c r="J104" s="155"/>
      <c r="K104" s="155"/>
      <c r="L104" s="165"/>
      <c r="M104" s="165"/>
      <c r="N104" s="155"/>
      <c r="O104" s="155"/>
      <c r="P104" s="162"/>
      <c r="Q104" s="163"/>
      <c r="R104" s="163"/>
      <c r="S104" s="155"/>
      <c r="T104" s="117"/>
      <c r="U104" s="129"/>
      <c r="V104" s="43"/>
      <c r="W104" s="428"/>
      <c r="X104" s="35"/>
      <c r="Y104" s="35"/>
      <c r="Z104" s="158"/>
      <c r="AA104" s="158"/>
      <c r="AB104" s="158"/>
      <c r="AC104" s="158"/>
      <c r="AD104" s="3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</row>
    <row r="105" spans="1:46" ht="16.5" customHeight="1">
      <c r="A105" s="180"/>
      <c r="B105" s="180"/>
      <c r="C105" s="31"/>
      <c r="D105" s="161"/>
      <c r="E105" s="161"/>
      <c r="F105" s="161"/>
      <c r="G105" s="34"/>
      <c r="H105" s="34"/>
      <c r="I105" s="155"/>
      <c r="J105" s="155"/>
      <c r="K105" s="155"/>
      <c r="L105" s="165"/>
      <c r="M105" s="165"/>
      <c r="N105" s="155"/>
      <c r="O105" s="155"/>
      <c r="P105" s="162"/>
      <c r="Q105" s="163"/>
      <c r="R105" s="163"/>
      <c r="S105" s="155"/>
      <c r="T105" s="117"/>
      <c r="U105" s="129"/>
      <c r="V105" s="43"/>
      <c r="W105" s="428"/>
      <c r="X105" s="35"/>
      <c r="Y105" s="35"/>
      <c r="Z105" s="158"/>
      <c r="AA105" s="158"/>
      <c r="AB105" s="158"/>
      <c r="AC105" s="158"/>
      <c r="AD105" s="3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</row>
    <row r="106" spans="1:46" ht="16.5" customHeight="1">
      <c r="A106" s="180"/>
      <c r="B106" s="180"/>
      <c r="C106" s="31"/>
      <c r="D106" s="161"/>
      <c r="E106" s="161"/>
      <c r="F106" s="161"/>
      <c r="G106" s="34"/>
      <c r="H106" s="34"/>
      <c r="I106" s="45"/>
      <c r="J106" s="45"/>
      <c r="K106" s="45"/>
      <c r="L106" s="45"/>
      <c r="M106" s="45"/>
      <c r="N106" s="45"/>
      <c r="O106" s="45"/>
      <c r="P106" s="45"/>
      <c r="Q106" s="163"/>
      <c r="R106" s="163"/>
      <c r="S106" s="45"/>
      <c r="T106" s="117"/>
      <c r="U106" s="129"/>
      <c r="V106" s="43"/>
      <c r="W106" s="472"/>
      <c r="X106" s="35"/>
      <c r="Y106" s="35"/>
      <c r="Z106" s="158"/>
      <c r="AA106" s="158"/>
      <c r="AB106" s="158"/>
      <c r="AC106" s="158"/>
      <c r="AD106" s="3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</row>
    <row r="107" spans="1:46" ht="16.5" customHeight="1">
      <c r="A107" s="180"/>
      <c r="B107" s="180"/>
      <c r="C107" s="31"/>
      <c r="D107" s="161"/>
      <c r="E107" s="161"/>
      <c r="F107" s="161"/>
      <c r="G107" s="34"/>
      <c r="H107" s="34"/>
      <c r="I107" s="35"/>
      <c r="J107" s="35"/>
      <c r="K107" s="155"/>
      <c r="L107" s="165"/>
      <c r="M107" s="165"/>
      <c r="N107" s="37"/>
      <c r="O107" s="37"/>
      <c r="P107" s="162"/>
      <c r="Q107" s="163"/>
      <c r="R107" s="163"/>
      <c r="S107" s="35"/>
      <c r="T107" s="117"/>
      <c r="U107" s="129"/>
      <c r="V107" s="43"/>
      <c r="W107" s="437"/>
      <c r="X107" s="35"/>
      <c r="Y107" s="35"/>
      <c r="Z107" s="158"/>
      <c r="AA107" s="158"/>
      <c r="AB107" s="158"/>
      <c r="AC107" s="158"/>
      <c r="AD107" s="3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</row>
    <row r="108" spans="1:46" ht="16.5" customHeight="1">
      <c r="A108" s="180"/>
      <c r="B108" s="180"/>
      <c r="C108" s="31"/>
      <c r="D108" s="161"/>
      <c r="E108" s="161"/>
      <c r="F108" s="161"/>
      <c r="G108" s="34"/>
      <c r="H108" s="34"/>
      <c r="I108" s="35"/>
      <c r="J108" s="35"/>
      <c r="K108" s="181"/>
      <c r="L108" s="165"/>
      <c r="M108" s="165"/>
      <c r="N108" s="181"/>
      <c r="O108" s="37"/>
      <c r="P108" s="162"/>
      <c r="Q108" s="163"/>
      <c r="R108" s="163"/>
      <c r="S108" s="35"/>
      <c r="T108" s="117"/>
      <c r="U108" s="129"/>
      <c r="V108" s="43"/>
      <c r="W108" s="437"/>
      <c r="X108" s="35"/>
      <c r="Y108" s="35"/>
      <c r="Z108" s="158"/>
      <c r="AA108" s="158"/>
      <c r="AB108" s="158"/>
      <c r="AC108" s="158"/>
      <c r="AD108" s="3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</row>
    <row r="109" spans="1:46" ht="16.5" customHeight="1">
      <c r="A109" s="180"/>
      <c r="B109" s="180"/>
      <c r="C109" s="31"/>
      <c r="D109" s="161"/>
      <c r="E109" s="161"/>
      <c r="F109" s="161"/>
      <c r="G109" s="34"/>
      <c r="H109" s="34"/>
      <c r="I109" s="161"/>
      <c r="J109" s="161"/>
      <c r="K109" s="181"/>
      <c r="L109" s="156"/>
      <c r="M109" s="156"/>
      <c r="N109" s="37"/>
      <c r="O109" s="37"/>
      <c r="P109" s="34"/>
      <c r="Q109" s="163"/>
      <c r="R109" s="163"/>
      <c r="S109" s="161"/>
      <c r="T109" s="117"/>
      <c r="U109" s="129"/>
      <c r="V109" s="43"/>
      <c r="W109" s="473"/>
      <c r="X109" s="35"/>
      <c r="Y109" s="35"/>
      <c r="Z109" s="158"/>
      <c r="AA109" s="158"/>
      <c r="AB109" s="158"/>
      <c r="AC109" s="158"/>
      <c r="AD109" s="3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</row>
    <row r="110" spans="1:46" ht="16.5" customHeight="1">
      <c r="A110" s="183"/>
      <c r="B110" s="183"/>
      <c r="C110" s="184"/>
      <c r="D110" s="37"/>
      <c r="E110" s="185"/>
      <c r="F110" s="185"/>
      <c r="G110" s="186"/>
      <c r="H110" s="186"/>
      <c r="I110" s="187"/>
      <c r="J110" s="187"/>
      <c r="K110" s="187"/>
      <c r="L110" s="185"/>
      <c r="M110" s="185"/>
      <c r="N110" s="37"/>
      <c r="O110" s="37"/>
      <c r="P110" s="425"/>
      <c r="Q110" s="189"/>
      <c r="R110" s="189"/>
      <c r="S110" s="187"/>
      <c r="T110" s="190"/>
      <c r="U110" s="191"/>
      <c r="V110" s="192"/>
      <c r="W110" s="428"/>
      <c r="X110" s="187"/>
      <c r="Y110" s="187"/>
      <c r="Z110" s="35"/>
      <c r="AA110" s="35"/>
      <c r="AB110" s="193"/>
      <c r="AC110" s="35"/>
      <c r="AD110" s="3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</row>
    <row r="111" spans="1:46" ht="16.5" customHeight="1">
      <c r="A111" s="194"/>
      <c r="B111" s="194"/>
      <c r="C111" s="184"/>
      <c r="D111" s="37"/>
      <c r="E111" s="185"/>
      <c r="F111" s="185"/>
      <c r="G111" s="186"/>
      <c r="H111" s="186"/>
      <c r="I111" s="187"/>
      <c r="J111" s="187"/>
      <c r="K111" s="187"/>
      <c r="L111" s="185"/>
      <c r="M111" s="185"/>
      <c r="N111" s="37"/>
      <c r="O111" s="37"/>
      <c r="P111" s="425"/>
      <c r="Q111" s="189"/>
      <c r="R111" s="189"/>
      <c r="S111" s="187"/>
      <c r="T111" s="190"/>
      <c r="U111" s="191"/>
      <c r="V111" s="192"/>
      <c r="W111" s="428"/>
      <c r="X111" s="187"/>
      <c r="Y111" s="187"/>
      <c r="Z111" s="35"/>
      <c r="AA111" s="35"/>
      <c r="AB111" s="193"/>
      <c r="AC111" s="35"/>
      <c r="AD111" s="3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</row>
    <row r="112" spans="1:46" ht="16.5" customHeight="1">
      <c r="A112" s="194"/>
      <c r="B112" s="194"/>
      <c r="C112" s="184"/>
      <c r="D112" s="37"/>
      <c r="E112" s="185"/>
      <c r="F112" s="185"/>
      <c r="G112" s="186"/>
      <c r="H112" s="186"/>
      <c r="I112" s="187"/>
      <c r="J112" s="187"/>
      <c r="K112" s="187"/>
      <c r="L112" s="185"/>
      <c r="M112" s="185"/>
      <c r="N112" s="37"/>
      <c r="O112" s="37"/>
      <c r="P112" s="425"/>
      <c r="Q112" s="189"/>
      <c r="R112" s="189"/>
      <c r="S112" s="187"/>
      <c r="T112" s="190"/>
      <c r="U112" s="191"/>
      <c r="V112" s="192"/>
      <c r="W112" s="428"/>
      <c r="X112" s="187"/>
      <c r="Y112" s="187"/>
      <c r="Z112" s="35"/>
      <c r="AA112" s="35"/>
      <c r="AB112" s="193"/>
      <c r="AC112" s="35"/>
      <c r="AD112" s="3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</row>
    <row r="113" spans="1:46" ht="16.5" customHeight="1">
      <c r="A113" s="194"/>
      <c r="B113" s="194"/>
      <c r="C113" s="184"/>
      <c r="D113" s="37"/>
      <c r="E113" s="185"/>
      <c r="F113" s="185"/>
      <c r="G113" s="186"/>
      <c r="H113" s="186"/>
      <c r="I113" s="187"/>
      <c r="J113" s="187"/>
      <c r="K113" s="187"/>
      <c r="L113" s="185"/>
      <c r="M113" s="185"/>
      <c r="N113" s="37"/>
      <c r="O113" s="37"/>
      <c r="P113" s="425"/>
      <c r="Q113" s="189"/>
      <c r="R113" s="189"/>
      <c r="S113" s="187"/>
      <c r="T113" s="190"/>
      <c r="U113" s="191"/>
      <c r="V113" s="192"/>
      <c r="W113" s="428"/>
      <c r="X113" s="187"/>
      <c r="Y113" s="187"/>
      <c r="Z113" s="35"/>
      <c r="AA113" s="35"/>
      <c r="AB113" s="193"/>
      <c r="AC113" s="35"/>
      <c r="AD113" s="3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</row>
    <row r="114" spans="1:46" ht="16.5" customHeight="1">
      <c r="A114" s="180"/>
      <c r="B114" s="180"/>
      <c r="C114" s="31"/>
      <c r="D114" s="161"/>
      <c r="E114" s="161"/>
      <c r="F114" s="161"/>
      <c r="G114" s="34"/>
      <c r="H114" s="34"/>
      <c r="I114" s="35"/>
      <c r="J114" s="35"/>
      <c r="K114" s="181"/>
      <c r="L114" s="156"/>
      <c r="M114" s="156"/>
      <c r="N114" s="37"/>
      <c r="O114" s="37"/>
      <c r="P114" s="34"/>
      <c r="Q114" s="163"/>
      <c r="R114" s="163"/>
      <c r="S114" s="35"/>
      <c r="T114" s="117"/>
      <c r="U114" s="129"/>
      <c r="V114" s="43"/>
      <c r="W114" s="437"/>
      <c r="X114" s="35"/>
      <c r="Y114" s="35"/>
      <c r="Z114" s="158"/>
      <c r="AA114" s="158"/>
      <c r="AB114" s="158"/>
      <c r="AC114" s="158"/>
      <c r="AD114" s="3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</row>
    <row r="115" spans="1:46" ht="16.5" customHeight="1">
      <c r="A115" s="195"/>
      <c r="B115" s="195"/>
      <c r="C115" s="196"/>
      <c r="D115" s="197"/>
      <c r="E115" s="197"/>
      <c r="F115" s="197"/>
      <c r="G115" s="198"/>
      <c r="H115" s="198"/>
      <c r="I115" s="158"/>
      <c r="J115" s="158"/>
      <c r="K115" s="155"/>
      <c r="L115" s="165"/>
      <c r="M115" s="165"/>
      <c r="N115" s="37"/>
      <c r="O115" s="37"/>
      <c r="P115" s="198"/>
      <c r="Q115" s="163"/>
      <c r="R115" s="163"/>
      <c r="S115" s="158"/>
      <c r="T115" s="118"/>
      <c r="U115" s="129"/>
      <c r="V115" s="43"/>
      <c r="W115" s="437"/>
      <c r="X115" s="158"/>
      <c r="Y115" s="158"/>
      <c r="Z115" s="177"/>
      <c r="AA115" s="177"/>
      <c r="AB115" s="177"/>
      <c r="AC115" s="177"/>
      <c r="AD115" s="177"/>
      <c r="AE115" s="74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</row>
    <row r="116" spans="1:46" ht="16.5" customHeight="1">
      <c r="A116" s="195"/>
      <c r="B116" s="195"/>
      <c r="C116" s="196"/>
      <c r="D116" s="201"/>
      <c r="E116" s="201"/>
      <c r="F116" s="201"/>
      <c r="G116" s="198"/>
      <c r="H116" s="198"/>
      <c r="I116" s="158"/>
      <c r="J116" s="158"/>
      <c r="K116" s="155"/>
      <c r="L116" s="165"/>
      <c r="M116" s="165"/>
      <c r="N116" s="37"/>
      <c r="O116" s="37"/>
      <c r="P116" s="198"/>
      <c r="Q116" s="163"/>
      <c r="R116" s="163"/>
      <c r="S116" s="158"/>
      <c r="T116" s="118"/>
      <c r="U116" s="129"/>
      <c r="V116" s="43"/>
      <c r="W116" s="437"/>
      <c r="X116" s="158"/>
      <c r="Y116" s="158"/>
      <c r="Z116" s="177"/>
      <c r="AA116" s="177"/>
      <c r="AB116" s="177"/>
      <c r="AC116" s="177"/>
      <c r="AD116" s="158"/>
      <c r="AE116" s="74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</row>
    <row r="117" spans="1:46" ht="16.5" customHeight="1">
      <c r="A117" s="195"/>
      <c r="B117" s="195"/>
      <c r="C117" s="196"/>
      <c r="D117" s="201"/>
      <c r="E117" s="201"/>
      <c r="F117" s="201"/>
      <c r="G117" s="198"/>
      <c r="H117" s="198"/>
      <c r="I117" s="158"/>
      <c r="J117" s="158"/>
      <c r="K117" s="155"/>
      <c r="L117" s="165"/>
      <c r="M117" s="165"/>
      <c r="N117" s="37"/>
      <c r="O117" s="37"/>
      <c r="P117" s="198"/>
      <c r="Q117" s="163"/>
      <c r="R117" s="163"/>
      <c r="S117" s="158"/>
      <c r="T117" s="118"/>
      <c r="U117" s="129"/>
      <c r="V117" s="43"/>
      <c r="W117" s="437"/>
      <c r="X117" s="158"/>
      <c r="Y117" s="158"/>
      <c r="Z117" s="177"/>
      <c r="AA117" s="177"/>
      <c r="AB117" s="177"/>
      <c r="AC117" s="177"/>
      <c r="AD117" s="158"/>
      <c r="AE117" s="74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</row>
    <row r="118" spans="1:46" ht="16.5" customHeight="1">
      <c r="A118" s="195"/>
      <c r="B118" s="195"/>
      <c r="C118" s="196"/>
      <c r="D118" s="201"/>
      <c r="E118" s="201"/>
      <c r="F118" s="201"/>
      <c r="G118" s="198"/>
      <c r="H118" s="198"/>
      <c r="I118" s="158"/>
      <c r="J118" s="158"/>
      <c r="K118" s="155"/>
      <c r="L118" s="165"/>
      <c r="M118" s="165"/>
      <c r="N118" s="37"/>
      <c r="O118" s="37"/>
      <c r="P118" s="198"/>
      <c r="Q118" s="163"/>
      <c r="R118" s="163"/>
      <c r="S118" s="158"/>
      <c r="T118" s="118"/>
      <c r="U118" s="129"/>
      <c r="V118" s="43"/>
      <c r="W118" s="437"/>
      <c r="X118" s="158"/>
      <c r="Y118" s="158"/>
      <c r="Z118" s="177"/>
      <c r="AA118" s="177"/>
      <c r="AB118" s="177"/>
      <c r="AC118" s="177"/>
      <c r="AD118" s="158"/>
      <c r="AE118" s="74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</row>
    <row r="119" spans="1:46" ht="16.5" customHeight="1">
      <c r="A119" s="195"/>
      <c r="B119" s="195"/>
      <c r="C119" s="196"/>
      <c r="D119" s="197"/>
      <c r="E119" s="165"/>
      <c r="F119" s="165"/>
      <c r="G119" s="198"/>
      <c r="H119" s="198"/>
      <c r="I119" s="158"/>
      <c r="J119" s="158"/>
      <c r="K119" s="155"/>
      <c r="L119" s="165"/>
      <c r="M119" s="165"/>
      <c r="N119" s="37"/>
      <c r="O119" s="37"/>
      <c r="P119" s="198"/>
      <c r="Q119" s="202"/>
      <c r="R119" s="202"/>
      <c r="S119" s="158"/>
      <c r="T119" s="118"/>
      <c r="U119" s="117"/>
      <c r="V119" s="43"/>
      <c r="W119" s="437"/>
      <c r="X119" s="158"/>
      <c r="Y119" s="158"/>
      <c r="Z119" s="177"/>
      <c r="AA119" s="177"/>
      <c r="AB119" s="177"/>
      <c r="AC119" s="177"/>
      <c r="AD119" s="177"/>
      <c r="AE119" s="74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</row>
    <row r="120" spans="1:46" ht="16.5" customHeight="1">
      <c r="A120" s="195"/>
      <c r="B120" s="195"/>
      <c r="C120" s="196"/>
      <c r="D120" s="197"/>
      <c r="E120" s="165"/>
      <c r="F120" s="165"/>
      <c r="G120" s="198"/>
      <c r="H120" s="198"/>
      <c r="I120" s="158"/>
      <c r="J120" s="158"/>
      <c r="K120" s="155"/>
      <c r="L120" s="165"/>
      <c r="M120" s="165"/>
      <c r="N120" s="37"/>
      <c r="O120" s="37"/>
      <c r="P120" s="198"/>
      <c r="Q120" s="202"/>
      <c r="R120" s="202"/>
      <c r="S120" s="158"/>
      <c r="T120" s="118"/>
      <c r="U120" s="117"/>
      <c r="V120" s="43"/>
      <c r="W120" s="437"/>
      <c r="X120" s="158"/>
      <c r="Y120" s="158"/>
      <c r="Z120" s="177"/>
      <c r="AA120" s="177"/>
      <c r="AB120" s="177"/>
      <c r="AC120" s="177"/>
      <c r="AD120" s="177"/>
      <c r="AE120" s="74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</row>
    <row r="121" spans="1:46" ht="16.5" customHeight="1">
      <c r="A121" s="195"/>
      <c r="B121" s="195"/>
      <c r="C121" s="196"/>
      <c r="D121" s="203"/>
      <c r="E121" s="203"/>
      <c r="F121" s="203"/>
      <c r="G121" s="204"/>
      <c r="H121" s="198"/>
      <c r="I121" s="158"/>
      <c r="J121" s="158"/>
      <c r="K121" s="155"/>
      <c r="L121" s="165"/>
      <c r="M121" s="165"/>
      <c r="N121" s="37"/>
      <c r="O121" s="37"/>
      <c r="P121" s="198"/>
      <c r="Q121" s="163"/>
      <c r="R121" s="163"/>
      <c r="S121" s="158"/>
      <c r="T121" s="118"/>
      <c r="U121" s="205"/>
      <c r="V121" s="129"/>
      <c r="W121" s="437"/>
      <c r="X121" s="206"/>
      <c r="Y121" s="206"/>
      <c r="Z121" s="158"/>
      <c r="AA121" s="177"/>
      <c r="AB121" s="177"/>
      <c r="AC121" s="177"/>
      <c r="AD121" s="158"/>
      <c r="AE121" s="74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</row>
    <row r="122" spans="1:46" ht="16.5" customHeight="1">
      <c r="A122" s="195"/>
      <c r="B122" s="195"/>
      <c r="C122" s="196"/>
      <c r="D122" s="197"/>
      <c r="E122" s="165"/>
      <c r="F122" s="165"/>
      <c r="G122" s="198"/>
      <c r="H122" s="198"/>
      <c r="I122" s="158"/>
      <c r="J122" s="158"/>
      <c r="K122" s="155"/>
      <c r="L122" s="165"/>
      <c r="M122" s="165"/>
      <c r="N122" s="37"/>
      <c r="O122" s="37"/>
      <c r="P122" s="198"/>
      <c r="Q122" s="202"/>
      <c r="R122" s="202"/>
      <c r="S122" s="158"/>
      <c r="T122" s="118"/>
      <c r="U122" s="117"/>
      <c r="V122" s="129"/>
      <c r="W122" s="437"/>
      <c r="X122" s="158"/>
      <c r="Y122" s="158"/>
      <c r="Z122" s="177"/>
      <c r="AA122" s="177"/>
      <c r="AB122" s="177"/>
      <c r="AC122" s="177"/>
      <c r="AD122" s="177"/>
      <c r="AE122" s="74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</row>
    <row r="123" spans="1:46" ht="16.5" customHeight="1">
      <c r="A123" s="195"/>
      <c r="B123" s="195"/>
      <c r="C123" s="196"/>
      <c r="D123" s="197"/>
      <c r="E123" s="197"/>
      <c r="F123" s="197"/>
      <c r="G123" s="198"/>
      <c r="H123" s="198"/>
      <c r="I123" s="158"/>
      <c r="J123" s="158"/>
      <c r="K123" s="155"/>
      <c r="L123" s="165"/>
      <c r="M123" s="165"/>
      <c r="N123" s="37"/>
      <c r="O123" s="37"/>
      <c r="P123" s="198"/>
      <c r="Q123" s="202"/>
      <c r="R123" s="202"/>
      <c r="S123" s="158"/>
      <c r="T123" s="118"/>
      <c r="U123" s="129"/>
      <c r="V123" s="43"/>
      <c r="W123" s="437"/>
      <c r="X123" s="158"/>
      <c r="Y123" s="158"/>
      <c r="Z123" s="177"/>
      <c r="AA123" s="177"/>
      <c r="AB123" s="177"/>
      <c r="AC123" s="177"/>
      <c r="AD123" s="177"/>
      <c r="AE123" s="74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</row>
    <row r="124" spans="1:46" ht="16.5" customHeight="1">
      <c r="A124" s="195"/>
      <c r="B124" s="195"/>
      <c r="C124" s="196"/>
      <c r="D124" s="197"/>
      <c r="E124" s="197"/>
      <c r="F124" s="197"/>
      <c r="G124" s="198"/>
      <c r="H124" s="198"/>
      <c r="I124" s="158"/>
      <c r="J124" s="158"/>
      <c r="K124" s="155"/>
      <c r="L124" s="165"/>
      <c r="M124" s="165"/>
      <c r="N124" s="37"/>
      <c r="O124" s="37"/>
      <c r="P124" s="198"/>
      <c r="Q124" s="202"/>
      <c r="R124" s="202"/>
      <c r="S124" s="158"/>
      <c r="T124" s="150"/>
      <c r="U124" s="129"/>
      <c r="V124" s="43"/>
      <c r="W124" s="437"/>
      <c r="X124" s="158"/>
      <c r="Y124" s="158"/>
      <c r="Z124" s="177"/>
      <c r="AA124" s="177"/>
      <c r="AB124" s="177"/>
      <c r="AC124" s="177"/>
      <c r="AD124" s="177"/>
      <c r="AE124" s="74"/>
      <c r="AF124" s="200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</row>
    <row r="125" spans="1:46" ht="16.5" customHeight="1">
      <c r="A125" s="208"/>
      <c r="B125" s="208"/>
      <c r="C125" s="196"/>
      <c r="D125" s="197"/>
      <c r="E125" s="165"/>
      <c r="F125" s="165"/>
      <c r="G125" s="198"/>
      <c r="H125" s="198"/>
      <c r="I125" s="177"/>
      <c r="J125" s="177"/>
      <c r="K125" s="177"/>
      <c r="L125" s="165"/>
      <c r="M125" s="165"/>
      <c r="N125" s="177"/>
      <c r="O125" s="177"/>
      <c r="P125" s="427"/>
      <c r="Q125" s="163"/>
      <c r="R125" s="163"/>
      <c r="S125" s="177"/>
      <c r="T125" s="118"/>
      <c r="U125" s="117"/>
      <c r="V125" s="129"/>
      <c r="W125" s="437"/>
      <c r="X125" s="158"/>
      <c r="Y125" s="158"/>
      <c r="Z125" s="158"/>
      <c r="AA125" s="177"/>
      <c r="AB125" s="177"/>
      <c r="AC125" s="177"/>
      <c r="AD125" s="158"/>
      <c r="AE125" s="74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</row>
    <row r="126" spans="1:46" ht="16.5" customHeight="1">
      <c r="A126" s="195"/>
      <c r="B126" s="195"/>
      <c r="C126" s="196"/>
      <c r="D126" s="197"/>
      <c r="E126" s="165"/>
      <c r="F126" s="165"/>
      <c r="G126" s="198"/>
      <c r="H126" s="198"/>
      <c r="I126" s="177"/>
      <c r="J126" s="177"/>
      <c r="K126" s="177"/>
      <c r="L126" s="165"/>
      <c r="M126" s="165"/>
      <c r="N126" s="177"/>
      <c r="O126" s="177"/>
      <c r="P126" s="427"/>
      <c r="Q126" s="163"/>
      <c r="R126" s="163"/>
      <c r="S126" s="177"/>
      <c r="T126" s="118"/>
      <c r="U126" s="117"/>
      <c r="V126" s="129"/>
      <c r="W126" s="437"/>
      <c r="X126" s="158"/>
      <c r="Y126" s="158"/>
      <c r="Z126" s="158"/>
      <c r="AA126" s="177"/>
      <c r="AB126" s="177"/>
      <c r="AC126" s="177"/>
      <c r="AD126" s="177"/>
      <c r="AE126" s="74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</row>
    <row r="127" spans="1:46" ht="16.5" customHeight="1">
      <c r="A127" s="195"/>
      <c r="B127" s="195"/>
      <c r="C127" s="196"/>
      <c r="D127" s="197"/>
      <c r="E127" s="197"/>
      <c r="F127" s="197"/>
      <c r="G127" s="198"/>
      <c r="H127" s="198"/>
      <c r="I127" s="158"/>
      <c r="J127" s="158"/>
      <c r="K127" s="155"/>
      <c r="L127" s="165"/>
      <c r="M127" s="165"/>
      <c r="N127" s="37"/>
      <c r="O127" s="37"/>
      <c r="P127" s="198"/>
      <c r="Q127" s="202"/>
      <c r="R127" s="202"/>
      <c r="S127" s="158"/>
      <c r="T127" s="118"/>
      <c r="U127" s="129"/>
      <c r="V127" s="129"/>
      <c r="W127" s="437"/>
      <c r="X127" s="158"/>
      <c r="Y127" s="158"/>
      <c r="Z127" s="158"/>
      <c r="AA127" s="177"/>
      <c r="AB127" s="177"/>
      <c r="AC127" s="177"/>
      <c r="AD127" s="158"/>
      <c r="AE127" s="74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</row>
    <row r="128" spans="1:46" ht="16.5" customHeight="1">
      <c r="A128" s="195"/>
      <c r="B128" s="195"/>
      <c r="C128" s="196"/>
      <c r="D128" s="197"/>
      <c r="E128" s="197"/>
      <c r="F128" s="197"/>
      <c r="G128" s="198"/>
      <c r="H128" s="198"/>
      <c r="I128" s="158"/>
      <c r="J128" s="158"/>
      <c r="K128" s="155"/>
      <c r="L128" s="165"/>
      <c r="M128" s="165"/>
      <c r="N128" s="37"/>
      <c r="O128" s="37"/>
      <c r="P128" s="198"/>
      <c r="Q128" s="202"/>
      <c r="R128" s="202"/>
      <c r="S128" s="158"/>
      <c r="T128" s="118"/>
      <c r="U128" s="129"/>
      <c r="V128" s="129"/>
      <c r="W128" s="437"/>
      <c r="X128" s="158"/>
      <c r="Y128" s="158"/>
      <c r="Z128" s="158"/>
      <c r="AA128" s="177"/>
      <c r="AB128" s="177"/>
      <c r="AC128" s="177"/>
      <c r="AD128" s="158"/>
      <c r="AE128" s="74"/>
      <c r="AF128" s="200"/>
      <c r="AG128" s="207"/>
      <c r="AH128" s="207"/>
      <c r="AI128" s="207"/>
      <c r="AJ128" s="207"/>
      <c r="AK128" s="207"/>
      <c r="AL128" s="207"/>
      <c r="AM128" s="207"/>
      <c r="AN128" s="207"/>
      <c r="AO128" s="207"/>
      <c r="AP128" s="207"/>
      <c r="AQ128" s="207"/>
      <c r="AR128" s="207"/>
      <c r="AS128" s="207"/>
      <c r="AT128" s="207"/>
    </row>
    <row r="129" spans="1:46" ht="16.5" customHeight="1">
      <c r="A129" s="208"/>
      <c r="B129" s="208"/>
      <c r="C129" s="196"/>
      <c r="D129" s="197"/>
      <c r="E129" s="165"/>
      <c r="F129" s="165"/>
      <c r="G129" s="198"/>
      <c r="H129" s="198"/>
      <c r="I129" s="158"/>
      <c r="J129" s="158"/>
      <c r="K129" s="155"/>
      <c r="L129" s="165"/>
      <c r="M129" s="165"/>
      <c r="N129" s="37"/>
      <c r="O129" s="37"/>
      <c r="P129" s="199"/>
      <c r="Q129" s="202"/>
      <c r="R129" s="202"/>
      <c r="S129" s="158"/>
      <c r="T129" s="118"/>
      <c r="U129" s="129"/>
      <c r="V129" s="43"/>
      <c r="W129" s="437"/>
      <c r="X129" s="158"/>
      <c r="Y129" s="158"/>
      <c r="Z129" s="177"/>
      <c r="AA129" s="177"/>
      <c r="AB129" s="177"/>
      <c r="AC129" s="177"/>
      <c r="AD129" s="158"/>
      <c r="AE129" s="74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</row>
    <row r="130" spans="1:46" ht="16.5" customHeight="1">
      <c r="A130" s="195"/>
      <c r="B130" s="195"/>
      <c r="C130" s="196"/>
      <c r="D130" s="197"/>
      <c r="E130" s="165"/>
      <c r="F130" s="165"/>
      <c r="G130" s="209"/>
      <c r="H130" s="198"/>
      <c r="I130" s="158"/>
      <c r="J130" s="158"/>
      <c r="K130" s="155"/>
      <c r="L130" s="165"/>
      <c r="M130" s="165"/>
      <c r="N130" s="37"/>
      <c r="O130" s="37"/>
      <c r="P130" s="198"/>
      <c r="Q130" s="202"/>
      <c r="R130" s="202"/>
      <c r="S130" s="158"/>
      <c r="T130" s="118"/>
      <c r="U130" s="129"/>
      <c r="V130" s="43"/>
      <c r="W130" s="437"/>
      <c r="X130" s="158"/>
      <c r="Y130" s="158"/>
      <c r="Z130" s="177"/>
      <c r="AA130" s="177"/>
      <c r="AB130" s="177"/>
      <c r="AC130" s="177"/>
      <c r="AD130" s="158"/>
      <c r="AE130" s="74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</row>
    <row r="131" spans="1:46" ht="16.5" customHeight="1">
      <c r="A131" s="195"/>
      <c r="B131" s="195"/>
      <c r="C131" s="196"/>
      <c r="D131" s="197"/>
      <c r="E131" s="165"/>
      <c r="F131" s="165"/>
      <c r="G131" s="198"/>
      <c r="H131" s="198"/>
      <c r="I131" s="158"/>
      <c r="J131" s="158"/>
      <c r="K131" s="155"/>
      <c r="L131" s="165"/>
      <c r="M131" s="165"/>
      <c r="N131" s="37"/>
      <c r="O131" s="37"/>
      <c r="P131" s="199"/>
      <c r="Q131" s="202"/>
      <c r="R131" s="202"/>
      <c r="S131" s="158"/>
      <c r="T131" s="118"/>
      <c r="U131" s="129"/>
      <c r="V131" s="43"/>
      <c r="W131" s="437"/>
      <c r="X131" s="158"/>
      <c r="Y131" s="158"/>
      <c r="Z131" s="177"/>
      <c r="AA131" s="177"/>
      <c r="AB131" s="177"/>
      <c r="AC131" s="177"/>
      <c r="AD131" s="158"/>
      <c r="AE131" s="74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</row>
    <row r="132" spans="1:46" ht="16.5" customHeight="1">
      <c r="A132" s="195"/>
      <c r="B132" s="195"/>
      <c r="C132" s="196"/>
      <c r="D132" s="197"/>
      <c r="E132" s="197"/>
      <c r="F132" s="197"/>
      <c r="G132" s="198"/>
      <c r="H132" s="198"/>
      <c r="I132" s="158"/>
      <c r="J132" s="158"/>
      <c r="K132" s="155"/>
      <c r="L132" s="165"/>
      <c r="M132" s="165"/>
      <c r="N132" s="37"/>
      <c r="O132" s="37"/>
      <c r="P132" s="198"/>
      <c r="Q132" s="202"/>
      <c r="R132" s="202"/>
      <c r="S132" s="158"/>
      <c r="T132" s="118"/>
      <c r="U132" s="129"/>
      <c r="V132" s="43"/>
      <c r="W132" s="437"/>
      <c r="X132" s="158"/>
      <c r="Y132" s="158"/>
      <c r="Z132" s="177"/>
      <c r="AA132" s="177"/>
      <c r="AB132" s="177"/>
      <c r="AC132" s="177"/>
      <c r="AD132" s="158"/>
      <c r="AE132" s="74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</row>
    <row r="133" spans="1:46" ht="16.5" customHeight="1">
      <c r="A133" s="195"/>
      <c r="B133" s="195"/>
      <c r="C133" s="196"/>
      <c r="D133" s="197"/>
      <c r="E133" s="197"/>
      <c r="F133" s="197"/>
      <c r="G133" s="198"/>
      <c r="H133" s="198"/>
      <c r="I133" s="158"/>
      <c r="J133" s="158"/>
      <c r="K133" s="155"/>
      <c r="L133" s="165"/>
      <c r="M133" s="165"/>
      <c r="N133" s="37"/>
      <c r="O133" s="37"/>
      <c r="P133" s="198"/>
      <c r="Q133" s="202"/>
      <c r="R133" s="202"/>
      <c r="S133" s="158"/>
      <c r="T133" s="118"/>
      <c r="U133" s="129"/>
      <c r="V133" s="43"/>
      <c r="W133" s="437"/>
      <c r="X133" s="158"/>
      <c r="Y133" s="158"/>
      <c r="Z133" s="177"/>
      <c r="AA133" s="177"/>
      <c r="AB133" s="177"/>
      <c r="AC133" s="177"/>
      <c r="AD133" s="158"/>
      <c r="AE133" s="74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</row>
    <row r="134" spans="1:46" ht="16.5" customHeight="1">
      <c r="A134" s="195"/>
      <c r="B134" s="195"/>
      <c r="C134" s="210"/>
      <c r="D134" s="197"/>
      <c r="E134" s="197"/>
      <c r="F134" s="197"/>
      <c r="G134" s="198"/>
      <c r="H134" s="198"/>
      <c r="I134" s="158"/>
      <c r="J134" s="158"/>
      <c r="K134" s="155"/>
      <c r="L134" s="165"/>
      <c r="M134" s="165"/>
      <c r="N134" s="37"/>
      <c r="O134" s="37"/>
      <c r="P134" s="198"/>
      <c r="Q134" s="202"/>
      <c r="R134" s="202"/>
      <c r="S134" s="158"/>
      <c r="T134" s="118"/>
      <c r="U134" s="129"/>
      <c r="V134" s="43"/>
      <c r="W134" s="437"/>
      <c r="X134" s="158"/>
      <c r="Y134" s="158"/>
      <c r="Z134" s="177"/>
      <c r="AA134" s="177"/>
      <c r="AB134" s="177"/>
      <c r="AC134" s="177"/>
      <c r="AD134" s="158"/>
      <c r="AE134" s="74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</row>
    <row r="135" spans="1:46" ht="16.5" customHeight="1">
      <c r="A135" s="195"/>
      <c r="B135" s="195"/>
      <c r="C135" s="211"/>
      <c r="D135" s="197"/>
      <c r="E135" s="197"/>
      <c r="F135" s="197"/>
      <c r="G135" s="198"/>
      <c r="H135" s="198"/>
      <c r="I135" s="158"/>
      <c r="J135" s="158"/>
      <c r="K135" s="155"/>
      <c r="L135" s="165"/>
      <c r="M135" s="165"/>
      <c r="N135" s="37"/>
      <c r="O135" s="37"/>
      <c r="P135" s="198"/>
      <c r="Q135" s="202"/>
      <c r="R135" s="202"/>
      <c r="S135" s="158"/>
      <c r="T135" s="118"/>
      <c r="U135" s="129"/>
      <c r="V135" s="43"/>
      <c r="W135" s="437"/>
      <c r="X135" s="158"/>
      <c r="Y135" s="158"/>
      <c r="Z135" s="177"/>
      <c r="AA135" s="177"/>
      <c r="AB135" s="177"/>
      <c r="AC135" s="177"/>
      <c r="AD135" s="158"/>
      <c r="AE135" s="74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</row>
    <row r="136" spans="1:46" ht="16.5" customHeight="1">
      <c r="A136" s="195"/>
      <c r="B136" s="195"/>
      <c r="C136" s="196"/>
      <c r="D136" s="197"/>
      <c r="E136" s="197"/>
      <c r="F136" s="197"/>
      <c r="G136" s="198"/>
      <c r="H136" s="198"/>
      <c r="I136" s="158"/>
      <c r="J136" s="158"/>
      <c r="K136" s="155"/>
      <c r="L136" s="165"/>
      <c r="M136" s="165"/>
      <c r="N136" s="37"/>
      <c r="O136" s="37"/>
      <c r="P136" s="198"/>
      <c r="Q136" s="202"/>
      <c r="R136" s="202"/>
      <c r="S136" s="158"/>
      <c r="T136" s="118"/>
      <c r="U136" s="129"/>
      <c r="V136" s="43"/>
      <c r="W136" s="437"/>
      <c r="X136" s="158"/>
      <c r="Y136" s="158"/>
      <c r="Z136" s="177"/>
      <c r="AA136" s="177"/>
      <c r="AB136" s="177"/>
      <c r="AC136" s="177"/>
      <c r="AD136" s="158"/>
      <c r="AE136" s="74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</row>
    <row r="137" spans="1:46" ht="16.5" customHeight="1">
      <c r="A137" s="195"/>
      <c r="B137" s="195"/>
      <c r="C137" s="196"/>
      <c r="D137" s="197"/>
      <c r="E137" s="197"/>
      <c r="F137" s="197"/>
      <c r="G137" s="198"/>
      <c r="H137" s="198"/>
      <c r="I137" s="158"/>
      <c r="J137" s="158"/>
      <c r="K137" s="155"/>
      <c r="L137" s="165"/>
      <c r="M137" s="165"/>
      <c r="N137" s="37"/>
      <c r="O137" s="37"/>
      <c r="P137" s="198"/>
      <c r="Q137" s="202"/>
      <c r="R137" s="202"/>
      <c r="S137" s="158"/>
      <c r="T137" s="118"/>
      <c r="U137" s="129"/>
      <c r="V137" s="43"/>
      <c r="W137" s="437"/>
      <c r="X137" s="158"/>
      <c r="Y137" s="158"/>
      <c r="Z137" s="177"/>
      <c r="AA137" s="177"/>
      <c r="AB137" s="177"/>
      <c r="AC137" s="177"/>
      <c r="AD137" s="158"/>
      <c r="AE137" s="74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</row>
    <row r="138" spans="1:46" ht="16.5" customHeight="1">
      <c r="A138" s="195"/>
      <c r="B138" s="195"/>
      <c r="C138" s="196"/>
      <c r="D138" s="197"/>
      <c r="E138" s="197"/>
      <c r="F138" s="197"/>
      <c r="G138" s="198"/>
      <c r="H138" s="198"/>
      <c r="I138" s="158"/>
      <c r="J138" s="158"/>
      <c r="K138" s="155"/>
      <c r="L138" s="165"/>
      <c r="M138" s="165"/>
      <c r="N138" s="37"/>
      <c r="O138" s="37"/>
      <c r="P138" s="198"/>
      <c r="Q138" s="202"/>
      <c r="R138" s="202"/>
      <c r="S138" s="158"/>
      <c r="T138" s="118"/>
      <c r="U138" s="129"/>
      <c r="V138" s="43"/>
      <c r="W138" s="437"/>
      <c r="X138" s="158"/>
      <c r="Y138" s="158"/>
      <c r="Z138" s="177"/>
      <c r="AA138" s="177"/>
      <c r="AB138" s="177"/>
      <c r="AC138" s="177"/>
      <c r="AD138" s="158"/>
      <c r="AE138" s="74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</row>
    <row r="139" spans="1:46" ht="16.5" customHeight="1">
      <c r="A139" s="195"/>
      <c r="B139" s="195"/>
      <c r="C139" s="196"/>
      <c r="D139" s="197"/>
      <c r="E139" s="197"/>
      <c r="F139" s="197"/>
      <c r="G139" s="198"/>
      <c r="H139" s="198"/>
      <c r="I139" s="158"/>
      <c r="J139" s="158"/>
      <c r="K139" s="155"/>
      <c r="L139" s="165"/>
      <c r="M139" s="165"/>
      <c r="N139" s="37"/>
      <c r="O139" s="37"/>
      <c r="P139" s="198"/>
      <c r="Q139" s="202"/>
      <c r="R139" s="202"/>
      <c r="S139" s="158"/>
      <c r="T139" s="118"/>
      <c r="U139" s="129"/>
      <c r="V139" s="129"/>
      <c r="W139" s="437"/>
      <c r="X139" s="158"/>
      <c r="Y139" s="158"/>
      <c r="Z139" s="158"/>
      <c r="AA139" s="177"/>
      <c r="AB139" s="177"/>
      <c r="AC139" s="177"/>
      <c r="AD139" s="158"/>
      <c r="AE139" s="74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</row>
    <row r="140" spans="1:46" ht="16.5" customHeight="1">
      <c r="A140" s="195"/>
      <c r="B140" s="195"/>
      <c r="C140" s="196"/>
      <c r="D140" s="197"/>
      <c r="E140" s="197"/>
      <c r="F140" s="197"/>
      <c r="G140" s="198"/>
      <c r="H140" s="198"/>
      <c r="I140" s="158"/>
      <c r="J140" s="158"/>
      <c r="K140" s="155"/>
      <c r="L140" s="165"/>
      <c r="M140" s="165"/>
      <c r="N140" s="37"/>
      <c r="O140" s="37"/>
      <c r="P140" s="198"/>
      <c r="Q140" s="202"/>
      <c r="R140" s="202"/>
      <c r="S140" s="158"/>
      <c r="T140" s="118"/>
      <c r="U140" s="129"/>
      <c r="V140" s="129"/>
      <c r="W140" s="437"/>
      <c r="X140" s="158"/>
      <c r="Y140" s="158"/>
      <c r="Z140" s="158"/>
      <c r="AA140" s="177"/>
      <c r="AB140" s="177"/>
      <c r="AC140" s="177"/>
      <c r="AD140" s="158"/>
      <c r="AE140" s="74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</row>
    <row r="141" spans="1:46" ht="16.5" customHeight="1">
      <c r="A141" s="195"/>
      <c r="B141" s="195"/>
      <c r="C141" s="196"/>
      <c r="D141" s="197"/>
      <c r="E141" s="197"/>
      <c r="F141" s="197"/>
      <c r="G141" s="198"/>
      <c r="H141" s="198"/>
      <c r="I141" s="158"/>
      <c r="J141" s="158"/>
      <c r="K141" s="155"/>
      <c r="L141" s="165"/>
      <c r="M141" s="165"/>
      <c r="N141" s="37"/>
      <c r="O141" s="37"/>
      <c r="P141" s="198"/>
      <c r="Q141" s="202"/>
      <c r="R141" s="202"/>
      <c r="S141" s="158"/>
      <c r="T141" s="118"/>
      <c r="U141" s="129"/>
      <c r="V141" s="129"/>
      <c r="W141" s="437"/>
      <c r="X141" s="158"/>
      <c r="Y141" s="158"/>
      <c r="Z141" s="158"/>
      <c r="AA141" s="177"/>
      <c r="AB141" s="177"/>
      <c r="AC141" s="177"/>
      <c r="AD141" s="158"/>
      <c r="AE141" s="74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</row>
    <row r="142" spans="1:46" ht="16.5" customHeight="1">
      <c r="A142" s="195"/>
      <c r="B142" s="195"/>
      <c r="C142" s="196"/>
      <c r="D142" s="197"/>
      <c r="E142" s="197"/>
      <c r="F142" s="197"/>
      <c r="G142" s="198"/>
      <c r="H142" s="198"/>
      <c r="I142" s="158"/>
      <c r="J142" s="158"/>
      <c r="K142" s="155"/>
      <c r="L142" s="165"/>
      <c r="M142" s="165"/>
      <c r="N142" s="37"/>
      <c r="O142" s="37"/>
      <c r="P142" s="198"/>
      <c r="Q142" s="202"/>
      <c r="R142" s="202"/>
      <c r="S142" s="158"/>
      <c r="T142" s="118"/>
      <c r="U142" s="129"/>
      <c r="V142" s="129"/>
      <c r="W142" s="437"/>
      <c r="X142" s="158"/>
      <c r="Y142" s="158"/>
      <c r="Z142" s="158"/>
      <c r="AA142" s="177"/>
      <c r="AB142" s="177"/>
      <c r="AC142" s="177"/>
      <c r="AD142" s="158"/>
      <c r="AE142" s="74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</row>
    <row r="143" spans="1:46" ht="16.5" customHeight="1">
      <c r="A143" s="195"/>
      <c r="B143" s="195"/>
      <c r="C143" s="196"/>
      <c r="D143" s="197"/>
      <c r="E143" s="197"/>
      <c r="F143" s="197"/>
      <c r="G143" s="198"/>
      <c r="H143" s="198"/>
      <c r="I143" s="158"/>
      <c r="J143" s="158"/>
      <c r="K143" s="155"/>
      <c r="L143" s="165"/>
      <c r="M143" s="165"/>
      <c r="N143" s="37"/>
      <c r="O143" s="37"/>
      <c r="P143" s="198"/>
      <c r="Q143" s="202"/>
      <c r="R143" s="202"/>
      <c r="S143" s="158"/>
      <c r="T143" s="118"/>
      <c r="U143" s="129"/>
      <c r="V143" s="43"/>
      <c r="W143" s="437"/>
      <c r="X143" s="158"/>
      <c r="Y143" s="158"/>
      <c r="Z143" s="158"/>
      <c r="AA143" s="177"/>
      <c r="AB143" s="177"/>
      <c r="AC143" s="177"/>
      <c r="AD143" s="158"/>
      <c r="AE143" s="74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</row>
    <row r="144" spans="1:46" ht="16.5" customHeight="1">
      <c r="A144" s="195"/>
      <c r="B144" s="195"/>
      <c r="C144" s="196"/>
      <c r="D144" s="197"/>
      <c r="E144" s="197"/>
      <c r="F144" s="197"/>
      <c r="G144" s="198"/>
      <c r="H144" s="198"/>
      <c r="I144" s="158"/>
      <c r="J144" s="158"/>
      <c r="K144" s="155"/>
      <c r="L144" s="165"/>
      <c r="M144" s="165"/>
      <c r="N144" s="37"/>
      <c r="O144" s="37"/>
      <c r="P144" s="198"/>
      <c r="Q144" s="202"/>
      <c r="R144" s="202"/>
      <c r="S144" s="158"/>
      <c r="T144" s="118"/>
      <c r="U144" s="129"/>
      <c r="V144" s="129"/>
      <c r="W144" s="437"/>
      <c r="X144" s="158"/>
      <c r="Y144" s="158"/>
      <c r="Z144" s="158"/>
      <c r="AA144" s="177"/>
      <c r="AB144" s="177"/>
      <c r="AC144" s="177"/>
      <c r="AD144" s="158"/>
      <c r="AE144" s="74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</row>
    <row r="145" spans="1:46" ht="16.5" customHeight="1">
      <c r="A145" s="195"/>
      <c r="B145" s="195"/>
      <c r="C145" s="196"/>
      <c r="D145" s="197"/>
      <c r="E145" s="197"/>
      <c r="F145" s="197"/>
      <c r="G145" s="198"/>
      <c r="H145" s="198"/>
      <c r="I145" s="158"/>
      <c r="J145" s="158"/>
      <c r="K145" s="155"/>
      <c r="L145" s="165"/>
      <c r="M145" s="165"/>
      <c r="N145" s="37"/>
      <c r="O145" s="37"/>
      <c r="P145" s="198"/>
      <c r="Q145" s="202"/>
      <c r="R145" s="202"/>
      <c r="S145" s="158"/>
      <c r="T145" s="118"/>
      <c r="U145" s="117"/>
      <c r="V145" s="43"/>
      <c r="W145" s="437"/>
      <c r="X145" s="158"/>
      <c r="Y145" s="158"/>
      <c r="Z145" s="158"/>
      <c r="AA145" s="177"/>
      <c r="AB145" s="177"/>
      <c r="AC145" s="177"/>
      <c r="AD145" s="158"/>
      <c r="AE145" s="74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</row>
    <row r="146" spans="1:46" ht="16.5" customHeight="1">
      <c r="A146" s="195"/>
      <c r="B146" s="195"/>
      <c r="C146" s="196"/>
      <c r="D146" s="197"/>
      <c r="E146" s="197"/>
      <c r="F146" s="197"/>
      <c r="G146" s="199"/>
      <c r="H146" s="198"/>
      <c r="I146" s="158"/>
      <c r="J146" s="158"/>
      <c r="K146" s="155"/>
      <c r="L146" s="165"/>
      <c r="M146" s="165"/>
      <c r="N146" s="37"/>
      <c r="O146" s="37"/>
      <c r="P146" s="198"/>
      <c r="Q146" s="202"/>
      <c r="R146" s="202"/>
      <c r="S146" s="158"/>
      <c r="T146" s="118"/>
      <c r="U146" s="129"/>
      <c r="V146" s="129"/>
      <c r="W146" s="437"/>
      <c r="X146" s="199"/>
      <c r="Y146" s="199"/>
      <c r="Z146" s="158"/>
      <c r="AA146" s="177"/>
      <c r="AB146" s="177"/>
      <c r="AC146" s="177"/>
      <c r="AD146" s="158"/>
      <c r="AE146" s="74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</row>
    <row r="147" spans="1:46" ht="16.5" customHeight="1">
      <c r="A147" s="195"/>
      <c r="B147" s="195"/>
      <c r="C147" s="196"/>
      <c r="D147" s="197"/>
      <c r="E147" s="197"/>
      <c r="F147" s="197"/>
      <c r="G147" s="198"/>
      <c r="H147" s="198"/>
      <c r="I147" s="158"/>
      <c r="J147" s="158"/>
      <c r="K147" s="155"/>
      <c r="L147" s="165"/>
      <c r="M147" s="165"/>
      <c r="N147" s="37"/>
      <c r="O147" s="37"/>
      <c r="P147" s="198"/>
      <c r="Q147" s="202"/>
      <c r="R147" s="202"/>
      <c r="S147" s="158"/>
      <c r="T147" s="118"/>
      <c r="U147" s="129"/>
      <c r="V147" s="129"/>
      <c r="W147" s="437"/>
      <c r="X147" s="158"/>
      <c r="Y147" s="158"/>
      <c r="Z147" s="158"/>
      <c r="AA147" s="177"/>
      <c r="AB147" s="177"/>
      <c r="AC147" s="177"/>
      <c r="AD147" s="158"/>
      <c r="AE147" s="74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</row>
    <row r="148" spans="1:46" ht="16.5" customHeight="1">
      <c r="A148" s="195"/>
      <c r="B148" s="195"/>
      <c r="C148" s="196"/>
      <c r="D148" s="165"/>
      <c r="E148" s="165"/>
      <c r="F148" s="165"/>
      <c r="G148" s="198"/>
      <c r="H148" s="198"/>
      <c r="I148" s="158"/>
      <c r="J148" s="158"/>
      <c r="K148" s="155"/>
      <c r="L148" s="165"/>
      <c r="M148" s="165"/>
      <c r="N148" s="37"/>
      <c r="O148" s="37"/>
      <c r="P148" s="198"/>
      <c r="Q148" s="202"/>
      <c r="R148" s="202"/>
      <c r="S148" s="158"/>
      <c r="T148" s="118"/>
      <c r="U148" s="117"/>
      <c r="V148" s="43"/>
      <c r="W148" s="437"/>
      <c r="X148" s="158"/>
      <c r="Y148" s="158"/>
      <c r="Z148" s="158"/>
      <c r="AA148" s="177"/>
      <c r="AB148" s="177"/>
      <c r="AC148" s="177"/>
      <c r="AD148" s="158"/>
      <c r="AE148" s="74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</row>
    <row r="149" spans="1:46" ht="16.5" customHeight="1">
      <c r="A149" s="195"/>
      <c r="B149" s="195"/>
      <c r="C149" s="196"/>
      <c r="D149" s="197"/>
      <c r="E149" s="197"/>
      <c r="F149" s="197"/>
      <c r="G149" s="198"/>
      <c r="H149" s="198"/>
      <c r="I149" s="158"/>
      <c r="J149" s="158"/>
      <c r="K149" s="155"/>
      <c r="L149" s="165"/>
      <c r="M149" s="165"/>
      <c r="N149" s="37"/>
      <c r="O149" s="37"/>
      <c r="P149" s="198"/>
      <c r="Q149" s="202"/>
      <c r="R149" s="202"/>
      <c r="S149" s="158"/>
      <c r="T149" s="118"/>
      <c r="U149" s="117"/>
      <c r="V149" s="129"/>
      <c r="W149" s="437"/>
      <c r="X149" s="158"/>
      <c r="Y149" s="158"/>
      <c r="Z149" s="158"/>
      <c r="AA149" s="177"/>
      <c r="AB149" s="177"/>
      <c r="AC149" s="177"/>
      <c r="AD149" s="158"/>
      <c r="AE149" s="74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</row>
    <row r="150" spans="1:46" ht="16.5" customHeight="1">
      <c r="A150" s="195"/>
      <c r="B150" s="195"/>
      <c r="C150" s="196"/>
      <c r="D150" s="197"/>
      <c r="E150" s="197"/>
      <c r="F150" s="197"/>
      <c r="G150" s="198"/>
      <c r="H150" s="198"/>
      <c r="I150" s="158"/>
      <c r="J150" s="158"/>
      <c r="K150" s="155"/>
      <c r="L150" s="165"/>
      <c r="M150" s="165"/>
      <c r="N150" s="37"/>
      <c r="O150" s="37"/>
      <c r="P150" s="198"/>
      <c r="Q150" s="202"/>
      <c r="R150" s="202"/>
      <c r="S150" s="158"/>
      <c r="T150" s="118"/>
      <c r="U150" s="129"/>
      <c r="V150" s="129"/>
      <c r="W150" s="437"/>
      <c r="X150" s="158"/>
      <c r="Y150" s="158"/>
      <c r="Z150" s="158"/>
      <c r="AA150" s="177"/>
      <c r="AB150" s="177"/>
      <c r="AC150" s="177"/>
      <c r="AD150" s="158"/>
      <c r="AE150" s="74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</row>
    <row r="151" spans="1:46" ht="16.5" customHeight="1">
      <c r="A151" s="195"/>
      <c r="B151" s="195"/>
      <c r="C151" s="196"/>
      <c r="D151" s="197"/>
      <c r="E151" s="197"/>
      <c r="F151" s="197"/>
      <c r="G151" s="198"/>
      <c r="H151" s="198"/>
      <c r="I151" s="158"/>
      <c r="J151" s="158"/>
      <c r="K151" s="155"/>
      <c r="L151" s="165"/>
      <c r="M151" s="165"/>
      <c r="N151" s="37"/>
      <c r="O151" s="37"/>
      <c r="P151" s="198"/>
      <c r="Q151" s="202"/>
      <c r="R151" s="202"/>
      <c r="S151" s="158"/>
      <c r="T151" s="118"/>
      <c r="U151" s="129"/>
      <c r="V151" s="129"/>
      <c r="W151" s="437"/>
      <c r="X151" s="158"/>
      <c r="Y151" s="158"/>
      <c r="Z151" s="158"/>
      <c r="AA151" s="177"/>
      <c r="AB151" s="177"/>
      <c r="AC151" s="177"/>
      <c r="AD151" s="158"/>
      <c r="AE151" s="74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</row>
    <row r="152" spans="1:46" ht="16.5" customHeight="1">
      <c r="A152" s="195"/>
      <c r="B152" s="195"/>
      <c r="C152" s="196"/>
      <c r="D152" s="197"/>
      <c r="E152" s="197"/>
      <c r="F152" s="197"/>
      <c r="G152" s="198"/>
      <c r="H152" s="198"/>
      <c r="I152" s="177"/>
      <c r="J152" s="177"/>
      <c r="K152" s="177"/>
      <c r="L152" s="155"/>
      <c r="M152" s="155"/>
      <c r="N152" s="177"/>
      <c r="O152" s="177"/>
      <c r="P152" s="198"/>
      <c r="Q152" s="202"/>
      <c r="R152" s="202"/>
      <c r="S152" s="177"/>
      <c r="T152" s="118"/>
      <c r="U152" s="117"/>
      <c r="V152" s="129"/>
      <c r="W152" s="437"/>
      <c r="X152" s="158"/>
      <c r="Y152" s="158"/>
      <c r="Z152" s="158"/>
      <c r="AA152" s="177"/>
      <c r="AB152" s="177"/>
      <c r="AC152" s="177"/>
      <c r="AD152" s="158"/>
      <c r="AE152" s="74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</row>
    <row r="153" spans="1:46" ht="16.5" customHeight="1">
      <c r="A153" s="195"/>
      <c r="B153" s="195"/>
      <c r="C153" s="196"/>
      <c r="D153" s="197"/>
      <c r="E153" s="197"/>
      <c r="F153" s="197"/>
      <c r="G153" s="198"/>
      <c r="H153" s="198"/>
      <c r="I153" s="177"/>
      <c r="J153" s="177"/>
      <c r="K153" s="177"/>
      <c r="L153" s="165"/>
      <c r="M153" s="165"/>
      <c r="N153" s="177"/>
      <c r="O153" s="177"/>
      <c r="P153" s="198"/>
      <c r="Q153" s="202"/>
      <c r="R153" s="202"/>
      <c r="S153" s="177"/>
      <c r="T153" s="150"/>
      <c r="U153" s="129"/>
      <c r="V153" s="129"/>
      <c r="W153" s="437"/>
      <c r="X153" s="158"/>
      <c r="Y153" s="158"/>
      <c r="Z153" s="158"/>
      <c r="AA153" s="177"/>
      <c r="AB153" s="177"/>
      <c r="AC153" s="177"/>
      <c r="AD153" s="158"/>
      <c r="AE153" s="74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</row>
    <row r="154" spans="1:46" ht="16.5" customHeight="1">
      <c r="A154" s="195"/>
      <c r="B154" s="195"/>
      <c r="C154" s="196"/>
      <c r="D154" s="197"/>
      <c r="E154" s="197"/>
      <c r="F154" s="197"/>
      <c r="G154" s="198"/>
      <c r="H154" s="198"/>
      <c r="I154" s="158"/>
      <c r="J154" s="158"/>
      <c r="K154" s="155"/>
      <c r="L154" s="165"/>
      <c r="M154" s="165"/>
      <c r="N154" s="155"/>
      <c r="O154" s="155"/>
      <c r="P154" s="198"/>
      <c r="Q154" s="163"/>
      <c r="R154" s="163"/>
      <c r="S154" s="158"/>
      <c r="T154" s="118"/>
      <c r="U154" s="129"/>
      <c r="V154" s="129"/>
      <c r="W154" s="437"/>
      <c r="X154" s="158"/>
      <c r="Y154" s="158"/>
      <c r="Z154" s="158"/>
      <c r="AA154" s="177"/>
      <c r="AB154" s="177"/>
      <c r="AC154" s="177"/>
      <c r="AD154" s="158"/>
      <c r="AE154" s="74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</row>
    <row r="155" spans="1:46" ht="16.5" customHeight="1">
      <c r="A155" s="195"/>
      <c r="B155" s="195"/>
      <c r="C155" s="196"/>
      <c r="D155" s="197"/>
      <c r="E155" s="197"/>
      <c r="F155" s="197"/>
      <c r="G155" s="198"/>
      <c r="H155" s="198"/>
      <c r="I155" s="158"/>
      <c r="J155" s="158"/>
      <c r="K155" s="155"/>
      <c r="L155" s="165"/>
      <c r="M155" s="165"/>
      <c r="N155" s="155"/>
      <c r="O155" s="155"/>
      <c r="P155" s="198"/>
      <c r="Q155" s="163"/>
      <c r="R155" s="163"/>
      <c r="S155" s="158"/>
      <c r="T155" s="118"/>
      <c r="U155" s="129"/>
      <c r="V155" s="129"/>
      <c r="W155" s="437"/>
      <c r="X155" s="158"/>
      <c r="Y155" s="158"/>
      <c r="Z155" s="158"/>
      <c r="AA155" s="177"/>
      <c r="AB155" s="177"/>
      <c r="AC155" s="177"/>
      <c r="AD155" s="158"/>
      <c r="AE155" s="74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</row>
    <row r="156" spans="1:46" ht="16.5" customHeight="1">
      <c r="A156" s="195"/>
      <c r="B156" s="195"/>
      <c r="C156" s="196"/>
      <c r="D156" s="197"/>
      <c r="E156" s="197"/>
      <c r="F156" s="197"/>
      <c r="G156" s="198"/>
      <c r="H156" s="198"/>
      <c r="I156" s="158"/>
      <c r="J156" s="158"/>
      <c r="K156" s="155"/>
      <c r="L156" s="165"/>
      <c r="M156" s="165"/>
      <c r="N156" s="155"/>
      <c r="O156" s="155"/>
      <c r="P156" s="198"/>
      <c r="Q156" s="163"/>
      <c r="R156" s="163"/>
      <c r="S156" s="158"/>
      <c r="T156" s="118"/>
      <c r="U156" s="129"/>
      <c r="V156" s="129"/>
      <c r="W156" s="437"/>
      <c r="X156" s="158"/>
      <c r="Y156" s="158"/>
      <c r="Z156" s="158"/>
      <c r="AA156" s="177"/>
      <c r="AB156" s="177"/>
      <c r="AC156" s="177"/>
      <c r="AD156" s="158"/>
      <c r="AE156" s="74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</row>
    <row r="157" spans="1:46" ht="16.5" customHeight="1">
      <c r="A157" s="195"/>
      <c r="B157" s="195"/>
      <c r="C157" s="196"/>
      <c r="D157" s="197"/>
      <c r="E157" s="197"/>
      <c r="F157" s="197"/>
      <c r="G157" s="198"/>
      <c r="H157" s="198"/>
      <c r="I157" s="158"/>
      <c r="J157" s="158"/>
      <c r="K157" s="155"/>
      <c r="L157" s="165"/>
      <c r="M157" s="165"/>
      <c r="N157" s="155"/>
      <c r="O157" s="155"/>
      <c r="P157" s="198"/>
      <c r="Q157" s="163"/>
      <c r="R157" s="163"/>
      <c r="S157" s="158"/>
      <c r="T157" s="118"/>
      <c r="U157" s="129"/>
      <c r="V157" s="129"/>
      <c r="W157" s="437"/>
      <c r="X157" s="158"/>
      <c r="Y157" s="158"/>
      <c r="Z157" s="158"/>
      <c r="AA157" s="177"/>
      <c r="AB157" s="177"/>
      <c r="AC157" s="177"/>
      <c r="AD157" s="158"/>
      <c r="AE157" s="74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</row>
    <row r="158" spans="1:46" ht="16.5" customHeight="1">
      <c r="A158" s="195"/>
      <c r="B158" s="195"/>
      <c r="C158" s="196"/>
      <c r="D158" s="197"/>
      <c r="E158" s="197"/>
      <c r="F158" s="197"/>
      <c r="G158" s="198"/>
      <c r="H158" s="198"/>
      <c r="I158" s="158"/>
      <c r="J158" s="158"/>
      <c r="K158" s="155"/>
      <c r="L158" s="165"/>
      <c r="M158" s="165"/>
      <c r="N158" s="155"/>
      <c r="O158" s="155"/>
      <c r="P158" s="198"/>
      <c r="Q158" s="163"/>
      <c r="R158" s="163"/>
      <c r="S158" s="158"/>
      <c r="T158" s="118"/>
      <c r="U158" s="129"/>
      <c r="V158" s="129"/>
      <c r="W158" s="437"/>
      <c r="X158" s="158"/>
      <c r="Y158" s="158"/>
      <c r="Z158" s="158"/>
      <c r="AA158" s="45"/>
      <c r="AB158" s="45"/>
      <c r="AC158" s="45"/>
      <c r="AD158" s="158"/>
      <c r="AE158" s="74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</row>
    <row r="159" spans="1:46" ht="16.5" customHeight="1">
      <c r="A159" s="212"/>
      <c r="B159" s="212"/>
      <c r="C159" s="196"/>
      <c r="D159" s="197"/>
      <c r="E159" s="197"/>
      <c r="F159" s="197"/>
      <c r="G159" s="198"/>
      <c r="H159" s="198"/>
      <c r="I159" s="158"/>
      <c r="J159" s="158"/>
      <c r="K159" s="155"/>
      <c r="L159" s="165"/>
      <c r="M159" s="165"/>
      <c r="N159" s="37"/>
      <c r="O159" s="37"/>
      <c r="P159" s="198"/>
      <c r="Q159" s="163"/>
      <c r="R159" s="163"/>
      <c r="S159" s="158"/>
      <c r="T159" s="118"/>
      <c r="U159" s="129"/>
      <c r="V159" s="129"/>
      <c r="W159" s="437"/>
      <c r="X159" s="158"/>
      <c r="Y159" s="158"/>
      <c r="Z159" s="158"/>
      <c r="AA159" s="177"/>
      <c r="AB159" s="177"/>
      <c r="AC159" s="177"/>
      <c r="AD159" s="158"/>
      <c r="AE159" s="74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</row>
    <row r="160" spans="1:46" ht="16.5" customHeight="1">
      <c r="A160" s="212"/>
      <c r="B160" s="212"/>
      <c r="C160" s="196"/>
      <c r="D160" s="197"/>
      <c r="E160" s="197"/>
      <c r="F160" s="197"/>
      <c r="G160" s="198"/>
      <c r="H160" s="198"/>
      <c r="I160" s="158"/>
      <c r="J160" s="158"/>
      <c r="K160" s="155"/>
      <c r="L160" s="165"/>
      <c r="M160" s="165"/>
      <c r="N160" s="155"/>
      <c r="O160" s="155"/>
      <c r="P160" s="198"/>
      <c r="Q160" s="163"/>
      <c r="R160" s="163"/>
      <c r="S160" s="158"/>
      <c r="T160" s="118"/>
      <c r="U160" s="129"/>
      <c r="V160" s="129"/>
      <c r="W160" s="437"/>
      <c r="X160" s="158"/>
      <c r="Y160" s="158"/>
      <c r="Z160" s="158"/>
      <c r="AA160" s="177"/>
      <c r="AB160" s="177"/>
      <c r="AC160" s="177"/>
      <c r="AD160" s="158"/>
      <c r="AE160" s="74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</row>
    <row r="161" spans="1:46" ht="16.5" customHeight="1">
      <c r="A161" s="212"/>
      <c r="B161" s="212"/>
      <c r="C161" s="196"/>
      <c r="D161" s="197"/>
      <c r="E161" s="197"/>
      <c r="F161" s="197"/>
      <c r="G161" s="198"/>
      <c r="H161" s="198"/>
      <c r="I161" s="158"/>
      <c r="J161" s="158"/>
      <c r="K161" s="155"/>
      <c r="L161" s="165"/>
      <c r="M161" s="165"/>
      <c r="N161" s="155"/>
      <c r="O161" s="155"/>
      <c r="P161" s="198"/>
      <c r="Q161" s="163"/>
      <c r="R161" s="163"/>
      <c r="S161" s="158"/>
      <c r="T161" s="118"/>
      <c r="U161" s="129"/>
      <c r="V161" s="129"/>
      <c r="W161" s="437"/>
      <c r="X161" s="158"/>
      <c r="Y161" s="158"/>
      <c r="Z161" s="158"/>
      <c r="AA161" s="177"/>
      <c r="AB161" s="177"/>
      <c r="AC161" s="177"/>
      <c r="AD161" s="158"/>
      <c r="AE161" s="74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</row>
    <row r="162" spans="1:46" ht="16.5" customHeight="1">
      <c r="A162" s="212"/>
      <c r="B162" s="212"/>
      <c r="C162" s="196"/>
      <c r="D162" s="197"/>
      <c r="E162" s="197"/>
      <c r="F162" s="197"/>
      <c r="G162" s="198"/>
      <c r="H162" s="198"/>
      <c r="I162" s="158"/>
      <c r="J162" s="158"/>
      <c r="K162" s="155"/>
      <c r="L162" s="165"/>
      <c r="M162" s="165"/>
      <c r="N162" s="37"/>
      <c r="O162" s="37"/>
      <c r="P162" s="198"/>
      <c r="Q162" s="163"/>
      <c r="R162" s="163"/>
      <c r="S162" s="158"/>
      <c r="T162" s="118"/>
      <c r="U162" s="117"/>
      <c r="V162" s="129"/>
      <c r="W162" s="437"/>
      <c r="X162" s="158"/>
      <c r="Y162" s="158"/>
      <c r="Z162" s="158"/>
      <c r="AA162" s="177"/>
      <c r="AB162" s="177"/>
      <c r="AC162" s="177"/>
      <c r="AD162" s="158"/>
      <c r="AE162" s="74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</row>
    <row r="163" spans="1:46" ht="16.5" customHeight="1">
      <c r="A163" s="212"/>
      <c r="B163" s="212"/>
      <c r="C163" s="196"/>
      <c r="D163" s="197"/>
      <c r="E163" s="197"/>
      <c r="F163" s="197"/>
      <c r="G163" s="198"/>
      <c r="H163" s="198"/>
      <c r="I163" s="158"/>
      <c r="J163" s="158"/>
      <c r="K163" s="155"/>
      <c r="L163" s="165"/>
      <c r="M163" s="165"/>
      <c r="N163" s="37"/>
      <c r="O163" s="37"/>
      <c r="P163" s="198"/>
      <c r="Q163" s="163"/>
      <c r="R163" s="163"/>
      <c r="S163" s="158"/>
      <c r="T163" s="118"/>
      <c r="U163" s="117"/>
      <c r="V163" s="43"/>
      <c r="W163" s="437"/>
      <c r="X163" s="158"/>
      <c r="Y163" s="158"/>
      <c r="Z163" s="158"/>
      <c r="AA163" s="177"/>
      <c r="AB163" s="177"/>
      <c r="AC163" s="177"/>
      <c r="AD163" s="158"/>
      <c r="AE163" s="74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</row>
    <row r="164" spans="1:46" ht="16.5" customHeight="1">
      <c r="A164" s="212"/>
      <c r="B164" s="212"/>
      <c r="C164" s="196"/>
      <c r="D164" s="197"/>
      <c r="E164" s="197"/>
      <c r="F164" s="197"/>
      <c r="G164" s="199"/>
      <c r="H164" s="199"/>
      <c r="I164" s="158"/>
      <c r="J164" s="158"/>
      <c r="K164" s="155"/>
      <c r="L164" s="165"/>
      <c r="M164" s="165"/>
      <c r="N164" s="155"/>
      <c r="O164" s="155"/>
      <c r="P164" s="198"/>
      <c r="Q164" s="163"/>
      <c r="R164" s="163"/>
      <c r="S164" s="158"/>
      <c r="T164" s="118"/>
      <c r="U164" s="117"/>
      <c r="V164" s="43"/>
      <c r="W164" s="437"/>
      <c r="X164" s="158"/>
      <c r="Y164" s="158"/>
      <c r="Z164" s="158"/>
      <c r="AA164" s="177"/>
      <c r="AB164" s="177"/>
      <c r="AC164" s="177"/>
      <c r="AD164" s="158"/>
      <c r="AE164" s="74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</row>
    <row r="165" spans="1:46" ht="16.5" customHeight="1">
      <c r="A165" s="195"/>
      <c r="B165" s="195"/>
      <c r="C165" s="196"/>
      <c r="D165" s="197"/>
      <c r="E165" s="197"/>
      <c r="F165" s="197"/>
      <c r="G165" s="198"/>
      <c r="H165" s="198"/>
      <c r="I165" s="158"/>
      <c r="J165" s="158"/>
      <c r="K165" s="155"/>
      <c r="L165" s="165"/>
      <c r="M165" s="165"/>
      <c r="N165" s="37"/>
      <c r="O165" s="37"/>
      <c r="P165" s="199"/>
      <c r="Q165" s="163"/>
      <c r="R165" s="163"/>
      <c r="S165" s="158"/>
      <c r="T165" s="118"/>
      <c r="U165" s="117"/>
      <c r="V165" s="43"/>
      <c r="W165" s="437"/>
      <c r="X165" s="158"/>
      <c r="Y165" s="158"/>
      <c r="Z165" s="158"/>
      <c r="AA165" s="177"/>
      <c r="AB165" s="177"/>
      <c r="AC165" s="177"/>
      <c r="AD165" s="158"/>
      <c r="AE165" s="74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</row>
    <row r="166" spans="1:46" ht="16.5" customHeight="1">
      <c r="A166" s="195"/>
      <c r="B166" s="195"/>
      <c r="C166" s="196"/>
      <c r="D166" s="197"/>
      <c r="E166" s="197"/>
      <c r="F166" s="197"/>
      <c r="G166" s="196"/>
      <c r="H166" s="196"/>
      <c r="I166" s="158"/>
      <c r="J166" s="158"/>
      <c r="K166" s="155"/>
      <c r="L166" s="165"/>
      <c r="M166" s="165"/>
      <c r="N166" s="37"/>
      <c r="O166" s="37"/>
      <c r="P166" s="199"/>
      <c r="Q166" s="118"/>
      <c r="R166" s="118"/>
      <c r="S166" s="158"/>
      <c r="T166" s="213"/>
      <c r="U166" s="117"/>
      <c r="V166" s="43"/>
      <c r="W166" s="437"/>
      <c r="X166" s="158"/>
      <c r="Y166" s="158"/>
      <c r="Z166" s="177"/>
      <c r="AA166" s="177"/>
      <c r="AB166" s="177"/>
      <c r="AC166" s="177"/>
      <c r="AD166" s="158"/>
      <c r="AE166" s="74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</row>
    <row r="167" spans="1:46" ht="16.5" customHeight="1">
      <c r="A167" s="195"/>
      <c r="B167" s="195"/>
      <c r="C167" s="196"/>
      <c r="D167" s="165"/>
      <c r="E167" s="165"/>
      <c r="F167" s="165"/>
      <c r="G167" s="198"/>
      <c r="H167" s="198"/>
      <c r="I167" s="177"/>
      <c r="J167" s="177"/>
      <c r="K167" s="155"/>
      <c r="L167" s="165"/>
      <c r="M167" s="165"/>
      <c r="N167" s="37"/>
      <c r="O167" s="37"/>
      <c r="P167" s="199"/>
      <c r="Q167" s="163"/>
      <c r="R167" s="163"/>
      <c r="S167" s="177"/>
      <c r="T167" s="118"/>
      <c r="U167" s="214"/>
      <c r="V167" s="43"/>
      <c r="W167" s="437"/>
      <c r="X167" s="215"/>
      <c r="Y167" s="215"/>
      <c r="Z167" s="158"/>
      <c r="AA167" s="177"/>
      <c r="AB167" s="158"/>
      <c r="AC167" s="177"/>
      <c r="AD167" s="158"/>
      <c r="AE167" s="74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</row>
    <row r="168" spans="1:46" ht="16.5" customHeight="1">
      <c r="A168" s="195"/>
      <c r="B168" s="195"/>
      <c r="C168" s="196"/>
      <c r="D168" s="165"/>
      <c r="E168" s="165"/>
      <c r="F168" s="165"/>
      <c r="G168" s="198"/>
      <c r="H168" s="198"/>
      <c r="I168" s="158"/>
      <c r="J168" s="158"/>
      <c r="K168" s="155"/>
      <c r="L168" s="165"/>
      <c r="M168" s="165"/>
      <c r="N168" s="37"/>
      <c r="O168" s="37"/>
      <c r="P168" s="198"/>
      <c r="Q168" s="163"/>
      <c r="R168" s="163"/>
      <c r="S168" s="158"/>
      <c r="T168" s="118"/>
      <c r="U168" s="214"/>
      <c r="V168" s="43"/>
      <c r="W168" s="437"/>
      <c r="X168" s="177"/>
      <c r="Y168" s="177"/>
      <c r="Z168" s="158"/>
      <c r="AA168" s="177"/>
      <c r="AB168" s="158"/>
      <c r="AC168" s="177"/>
      <c r="AD168" s="158"/>
      <c r="AE168" s="74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</row>
    <row r="169" spans="1:46" ht="16.5" customHeight="1">
      <c r="A169" s="195"/>
      <c r="B169" s="195"/>
      <c r="C169" s="196"/>
      <c r="D169" s="165"/>
      <c r="E169" s="165"/>
      <c r="F169" s="165"/>
      <c r="G169" s="198"/>
      <c r="H169" s="198"/>
      <c r="I169" s="158"/>
      <c r="J169" s="158"/>
      <c r="K169" s="155"/>
      <c r="L169" s="165"/>
      <c r="M169" s="165"/>
      <c r="N169" s="37"/>
      <c r="O169" s="37"/>
      <c r="P169" s="198"/>
      <c r="Q169" s="163"/>
      <c r="R169" s="163"/>
      <c r="S169" s="158"/>
      <c r="T169" s="118"/>
      <c r="U169" s="214"/>
      <c r="V169" s="43"/>
      <c r="W169" s="437"/>
      <c r="X169" s="177"/>
      <c r="Y169" s="177"/>
      <c r="Z169" s="158"/>
      <c r="AA169" s="177"/>
      <c r="AB169" s="158"/>
      <c r="AC169" s="177"/>
      <c r="AD169" s="158"/>
      <c r="AE169" s="74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</row>
    <row r="170" spans="1:46" ht="16.5" customHeight="1">
      <c r="A170" s="195"/>
      <c r="B170" s="195"/>
      <c r="C170" s="196"/>
      <c r="D170" s="165"/>
      <c r="E170" s="165"/>
      <c r="F170" s="165"/>
      <c r="G170" s="198"/>
      <c r="H170" s="198"/>
      <c r="I170" s="158"/>
      <c r="J170" s="158"/>
      <c r="K170" s="155"/>
      <c r="L170" s="165"/>
      <c r="M170" s="165"/>
      <c r="N170" s="37"/>
      <c r="O170" s="37"/>
      <c r="P170" s="198"/>
      <c r="Q170" s="163"/>
      <c r="R170" s="163"/>
      <c r="S170" s="158"/>
      <c r="T170" s="118"/>
      <c r="U170" s="214"/>
      <c r="V170" s="43"/>
      <c r="W170" s="437"/>
      <c r="X170" s="158"/>
      <c r="Y170" s="158"/>
      <c r="Z170" s="158"/>
      <c r="AA170" s="177"/>
      <c r="AB170" s="158"/>
      <c r="AC170" s="177"/>
      <c r="AD170" s="158"/>
      <c r="AE170" s="74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</row>
    <row r="171" spans="1:46" ht="16.5" customHeight="1">
      <c r="A171" s="216"/>
      <c r="B171" s="216"/>
      <c r="C171" s="217"/>
      <c r="D171" s="176"/>
      <c r="E171" s="176"/>
      <c r="F171" s="176"/>
      <c r="G171" s="162"/>
      <c r="H171" s="162"/>
      <c r="I171" s="218"/>
      <c r="J171" s="218"/>
      <c r="K171" s="219"/>
      <c r="L171" s="219"/>
      <c r="M171" s="219"/>
      <c r="N171" s="45"/>
      <c r="O171" s="45"/>
      <c r="P171" s="217"/>
      <c r="Q171" s="220"/>
      <c r="R171" s="220"/>
      <c r="S171" s="218"/>
      <c r="T171" s="220"/>
      <c r="U171" s="221"/>
      <c r="V171" s="213"/>
      <c r="W171" s="430"/>
      <c r="X171" s="218"/>
      <c r="Y171" s="218"/>
      <c r="Z171" s="218"/>
      <c r="AA171" s="219"/>
      <c r="AB171" s="219"/>
      <c r="AC171" s="219"/>
      <c r="AD171" s="45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</row>
    <row r="172" spans="1:46" ht="16.5" customHeight="1">
      <c r="A172" s="216"/>
      <c r="B172" s="216"/>
      <c r="C172" s="217"/>
      <c r="D172" s="176"/>
      <c r="E172" s="176"/>
      <c r="F172" s="176"/>
      <c r="G172" s="162"/>
      <c r="H172" s="162"/>
      <c r="I172" s="218"/>
      <c r="J172" s="218"/>
      <c r="K172" s="219"/>
      <c r="L172" s="219"/>
      <c r="M172" s="219"/>
      <c r="N172" s="45"/>
      <c r="O172" s="45"/>
      <c r="P172" s="217"/>
      <c r="Q172" s="220"/>
      <c r="R172" s="220"/>
      <c r="S172" s="218"/>
      <c r="T172" s="220"/>
      <c r="U172" s="221"/>
      <c r="V172" s="213"/>
      <c r="W172" s="430"/>
      <c r="X172" s="218"/>
      <c r="Y172" s="218"/>
      <c r="Z172" s="218"/>
      <c r="AA172" s="219"/>
      <c r="AB172" s="219"/>
      <c r="AC172" s="219"/>
      <c r="AD172" s="45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</row>
    <row r="173" spans="1:46" ht="16.5" customHeight="1">
      <c r="A173" s="216"/>
      <c r="B173" s="216"/>
      <c r="C173" s="217"/>
      <c r="D173" s="176"/>
      <c r="E173" s="176"/>
      <c r="F173" s="176"/>
      <c r="G173" s="162"/>
      <c r="H173" s="162"/>
      <c r="I173" s="218"/>
      <c r="J173" s="218"/>
      <c r="K173" s="219"/>
      <c r="L173" s="219"/>
      <c r="M173" s="219"/>
      <c r="N173" s="45"/>
      <c r="O173" s="45"/>
      <c r="P173" s="217"/>
      <c r="Q173" s="220"/>
      <c r="R173" s="220"/>
      <c r="S173" s="218"/>
      <c r="T173" s="220"/>
      <c r="U173" s="221"/>
      <c r="V173" s="213"/>
      <c r="W173" s="430"/>
      <c r="X173" s="218"/>
      <c r="Y173" s="218"/>
      <c r="Z173" s="218"/>
      <c r="AA173" s="219"/>
      <c r="AB173" s="219"/>
      <c r="AC173" s="219"/>
      <c r="AD173" s="45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</row>
    <row r="174" spans="1:46" ht="16.5" customHeight="1">
      <c r="A174" s="216"/>
      <c r="B174" s="216"/>
      <c r="C174" s="217"/>
      <c r="D174" s="176"/>
      <c r="E174" s="176"/>
      <c r="F174" s="176"/>
      <c r="G174" s="162"/>
      <c r="H174" s="162"/>
      <c r="I174" s="218"/>
      <c r="J174" s="218"/>
      <c r="K174" s="219"/>
      <c r="L174" s="219"/>
      <c r="M174" s="219"/>
      <c r="N174" s="45"/>
      <c r="O174" s="45"/>
      <c r="P174" s="217"/>
      <c r="Q174" s="220"/>
      <c r="R174" s="220"/>
      <c r="S174" s="218"/>
      <c r="T174" s="220"/>
      <c r="U174" s="221"/>
      <c r="V174" s="213"/>
      <c r="W174" s="430"/>
      <c r="X174" s="218"/>
      <c r="Y174" s="218"/>
      <c r="Z174" s="218"/>
      <c r="AA174" s="219"/>
      <c r="AB174" s="219"/>
      <c r="AC174" s="219"/>
      <c r="AD174" s="45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</row>
    <row r="175" spans="1:46" ht="16.5" customHeight="1">
      <c r="A175" s="216"/>
      <c r="B175" s="216"/>
      <c r="C175" s="217"/>
      <c r="D175" s="176"/>
      <c r="E175" s="176"/>
      <c r="F175" s="176"/>
      <c r="G175" s="162"/>
      <c r="H175" s="162"/>
      <c r="I175" s="218"/>
      <c r="J175" s="218"/>
      <c r="K175" s="219"/>
      <c r="L175" s="219"/>
      <c r="M175" s="219"/>
      <c r="N175" s="45"/>
      <c r="O175" s="45"/>
      <c r="P175" s="217"/>
      <c r="Q175" s="220"/>
      <c r="R175" s="220"/>
      <c r="S175" s="218"/>
      <c r="T175" s="220"/>
      <c r="U175" s="221"/>
      <c r="V175" s="213"/>
      <c r="W175" s="430"/>
      <c r="X175" s="218"/>
      <c r="Y175" s="218"/>
      <c r="Z175" s="218"/>
      <c r="AA175" s="219"/>
      <c r="AB175" s="219"/>
      <c r="AC175" s="219"/>
      <c r="AD175" s="45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</row>
    <row r="176" spans="1:46" ht="16.5" customHeight="1">
      <c r="A176" s="216"/>
      <c r="B176" s="216"/>
      <c r="C176" s="217"/>
      <c r="D176" s="176"/>
      <c r="E176" s="176"/>
      <c r="F176" s="176"/>
      <c r="G176" s="162"/>
      <c r="H176" s="162"/>
      <c r="I176" s="218"/>
      <c r="J176" s="218"/>
      <c r="K176" s="219"/>
      <c r="L176" s="219"/>
      <c r="M176" s="219"/>
      <c r="N176" s="45"/>
      <c r="O176" s="45"/>
      <c r="P176" s="217"/>
      <c r="Q176" s="220"/>
      <c r="R176" s="220"/>
      <c r="S176" s="218"/>
      <c r="T176" s="220"/>
      <c r="U176" s="221"/>
      <c r="V176" s="213"/>
      <c r="W176" s="430"/>
      <c r="X176" s="218"/>
      <c r="Y176" s="218"/>
      <c r="Z176" s="218"/>
      <c r="AA176" s="45"/>
      <c r="AB176" s="45"/>
      <c r="AC176" s="45"/>
      <c r="AD176" s="45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</row>
    <row r="177" spans="1:46" ht="16.5" customHeight="1">
      <c r="A177" s="195"/>
      <c r="B177" s="195"/>
      <c r="C177" s="217"/>
      <c r="D177" s="33"/>
      <c r="E177" s="33"/>
      <c r="F177" s="33"/>
      <c r="G177" s="162"/>
      <c r="H177" s="162"/>
      <c r="I177" s="218"/>
      <c r="J177" s="218"/>
      <c r="K177" s="219"/>
      <c r="L177" s="219"/>
      <c r="M177" s="219"/>
      <c r="N177" s="45"/>
      <c r="O177" s="45"/>
      <c r="P177" s="217"/>
      <c r="Q177" s="220"/>
      <c r="R177" s="220"/>
      <c r="S177" s="218"/>
      <c r="T177" s="220"/>
      <c r="U177" s="221"/>
      <c r="V177" s="213"/>
      <c r="W177" s="430"/>
      <c r="X177" s="218"/>
      <c r="Y177" s="218"/>
      <c r="Z177" s="218"/>
      <c r="AA177" s="219"/>
      <c r="AB177" s="219"/>
      <c r="AC177" s="219"/>
      <c r="AD177" s="158"/>
      <c r="AE177" s="74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</row>
    <row r="178" spans="1:46" ht="16.5" customHeight="1">
      <c r="A178" s="195"/>
      <c r="B178" s="195"/>
      <c r="C178" s="196"/>
      <c r="D178" s="165"/>
      <c r="E178" s="165"/>
      <c r="F178" s="165"/>
      <c r="G178" s="198"/>
      <c r="H178" s="198"/>
      <c r="I178" s="158"/>
      <c r="J178" s="158"/>
      <c r="K178" s="155"/>
      <c r="L178" s="165"/>
      <c r="M178" s="165"/>
      <c r="N178" s="37"/>
      <c r="O178" s="37"/>
      <c r="P178" s="198"/>
      <c r="Q178" s="163"/>
      <c r="R178" s="163"/>
      <c r="S178" s="158"/>
      <c r="T178" s="118"/>
      <c r="U178" s="214"/>
      <c r="V178" s="43"/>
      <c r="W178" s="437"/>
      <c r="X178" s="158"/>
      <c r="Y178" s="158"/>
      <c r="Z178" s="158"/>
      <c r="AA178" s="177"/>
      <c r="AB178" s="158"/>
      <c r="AC178" s="177"/>
      <c r="AD178" s="158"/>
      <c r="AE178" s="74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</row>
    <row r="179" spans="1:46" ht="16.5" customHeight="1">
      <c r="A179" s="195"/>
      <c r="B179" s="195"/>
      <c r="C179" s="196"/>
      <c r="D179" s="196"/>
      <c r="E179" s="196"/>
      <c r="F179" s="196"/>
      <c r="G179" s="198"/>
      <c r="H179" s="198"/>
      <c r="I179" s="158"/>
      <c r="J179" s="158"/>
      <c r="K179" s="155"/>
      <c r="L179" s="165"/>
      <c r="M179" s="165"/>
      <c r="N179" s="37"/>
      <c r="O179" s="37"/>
      <c r="P179" s="198"/>
      <c r="Q179" s="163"/>
      <c r="R179" s="163"/>
      <c r="S179" s="158"/>
      <c r="T179" s="118"/>
      <c r="U179" s="214"/>
      <c r="V179" s="43"/>
      <c r="W179" s="437"/>
      <c r="X179" s="158"/>
      <c r="Y179" s="158"/>
      <c r="Z179" s="158"/>
      <c r="AA179" s="177"/>
      <c r="AB179" s="158"/>
      <c r="AC179" s="177"/>
      <c r="AD179" s="158"/>
      <c r="AE179" s="74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</row>
    <row r="180" spans="1:46" ht="16.5" customHeight="1">
      <c r="A180" s="195"/>
      <c r="B180" s="195"/>
      <c r="C180" s="196"/>
      <c r="D180" s="196"/>
      <c r="E180" s="196"/>
      <c r="F180" s="196"/>
      <c r="G180" s="198"/>
      <c r="H180" s="198"/>
      <c r="I180" s="158"/>
      <c r="J180" s="158"/>
      <c r="K180" s="155"/>
      <c r="L180" s="165"/>
      <c r="M180" s="165"/>
      <c r="N180" s="37"/>
      <c r="O180" s="37"/>
      <c r="P180" s="198"/>
      <c r="Q180" s="163"/>
      <c r="R180" s="163"/>
      <c r="S180" s="158"/>
      <c r="T180" s="118"/>
      <c r="U180" s="214"/>
      <c r="V180" s="43"/>
      <c r="W180" s="437"/>
      <c r="X180" s="158"/>
      <c r="Y180" s="158"/>
      <c r="Z180" s="158"/>
      <c r="AA180" s="177"/>
      <c r="AB180" s="158"/>
      <c r="AC180" s="177"/>
      <c r="AD180" s="158"/>
      <c r="AE180" s="74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</row>
    <row r="181" spans="1:46" ht="16.5" customHeight="1">
      <c r="A181" s="195"/>
      <c r="B181" s="195"/>
      <c r="C181" s="196"/>
      <c r="D181" s="196"/>
      <c r="E181" s="196"/>
      <c r="F181" s="196"/>
      <c r="G181" s="198"/>
      <c r="H181" s="198"/>
      <c r="I181" s="158"/>
      <c r="J181" s="158"/>
      <c r="K181" s="155"/>
      <c r="L181" s="165"/>
      <c r="M181" s="165"/>
      <c r="N181" s="37"/>
      <c r="O181" s="37"/>
      <c r="P181" s="198"/>
      <c r="Q181" s="163"/>
      <c r="R181" s="163"/>
      <c r="S181" s="158"/>
      <c r="T181" s="118"/>
      <c r="U181" s="214"/>
      <c r="V181" s="43"/>
      <c r="W181" s="437"/>
      <c r="X181" s="158"/>
      <c r="Y181" s="158"/>
      <c r="Z181" s="158"/>
      <c r="AA181" s="177"/>
      <c r="AB181" s="158"/>
      <c r="AC181" s="177"/>
      <c r="AD181" s="158"/>
      <c r="AE181" s="74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</row>
    <row r="182" spans="1:46" ht="16.5" customHeight="1">
      <c r="A182" s="195"/>
      <c r="B182" s="195"/>
      <c r="C182" s="196"/>
      <c r="D182" s="165"/>
      <c r="E182" s="165"/>
      <c r="F182" s="165"/>
      <c r="G182" s="198"/>
      <c r="H182" s="198"/>
      <c r="I182" s="158"/>
      <c r="J182" s="158"/>
      <c r="K182" s="155"/>
      <c r="L182" s="165"/>
      <c r="M182" s="165"/>
      <c r="N182" s="37"/>
      <c r="O182" s="37"/>
      <c r="P182" s="198"/>
      <c r="Q182" s="163"/>
      <c r="R182" s="163"/>
      <c r="S182" s="158"/>
      <c r="T182" s="118"/>
      <c r="U182" s="214"/>
      <c r="V182" s="43"/>
      <c r="W182" s="437"/>
      <c r="X182" s="158"/>
      <c r="Y182" s="158"/>
      <c r="Z182" s="158"/>
      <c r="AA182" s="177"/>
      <c r="AB182" s="158"/>
      <c r="AC182" s="177"/>
      <c r="AD182" s="158"/>
      <c r="AE182" s="74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</row>
    <row r="183" spans="1:46" ht="16.5" customHeight="1">
      <c r="A183" s="195"/>
      <c r="B183" s="195"/>
      <c r="C183" s="196"/>
      <c r="D183" s="165"/>
      <c r="E183" s="165"/>
      <c r="F183" s="165"/>
      <c r="G183" s="198"/>
      <c r="H183" s="198"/>
      <c r="I183" s="158"/>
      <c r="J183" s="158"/>
      <c r="K183" s="155"/>
      <c r="L183" s="165"/>
      <c r="M183" s="165"/>
      <c r="N183" s="37"/>
      <c r="O183" s="37"/>
      <c r="P183" s="198"/>
      <c r="Q183" s="163"/>
      <c r="R183" s="163"/>
      <c r="S183" s="158"/>
      <c r="T183" s="118"/>
      <c r="U183" s="214"/>
      <c r="V183" s="43"/>
      <c r="W183" s="437"/>
      <c r="X183" s="158"/>
      <c r="Y183" s="158"/>
      <c r="Z183" s="158"/>
      <c r="AA183" s="177"/>
      <c r="AB183" s="158"/>
      <c r="AC183" s="177"/>
      <c r="AD183" s="158"/>
      <c r="AE183" s="74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</row>
    <row r="184" spans="1:46" ht="16.5" customHeight="1">
      <c r="A184" s="195"/>
      <c r="B184" s="195"/>
      <c r="C184" s="196"/>
      <c r="D184" s="165"/>
      <c r="E184" s="165"/>
      <c r="F184" s="165"/>
      <c r="G184" s="198"/>
      <c r="H184" s="198"/>
      <c r="I184" s="158"/>
      <c r="J184" s="158"/>
      <c r="K184" s="155"/>
      <c r="L184" s="165"/>
      <c r="M184" s="165"/>
      <c r="N184" s="37"/>
      <c r="O184" s="37"/>
      <c r="P184" s="198"/>
      <c r="Q184" s="163"/>
      <c r="R184" s="163"/>
      <c r="S184" s="158"/>
      <c r="T184" s="118"/>
      <c r="U184" s="214"/>
      <c r="V184" s="43"/>
      <c r="W184" s="437"/>
      <c r="X184" s="158"/>
      <c r="Y184" s="158"/>
      <c r="Z184" s="158"/>
      <c r="AA184" s="177"/>
      <c r="AB184" s="158"/>
      <c r="AC184" s="177"/>
      <c r="AD184" s="158"/>
      <c r="AE184" s="74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</row>
    <row r="185" spans="1:46" ht="16.5" customHeight="1">
      <c r="A185" s="222"/>
      <c r="B185" s="222"/>
      <c r="C185" s="196"/>
      <c r="D185" s="165"/>
      <c r="E185" s="165"/>
      <c r="F185" s="165"/>
      <c r="G185" s="198"/>
      <c r="H185" s="198"/>
      <c r="I185" s="158"/>
      <c r="J185" s="158"/>
      <c r="K185" s="155"/>
      <c r="L185" s="165"/>
      <c r="M185" s="165"/>
      <c r="N185" s="37"/>
      <c r="O185" s="37"/>
      <c r="P185" s="198"/>
      <c r="Q185" s="163"/>
      <c r="R185" s="163"/>
      <c r="S185" s="158"/>
      <c r="T185" s="118"/>
      <c r="U185" s="214"/>
      <c r="V185" s="43"/>
      <c r="W185" s="437"/>
      <c r="X185" s="158"/>
      <c r="Y185" s="158"/>
      <c r="Z185" s="158"/>
      <c r="AA185" s="177"/>
      <c r="AB185" s="158"/>
      <c r="AC185" s="177"/>
      <c r="AD185" s="177"/>
      <c r="AE185" s="74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</row>
    <row r="186" spans="1:46" ht="16.5" customHeight="1">
      <c r="A186" s="222"/>
      <c r="B186" s="222"/>
      <c r="C186" s="223"/>
      <c r="D186" s="165"/>
      <c r="E186" s="165"/>
      <c r="F186" s="165"/>
      <c r="G186" s="198"/>
      <c r="H186" s="198"/>
      <c r="I186" s="181"/>
      <c r="J186" s="181"/>
      <c r="K186" s="155"/>
      <c r="L186" s="165"/>
      <c r="M186" s="165"/>
      <c r="N186" s="37"/>
      <c r="O186" s="37"/>
      <c r="P186" s="198"/>
      <c r="Q186" s="163"/>
      <c r="R186" s="163"/>
      <c r="S186" s="181"/>
      <c r="T186" s="118"/>
      <c r="U186" s="214"/>
      <c r="V186" s="43"/>
      <c r="W186" s="428"/>
      <c r="X186" s="158"/>
      <c r="Y186" s="158"/>
      <c r="Z186" s="158"/>
      <c r="AA186" s="177"/>
      <c r="AB186" s="158"/>
      <c r="AC186" s="177"/>
      <c r="AD186" s="177"/>
      <c r="AE186" s="74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</row>
    <row r="187" spans="1:46" ht="16.5" customHeight="1">
      <c r="A187" s="224"/>
      <c r="B187" s="224"/>
      <c r="C187" s="223"/>
      <c r="D187" s="165"/>
      <c r="E187" s="165"/>
      <c r="F187" s="165"/>
      <c r="G187" s="198"/>
      <c r="H187" s="198"/>
      <c r="I187" s="181"/>
      <c r="J187" s="181"/>
      <c r="K187" s="155"/>
      <c r="L187" s="165"/>
      <c r="M187" s="165"/>
      <c r="N187" s="37"/>
      <c r="O187" s="37"/>
      <c r="P187" s="198"/>
      <c r="Q187" s="163"/>
      <c r="R187" s="163"/>
      <c r="S187" s="181"/>
      <c r="T187" s="118"/>
      <c r="U187" s="214"/>
      <c r="V187" s="43"/>
      <c r="W187" s="428"/>
      <c r="X187" s="158"/>
      <c r="Y187" s="158"/>
      <c r="Z187" s="158"/>
      <c r="AA187" s="177"/>
      <c r="AB187" s="158"/>
      <c r="AC187" s="177"/>
      <c r="AD187" s="158"/>
      <c r="AE187" s="74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</row>
    <row r="188" spans="1:46" ht="16.5" customHeight="1">
      <c r="A188" s="195"/>
      <c r="B188" s="195"/>
      <c r="C188" s="223"/>
      <c r="D188" s="225"/>
      <c r="E188" s="225"/>
      <c r="F188" s="225"/>
      <c r="G188" s="198"/>
      <c r="H188" s="198"/>
      <c r="I188" s="181"/>
      <c r="J188" s="181"/>
      <c r="K188" s="155"/>
      <c r="L188" s="156"/>
      <c r="M188" s="156"/>
      <c r="N188" s="155"/>
      <c r="O188" s="155"/>
      <c r="P188" s="198"/>
      <c r="Q188" s="163"/>
      <c r="R188" s="163"/>
      <c r="S188" s="181"/>
      <c r="T188" s="117"/>
      <c r="U188" s="214"/>
      <c r="V188" s="43"/>
      <c r="W188" s="428"/>
      <c r="X188" s="158"/>
      <c r="Y188" s="158"/>
      <c r="Z188" s="158"/>
      <c r="AA188" s="158"/>
      <c r="AB188" s="158"/>
      <c r="AC188" s="158"/>
      <c r="AD188" s="158"/>
      <c r="AE188" s="74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</row>
    <row r="189" spans="1:46" ht="16.5" customHeight="1">
      <c r="A189" s="224"/>
      <c r="B189" s="224"/>
      <c r="C189" s="223"/>
      <c r="D189" s="225"/>
      <c r="E189" s="225"/>
      <c r="F189" s="225"/>
      <c r="G189" s="198"/>
      <c r="H189" s="198"/>
      <c r="I189" s="226"/>
      <c r="J189" s="226"/>
      <c r="K189" s="155"/>
      <c r="L189" s="156"/>
      <c r="M189" s="156"/>
      <c r="N189" s="155"/>
      <c r="O189" s="155"/>
      <c r="P189" s="45"/>
      <c r="Q189" s="163"/>
      <c r="R189" s="163"/>
      <c r="S189" s="226"/>
      <c r="T189" s="117"/>
      <c r="U189" s="214"/>
      <c r="V189" s="43"/>
      <c r="W189" s="428"/>
      <c r="X189" s="158"/>
      <c r="Y189" s="158"/>
      <c r="Z189" s="227"/>
      <c r="AA189" s="158"/>
      <c r="AB189" s="158"/>
      <c r="AC189" s="158"/>
      <c r="AD189" s="158"/>
      <c r="AE189" s="74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</row>
    <row r="190" spans="1:46" ht="16.5" customHeight="1">
      <c r="A190" s="224"/>
      <c r="B190" s="224"/>
      <c r="C190" s="45"/>
      <c r="D190" s="225"/>
      <c r="E190" s="225"/>
      <c r="F190" s="225"/>
      <c r="G190" s="198"/>
      <c r="H190" s="198"/>
      <c r="I190" s="181"/>
      <c r="J190" s="181"/>
      <c r="K190" s="155"/>
      <c r="L190" s="156"/>
      <c r="M190" s="156"/>
      <c r="N190" s="155"/>
      <c r="O190" s="155"/>
      <c r="P190" s="198"/>
      <c r="Q190" s="163"/>
      <c r="R190" s="163"/>
      <c r="S190" s="181"/>
      <c r="T190" s="117"/>
      <c r="U190" s="214"/>
      <c r="V190" s="43"/>
      <c r="W190" s="428"/>
      <c r="X190" s="158"/>
      <c r="Y190" s="158"/>
      <c r="Z190" s="158"/>
      <c r="AA190" s="158"/>
      <c r="AB190" s="158"/>
      <c r="AC190" s="158"/>
      <c r="AD190" s="158"/>
      <c r="AE190" s="74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</row>
    <row r="191" spans="1:46" ht="16.5" customHeight="1">
      <c r="A191" s="224"/>
      <c r="B191" s="224"/>
      <c r="C191" s="223"/>
      <c r="D191" s="225"/>
      <c r="E191" s="225"/>
      <c r="F191" s="225"/>
      <c r="G191" s="198"/>
      <c r="H191" s="198"/>
      <c r="I191" s="181"/>
      <c r="J191" s="181"/>
      <c r="K191" s="155"/>
      <c r="L191" s="156"/>
      <c r="M191" s="156"/>
      <c r="N191" s="155"/>
      <c r="O191" s="155"/>
      <c r="P191" s="198"/>
      <c r="Q191" s="163"/>
      <c r="R191" s="163"/>
      <c r="S191" s="181"/>
      <c r="T191" s="117"/>
      <c r="U191" s="214"/>
      <c r="V191" s="43"/>
      <c r="W191" s="428"/>
      <c r="X191" s="158"/>
      <c r="Y191" s="158"/>
      <c r="Z191" s="158"/>
      <c r="AA191" s="158"/>
      <c r="AB191" s="158"/>
      <c r="AC191" s="158"/>
      <c r="AD191" s="158"/>
      <c r="AE191" s="74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</row>
    <row r="192" spans="1:46" ht="16.5" customHeight="1">
      <c r="A192" s="224"/>
      <c r="B192" s="224"/>
      <c r="C192" s="223"/>
      <c r="D192" s="225"/>
      <c r="E192" s="225"/>
      <c r="F192" s="225"/>
      <c r="G192" s="198"/>
      <c r="H192" s="198"/>
      <c r="I192" s="181"/>
      <c r="J192" s="181"/>
      <c r="K192" s="155"/>
      <c r="L192" s="156"/>
      <c r="M192" s="156"/>
      <c r="N192" s="155"/>
      <c r="O192" s="155"/>
      <c r="P192" s="198"/>
      <c r="Q192" s="163"/>
      <c r="R192" s="163"/>
      <c r="S192" s="181"/>
      <c r="T192" s="117"/>
      <c r="U192" s="214"/>
      <c r="V192" s="43"/>
      <c r="W192" s="428"/>
      <c r="X192" s="158"/>
      <c r="Y192" s="158"/>
      <c r="Z192" s="158"/>
      <c r="AA192" s="158"/>
      <c r="AB192" s="158"/>
      <c r="AC192" s="158"/>
      <c r="AD192" s="158"/>
      <c r="AE192" s="74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</row>
    <row r="193" spans="1:46" ht="16.5" customHeight="1">
      <c r="A193" s="224"/>
      <c r="B193" s="224"/>
      <c r="C193" s="223"/>
      <c r="D193" s="225"/>
      <c r="E193" s="225"/>
      <c r="F193" s="225"/>
      <c r="G193" s="198"/>
      <c r="H193" s="198"/>
      <c r="I193" s="181"/>
      <c r="J193" s="181"/>
      <c r="K193" s="155"/>
      <c r="L193" s="165"/>
      <c r="M193" s="165"/>
      <c r="N193" s="155"/>
      <c r="O193" s="155"/>
      <c r="P193" s="198"/>
      <c r="Q193" s="163"/>
      <c r="R193" s="163"/>
      <c r="S193" s="181"/>
      <c r="T193" s="117"/>
      <c r="U193" s="214"/>
      <c r="V193" s="43"/>
      <c r="W193" s="428"/>
      <c r="X193" s="158"/>
      <c r="Y193" s="158"/>
      <c r="Z193" s="158"/>
      <c r="AA193" s="158"/>
      <c r="AB193" s="158"/>
      <c r="AC193" s="158"/>
      <c r="AD193" s="158"/>
      <c r="AE193" s="74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</row>
    <row r="194" spans="1:46" ht="16.5" customHeight="1">
      <c r="A194" s="224"/>
      <c r="B194" s="224"/>
      <c r="C194" s="223"/>
      <c r="D194" s="225"/>
      <c r="E194" s="225"/>
      <c r="F194" s="225"/>
      <c r="G194" s="198"/>
      <c r="H194" s="198"/>
      <c r="I194" s="181"/>
      <c r="J194" s="181"/>
      <c r="K194" s="155"/>
      <c r="L194" s="165"/>
      <c r="M194" s="165"/>
      <c r="N194" s="155"/>
      <c r="O194" s="155"/>
      <c r="P194" s="198"/>
      <c r="Q194" s="163"/>
      <c r="R194" s="163"/>
      <c r="S194" s="181"/>
      <c r="T194" s="117"/>
      <c r="U194" s="214"/>
      <c r="V194" s="43"/>
      <c r="W194" s="428"/>
      <c r="X194" s="177"/>
      <c r="Y194" s="177"/>
      <c r="Z194" s="158"/>
      <c r="AA194" s="165"/>
      <c r="AB194" s="158"/>
      <c r="AC194" s="165"/>
      <c r="AD194" s="158"/>
      <c r="AE194" s="74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</row>
    <row r="195" spans="1:46" ht="16.5" customHeight="1">
      <c r="A195" s="224"/>
      <c r="B195" s="224"/>
      <c r="C195" s="223"/>
      <c r="D195" s="225"/>
      <c r="E195" s="225"/>
      <c r="F195" s="225"/>
      <c r="G195" s="198"/>
      <c r="H195" s="198"/>
      <c r="I195" s="181"/>
      <c r="J195" s="181"/>
      <c r="K195" s="155"/>
      <c r="L195" s="156"/>
      <c r="M195" s="156"/>
      <c r="N195" s="155"/>
      <c r="O195" s="155"/>
      <c r="P195" s="198"/>
      <c r="Q195" s="163"/>
      <c r="R195" s="163"/>
      <c r="S195" s="181"/>
      <c r="T195" s="117"/>
      <c r="U195" s="214"/>
      <c r="V195" s="43"/>
      <c r="W195" s="428"/>
      <c r="X195" s="177"/>
      <c r="Y195" s="177"/>
      <c r="Z195" s="158"/>
      <c r="AA195" s="158"/>
      <c r="AB195" s="177"/>
      <c r="AC195" s="158"/>
      <c r="AD195" s="158"/>
      <c r="AE195" s="74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</row>
    <row r="196" spans="1:46" ht="16.5" customHeight="1">
      <c r="A196" s="224"/>
      <c r="B196" s="224"/>
      <c r="C196" s="223"/>
      <c r="D196" s="225"/>
      <c r="E196" s="225"/>
      <c r="F196" s="225"/>
      <c r="G196" s="198"/>
      <c r="H196" s="198"/>
      <c r="I196" s="226"/>
      <c r="J196" s="226"/>
      <c r="K196" s="155"/>
      <c r="L196" s="165"/>
      <c r="M196" s="165"/>
      <c r="N196" s="155"/>
      <c r="O196" s="155"/>
      <c r="P196" s="198"/>
      <c r="Q196" s="163"/>
      <c r="R196" s="163"/>
      <c r="S196" s="226"/>
      <c r="T196" s="117"/>
      <c r="U196" s="214"/>
      <c r="V196" s="43"/>
      <c r="W196" s="428"/>
      <c r="X196" s="177"/>
      <c r="Y196" s="177"/>
      <c r="Z196" s="158"/>
      <c r="AA196" s="156"/>
      <c r="AB196" s="158"/>
      <c r="AC196" s="156"/>
      <c r="AD196" s="158"/>
      <c r="AE196" s="74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</row>
    <row r="197" spans="1:46" ht="16.5" customHeight="1">
      <c r="A197" s="224"/>
      <c r="B197" s="224"/>
      <c r="C197" s="223"/>
      <c r="D197" s="225"/>
      <c r="E197" s="225"/>
      <c r="F197" s="225"/>
      <c r="G197" s="198"/>
      <c r="H197" s="198"/>
      <c r="I197" s="181"/>
      <c r="J197" s="181"/>
      <c r="K197" s="155"/>
      <c r="L197" s="165"/>
      <c r="M197" s="165"/>
      <c r="N197" s="155"/>
      <c r="O197" s="155"/>
      <c r="P197" s="198"/>
      <c r="Q197" s="163"/>
      <c r="R197" s="163"/>
      <c r="S197" s="181"/>
      <c r="T197" s="117"/>
      <c r="U197" s="214"/>
      <c r="V197" s="43"/>
      <c r="W197" s="428"/>
      <c r="X197" s="158"/>
      <c r="Y197" s="158"/>
      <c r="Z197" s="158"/>
      <c r="AA197" s="158"/>
      <c r="AB197" s="158"/>
      <c r="AC197" s="158"/>
      <c r="AD197" s="158"/>
      <c r="AE197" s="74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</row>
    <row r="198" spans="1:46" ht="16.5" customHeight="1">
      <c r="A198" s="195"/>
      <c r="B198" s="195"/>
      <c r="C198" s="223"/>
      <c r="D198" s="225"/>
      <c r="E198" s="225"/>
      <c r="F198" s="225"/>
      <c r="G198" s="198"/>
      <c r="H198" s="198"/>
      <c r="I198" s="181"/>
      <c r="J198" s="181"/>
      <c r="K198" s="181"/>
      <c r="L198" s="156"/>
      <c r="M198" s="156"/>
      <c r="N198" s="37"/>
      <c r="O198" s="37"/>
      <c r="P198" s="429"/>
      <c r="Q198" s="163"/>
      <c r="R198" s="163"/>
      <c r="S198" s="181"/>
      <c r="T198" s="117"/>
      <c r="U198" s="214"/>
      <c r="V198" s="43"/>
      <c r="W198" s="428"/>
      <c r="X198" s="158"/>
      <c r="Y198" s="158"/>
      <c r="Z198" s="158"/>
      <c r="AA198" s="158"/>
      <c r="AB198" s="158"/>
      <c r="AC198" s="158"/>
      <c r="AD198" s="158"/>
      <c r="AE198" s="74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</row>
    <row r="199" spans="1:46" ht="16.5" customHeight="1">
      <c r="A199" s="212"/>
      <c r="B199" s="212"/>
      <c r="C199" s="196"/>
      <c r="D199" s="201"/>
      <c r="E199" s="201"/>
      <c r="F199" s="201"/>
      <c r="G199" s="198"/>
      <c r="H199" s="198"/>
      <c r="I199" s="181"/>
      <c r="J199" s="181"/>
      <c r="K199" s="155"/>
      <c r="L199" s="165"/>
      <c r="M199" s="165"/>
      <c r="N199" s="37"/>
      <c r="O199" s="37"/>
      <c r="P199" s="199"/>
      <c r="Q199" s="163"/>
      <c r="R199" s="163"/>
      <c r="S199" s="181"/>
      <c r="T199" s="118"/>
      <c r="U199" s="117"/>
      <c r="V199" s="43"/>
      <c r="W199" s="428"/>
      <c r="X199" s="158"/>
      <c r="Y199" s="158"/>
      <c r="Z199" s="158"/>
      <c r="AA199" s="158"/>
      <c r="AB199" s="158"/>
      <c r="AC199" s="158"/>
      <c r="AD199" s="158"/>
      <c r="AE199" s="74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</row>
    <row r="200" spans="1:46" ht="16.5" customHeight="1">
      <c r="A200" s="212"/>
      <c r="B200" s="212"/>
      <c r="C200" s="196"/>
      <c r="D200" s="201"/>
      <c r="E200" s="201"/>
      <c r="F200" s="201"/>
      <c r="G200" s="198"/>
      <c r="H200" s="198"/>
      <c r="I200" s="181"/>
      <c r="J200" s="181"/>
      <c r="K200" s="155"/>
      <c r="L200" s="165"/>
      <c r="M200" s="165"/>
      <c r="N200" s="37"/>
      <c r="O200" s="37"/>
      <c r="P200" s="199"/>
      <c r="Q200" s="163"/>
      <c r="R200" s="163"/>
      <c r="S200" s="181"/>
      <c r="T200" s="118"/>
      <c r="U200" s="117"/>
      <c r="V200" s="43"/>
      <c r="W200" s="428"/>
      <c r="X200" s="158"/>
      <c r="Y200" s="158"/>
      <c r="Z200" s="158"/>
      <c r="AA200" s="158"/>
      <c r="AB200" s="158"/>
      <c r="AC200" s="158"/>
      <c r="AD200" s="158"/>
      <c r="AE200" s="74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</row>
    <row r="201" spans="1:46" ht="16.5" customHeight="1">
      <c r="A201" s="212"/>
      <c r="B201" s="212"/>
      <c r="C201" s="196"/>
      <c r="D201" s="201"/>
      <c r="E201" s="201"/>
      <c r="F201" s="201"/>
      <c r="G201" s="198"/>
      <c r="H201" s="198"/>
      <c r="I201" s="181"/>
      <c r="J201" s="181"/>
      <c r="K201" s="155"/>
      <c r="L201" s="165"/>
      <c r="M201" s="165"/>
      <c r="N201" s="37"/>
      <c r="O201" s="37"/>
      <c r="P201" s="199"/>
      <c r="Q201" s="163"/>
      <c r="R201" s="163"/>
      <c r="S201" s="181"/>
      <c r="T201" s="118"/>
      <c r="U201" s="117"/>
      <c r="V201" s="43"/>
      <c r="W201" s="428"/>
      <c r="X201" s="158"/>
      <c r="Y201" s="158"/>
      <c r="Z201" s="158"/>
      <c r="AA201" s="158"/>
      <c r="AB201" s="158"/>
      <c r="AC201" s="158"/>
      <c r="AD201" s="158"/>
      <c r="AE201" s="74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</row>
    <row r="202" spans="1:46" ht="16.5" customHeight="1">
      <c r="A202" s="224"/>
      <c r="B202" s="224"/>
      <c r="C202" s="223"/>
      <c r="D202" s="225"/>
      <c r="E202" s="225"/>
      <c r="F202" s="225"/>
      <c r="G202" s="198"/>
      <c r="H202" s="198"/>
      <c r="I202" s="181"/>
      <c r="J202" s="181"/>
      <c r="K202" s="181"/>
      <c r="L202" s="156"/>
      <c r="M202" s="156"/>
      <c r="N202" s="37"/>
      <c r="O202" s="37"/>
      <c r="P202" s="429"/>
      <c r="Q202" s="163"/>
      <c r="R202" s="163"/>
      <c r="S202" s="181"/>
      <c r="T202" s="117"/>
      <c r="U202" s="214"/>
      <c r="V202" s="43"/>
      <c r="W202" s="428"/>
      <c r="X202" s="158"/>
      <c r="Y202" s="158"/>
      <c r="Z202" s="158"/>
      <c r="AA202" s="158"/>
      <c r="AB202" s="158"/>
      <c r="AC202" s="158"/>
      <c r="AD202" s="158"/>
      <c r="AE202" s="74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</row>
    <row r="203" spans="1:46" ht="16.5" customHeight="1">
      <c r="A203" s="224"/>
      <c r="B203" s="224"/>
      <c r="C203" s="196"/>
      <c r="D203" s="201"/>
      <c r="E203" s="201"/>
      <c r="F203" s="201"/>
      <c r="G203" s="198"/>
      <c r="H203" s="198"/>
      <c r="I203" s="181"/>
      <c r="J203" s="181"/>
      <c r="K203" s="155"/>
      <c r="L203" s="165"/>
      <c r="M203" s="165"/>
      <c r="N203" s="37"/>
      <c r="O203" s="37"/>
      <c r="P203" s="198"/>
      <c r="Q203" s="163"/>
      <c r="R203" s="163"/>
      <c r="S203" s="181"/>
      <c r="T203" s="118"/>
      <c r="U203" s="214"/>
      <c r="V203" s="43"/>
      <c r="W203" s="428"/>
      <c r="X203" s="158"/>
      <c r="Y203" s="158"/>
      <c r="Z203" s="158"/>
      <c r="AA203" s="158"/>
      <c r="AB203" s="158"/>
      <c r="AC203" s="158"/>
      <c r="AD203" s="158"/>
      <c r="AE203" s="74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</row>
    <row r="204" spans="1:46" ht="16.5" customHeight="1">
      <c r="A204" s="224"/>
      <c r="B204" s="224"/>
      <c r="C204" s="223"/>
      <c r="D204" s="225"/>
      <c r="E204" s="225"/>
      <c r="F204" s="225"/>
      <c r="G204" s="198"/>
      <c r="H204" s="198"/>
      <c r="I204" s="181"/>
      <c r="J204" s="181"/>
      <c r="K204" s="181"/>
      <c r="L204" s="156"/>
      <c r="M204" s="156"/>
      <c r="N204" s="37"/>
      <c r="O204" s="37"/>
      <c r="P204" s="429"/>
      <c r="Q204" s="163"/>
      <c r="R204" s="163"/>
      <c r="S204" s="181"/>
      <c r="T204" s="117"/>
      <c r="U204" s="214"/>
      <c r="V204" s="43"/>
      <c r="W204" s="428"/>
      <c r="X204" s="158"/>
      <c r="Y204" s="158"/>
      <c r="Z204" s="158"/>
      <c r="AA204" s="158"/>
      <c r="AB204" s="158"/>
      <c r="AC204" s="158"/>
      <c r="AD204" s="158"/>
      <c r="AE204" s="74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</row>
    <row r="205" spans="1:46" ht="16.5" customHeight="1">
      <c r="A205" s="195"/>
      <c r="B205" s="195"/>
      <c r="C205" s="223"/>
      <c r="D205" s="225"/>
      <c r="E205" s="225"/>
      <c r="F205" s="225"/>
      <c r="G205" s="198"/>
      <c r="H205" s="198"/>
      <c r="I205" s="181"/>
      <c r="J205" s="181"/>
      <c r="K205" s="181"/>
      <c r="L205" s="156"/>
      <c r="M205" s="156"/>
      <c r="N205" s="37"/>
      <c r="O205" s="37"/>
      <c r="P205" s="429"/>
      <c r="Q205" s="163"/>
      <c r="R205" s="163"/>
      <c r="S205" s="181"/>
      <c r="T205" s="117"/>
      <c r="U205" s="214"/>
      <c r="V205" s="43"/>
      <c r="W205" s="428"/>
      <c r="X205" s="158"/>
      <c r="Y205" s="158"/>
      <c r="Z205" s="158"/>
      <c r="AA205" s="158"/>
      <c r="AB205" s="158"/>
      <c r="AC205" s="158"/>
      <c r="AD205" s="158"/>
      <c r="AE205" s="74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</row>
    <row r="206" spans="1:46" ht="16.5" customHeight="1">
      <c r="A206" s="195"/>
      <c r="B206" s="195"/>
      <c r="C206" s="223"/>
      <c r="D206" s="225"/>
      <c r="E206" s="225"/>
      <c r="F206" s="225"/>
      <c r="G206" s="198"/>
      <c r="H206" s="198"/>
      <c r="I206" s="181"/>
      <c r="J206" s="181"/>
      <c r="K206" s="155"/>
      <c r="L206" s="155"/>
      <c r="M206" s="155"/>
      <c r="N206" s="37"/>
      <c r="O206" s="37"/>
      <c r="P206" s="198"/>
      <c r="Q206" s="163"/>
      <c r="R206" s="163"/>
      <c r="S206" s="181"/>
      <c r="T206" s="117"/>
      <c r="U206" s="214"/>
      <c r="V206" s="43"/>
      <c r="W206" s="428"/>
      <c r="X206" s="158"/>
      <c r="Y206" s="158"/>
      <c r="Z206" s="158"/>
      <c r="AA206" s="158"/>
      <c r="AB206" s="158"/>
      <c r="AC206" s="158"/>
      <c r="AD206" s="158"/>
      <c r="AE206" s="74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</row>
    <row r="207" spans="1:46" ht="16.5" customHeight="1">
      <c r="A207" s="212"/>
      <c r="B207" s="212"/>
      <c r="C207" s="223"/>
      <c r="D207" s="225"/>
      <c r="E207" s="225"/>
      <c r="F207" s="225"/>
      <c r="G207" s="198"/>
      <c r="H207" s="198"/>
      <c r="I207" s="181"/>
      <c r="J207" s="181"/>
      <c r="K207" s="155"/>
      <c r="L207" s="155"/>
      <c r="M207" s="155"/>
      <c r="N207" s="37"/>
      <c r="O207" s="37"/>
      <c r="P207" s="198"/>
      <c r="Q207" s="163"/>
      <c r="R207" s="163"/>
      <c r="S207" s="181"/>
      <c r="T207" s="117"/>
      <c r="U207" s="214"/>
      <c r="V207" s="43"/>
      <c r="W207" s="428"/>
      <c r="X207" s="158"/>
      <c r="Y207" s="158"/>
      <c r="Z207" s="158"/>
      <c r="AA207" s="158"/>
      <c r="AB207" s="158"/>
      <c r="AC207" s="158"/>
      <c r="AD207" s="158"/>
      <c r="AE207" s="74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</row>
    <row r="208" spans="1:46" ht="16.5" customHeight="1">
      <c r="A208" s="212"/>
      <c r="B208" s="212"/>
      <c r="C208" s="223"/>
      <c r="D208" s="225"/>
      <c r="E208" s="225"/>
      <c r="F208" s="225"/>
      <c r="G208" s="198"/>
      <c r="H208" s="198"/>
      <c r="I208" s="181"/>
      <c r="J208" s="181"/>
      <c r="K208" s="181"/>
      <c r="L208" s="156"/>
      <c r="M208" s="156"/>
      <c r="N208" s="37"/>
      <c r="O208" s="37"/>
      <c r="P208" s="429"/>
      <c r="Q208" s="163"/>
      <c r="R208" s="163"/>
      <c r="S208" s="181"/>
      <c r="T208" s="117"/>
      <c r="U208" s="214"/>
      <c r="V208" s="43"/>
      <c r="W208" s="428"/>
      <c r="X208" s="158"/>
      <c r="Y208" s="158"/>
      <c r="Z208" s="158"/>
      <c r="AA208" s="158"/>
      <c r="AB208" s="158"/>
      <c r="AC208" s="158"/>
      <c r="AD208" s="158"/>
      <c r="AE208" s="74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</row>
    <row r="209" spans="1:46" ht="16.5" customHeight="1">
      <c r="A209" s="212"/>
      <c r="B209" s="212"/>
      <c r="C209" s="223"/>
      <c r="D209" s="201"/>
      <c r="E209" s="201"/>
      <c r="F209" s="201"/>
      <c r="G209" s="198"/>
      <c r="H209" s="198"/>
      <c r="I209" s="181"/>
      <c r="J209" s="181"/>
      <c r="K209" s="181"/>
      <c r="L209" s="156"/>
      <c r="M209" s="156"/>
      <c r="N209" s="37"/>
      <c r="O209" s="37"/>
      <c r="P209" s="198"/>
      <c r="Q209" s="163"/>
      <c r="R209" s="163"/>
      <c r="S209" s="181"/>
      <c r="T209" s="118"/>
      <c r="U209" s="214"/>
      <c r="V209" s="43"/>
      <c r="W209" s="428"/>
      <c r="X209" s="158"/>
      <c r="Y209" s="158"/>
      <c r="Z209" s="158"/>
      <c r="AA209" s="158"/>
      <c r="AB209" s="158"/>
      <c r="AC209" s="158"/>
      <c r="AD209" s="158"/>
      <c r="AE209" s="74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</row>
    <row r="210" spans="1:46" ht="16.5" customHeight="1">
      <c r="A210" s="224"/>
      <c r="B210" s="224"/>
      <c r="C210" s="223"/>
      <c r="D210" s="225"/>
      <c r="E210" s="225"/>
      <c r="F210" s="225"/>
      <c r="G210" s="198"/>
      <c r="H210" s="198"/>
      <c r="I210" s="181"/>
      <c r="J210" s="181"/>
      <c r="K210" s="181"/>
      <c r="L210" s="156"/>
      <c r="M210" s="156"/>
      <c r="N210" s="37"/>
      <c r="O210" s="37"/>
      <c r="P210" s="429"/>
      <c r="Q210" s="163"/>
      <c r="R210" s="163"/>
      <c r="S210" s="181"/>
      <c r="T210" s="117"/>
      <c r="U210" s="214"/>
      <c r="V210" s="43"/>
      <c r="W210" s="428"/>
      <c r="X210" s="158"/>
      <c r="Y210" s="158"/>
      <c r="Z210" s="158"/>
      <c r="AA210" s="158"/>
      <c r="AB210" s="158"/>
      <c r="AC210" s="158"/>
      <c r="AD210" s="158"/>
      <c r="AE210" s="74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</row>
    <row r="211" spans="1:46" ht="16.5" customHeight="1">
      <c r="A211" s="195"/>
      <c r="B211" s="195"/>
      <c r="C211" s="198"/>
      <c r="D211" s="201"/>
      <c r="E211" s="201"/>
      <c r="F211" s="201"/>
      <c r="G211" s="198"/>
      <c r="H211" s="198"/>
      <c r="I211" s="181"/>
      <c r="J211" s="181"/>
      <c r="K211" s="155"/>
      <c r="L211" s="165"/>
      <c r="M211" s="165"/>
      <c r="N211" s="37"/>
      <c r="O211" s="37"/>
      <c r="P211" s="198"/>
      <c r="Q211" s="163"/>
      <c r="R211" s="163"/>
      <c r="S211" s="181"/>
      <c r="T211" s="117"/>
      <c r="U211" s="117"/>
      <c r="V211" s="43"/>
      <c r="W211" s="428"/>
      <c r="X211" s="158"/>
      <c r="Y211" s="158"/>
      <c r="Z211" s="158"/>
      <c r="AA211" s="158"/>
      <c r="AB211" s="177"/>
      <c r="AC211" s="158"/>
      <c r="AD211" s="158"/>
      <c r="AE211" s="74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</row>
    <row r="212" spans="1:46" ht="16.5" customHeight="1">
      <c r="A212" s="224"/>
      <c r="B212" s="224"/>
      <c r="C212" s="196"/>
      <c r="D212" s="201"/>
      <c r="E212" s="201"/>
      <c r="F212" s="201"/>
      <c r="G212" s="198"/>
      <c r="H212" s="198"/>
      <c r="I212" s="181"/>
      <c r="J212" s="181"/>
      <c r="K212" s="155"/>
      <c r="L212" s="165"/>
      <c r="M212" s="165"/>
      <c r="N212" s="37"/>
      <c r="O212" s="37"/>
      <c r="P212" s="198"/>
      <c r="Q212" s="163"/>
      <c r="R212" s="163"/>
      <c r="S212" s="181"/>
      <c r="T212" s="117"/>
      <c r="U212" s="117"/>
      <c r="V212" s="43"/>
      <c r="W212" s="428"/>
      <c r="X212" s="158"/>
      <c r="Y212" s="158"/>
      <c r="Z212" s="158"/>
      <c r="AA212" s="158"/>
      <c r="AB212" s="177"/>
      <c r="AC212" s="158"/>
      <c r="AD212" s="158"/>
      <c r="AE212" s="74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</row>
    <row r="213" spans="1:46" ht="16.5" customHeight="1">
      <c r="A213" s="224"/>
      <c r="B213" s="224"/>
      <c r="C213" s="223"/>
      <c r="D213" s="225"/>
      <c r="E213" s="225"/>
      <c r="F213" s="225"/>
      <c r="G213" s="198"/>
      <c r="H213" s="198"/>
      <c r="I213" s="181"/>
      <c r="J213" s="181"/>
      <c r="K213" s="181"/>
      <c r="L213" s="165"/>
      <c r="M213" s="165"/>
      <c r="N213" s="37"/>
      <c r="O213" s="37"/>
      <c r="P213" s="429"/>
      <c r="Q213" s="163"/>
      <c r="R213" s="163"/>
      <c r="S213" s="181"/>
      <c r="T213" s="117"/>
      <c r="U213" s="214"/>
      <c r="V213" s="43"/>
      <c r="W213" s="428"/>
      <c r="X213" s="158"/>
      <c r="Y213" s="158"/>
      <c r="Z213" s="158"/>
      <c r="AA213" s="158"/>
      <c r="AB213" s="158"/>
      <c r="AC213" s="158"/>
      <c r="AD213" s="158"/>
      <c r="AE213" s="74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</row>
    <row r="214" spans="1:46" ht="16.5" customHeight="1">
      <c r="A214" s="224"/>
      <c r="B214" s="224"/>
      <c r="C214" s="223"/>
      <c r="D214" s="225"/>
      <c r="E214" s="225"/>
      <c r="F214" s="225"/>
      <c r="G214" s="198"/>
      <c r="H214" s="198"/>
      <c r="I214" s="181"/>
      <c r="J214" s="181"/>
      <c r="K214" s="181"/>
      <c r="L214" s="165"/>
      <c r="M214" s="165"/>
      <c r="N214" s="37"/>
      <c r="O214" s="37"/>
      <c r="P214" s="429"/>
      <c r="Q214" s="163"/>
      <c r="R214" s="163"/>
      <c r="S214" s="181"/>
      <c r="T214" s="117"/>
      <c r="U214" s="214"/>
      <c r="V214" s="43"/>
      <c r="W214" s="428"/>
      <c r="X214" s="158"/>
      <c r="Y214" s="158"/>
      <c r="Z214" s="158"/>
      <c r="AA214" s="158"/>
      <c r="AB214" s="158"/>
      <c r="AC214" s="158"/>
      <c r="AD214" s="158"/>
      <c r="AE214" s="74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</row>
    <row r="215" spans="1:46" ht="16.5" customHeight="1">
      <c r="A215" s="224"/>
      <c r="B215" s="224"/>
      <c r="C215" s="223"/>
      <c r="D215" s="225"/>
      <c r="E215" s="225"/>
      <c r="F215" s="225"/>
      <c r="G215" s="198"/>
      <c r="H215" s="198"/>
      <c r="I215" s="181"/>
      <c r="J215" s="181"/>
      <c r="K215" s="181"/>
      <c r="L215" s="165"/>
      <c r="M215" s="165"/>
      <c r="N215" s="37"/>
      <c r="O215" s="37"/>
      <c r="P215" s="429"/>
      <c r="Q215" s="163"/>
      <c r="R215" s="163"/>
      <c r="S215" s="181"/>
      <c r="T215" s="117"/>
      <c r="U215" s="214"/>
      <c r="V215" s="43"/>
      <c r="W215" s="428"/>
      <c r="X215" s="158"/>
      <c r="Y215" s="158"/>
      <c r="Z215" s="158"/>
      <c r="AA215" s="158"/>
      <c r="AB215" s="158"/>
      <c r="AC215" s="158"/>
      <c r="AD215" s="158"/>
      <c r="AE215" s="74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</row>
    <row r="216" spans="1:46" ht="16.5" customHeight="1">
      <c r="A216" s="229"/>
      <c r="B216" s="229"/>
      <c r="C216" s="223"/>
      <c r="D216" s="165"/>
      <c r="E216" s="165"/>
      <c r="F216" s="165"/>
      <c r="G216" s="198"/>
      <c r="H216" s="198"/>
      <c r="I216" s="181"/>
      <c r="J216" s="181"/>
      <c r="K216" s="155"/>
      <c r="L216" s="165"/>
      <c r="M216" s="165"/>
      <c r="N216" s="37"/>
      <c r="O216" s="37"/>
      <c r="P216" s="199"/>
      <c r="Q216" s="163"/>
      <c r="R216" s="163"/>
      <c r="S216" s="181"/>
      <c r="T216" s="117"/>
      <c r="U216" s="214"/>
      <c r="V216" s="43"/>
      <c r="W216" s="428"/>
      <c r="X216" s="158"/>
      <c r="Y216" s="158"/>
      <c r="Z216" s="158"/>
      <c r="AA216" s="158"/>
      <c r="AB216" s="158"/>
      <c r="AC216" s="158"/>
      <c r="AD216" s="158"/>
      <c r="AE216" s="74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</row>
    <row r="217" spans="1:46" ht="16.5" customHeight="1">
      <c r="A217" s="224"/>
      <c r="B217" s="224"/>
      <c r="C217" s="196"/>
      <c r="D217" s="201"/>
      <c r="E217" s="201"/>
      <c r="F217" s="201"/>
      <c r="G217" s="198"/>
      <c r="H217" s="198"/>
      <c r="I217" s="181"/>
      <c r="J217" s="181"/>
      <c r="K217" s="181"/>
      <c r="L217" s="165"/>
      <c r="M217" s="165"/>
      <c r="N217" s="37"/>
      <c r="O217" s="37"/>
      <c r="P217" s="429"/>
      <c r="Q217" s="163"/>
      <c r="R217" s="163"/>
      <c r="S217" s="181"/>
      <c r="T217" s="117"/>
      <c r="U217" s="214"/>
      <c r="V217" s="43"/>
      <c r="W217" s="428"/>
      <c r="X217" s="158"/>
      <c r="Y217" s="158"/>
      <c r="Z217" s="158"/>
      <c r="AA217" s="158"/>
      <c r="AB217" s="158"/>
      <c r="AC217" s="158"/>
      <c r="AD217" s="158"/>
      <c r="AE217" s="74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</row>
    <row r="218" spans="1:46" ht="16.5" customHeight="1">
      <c r="A218" s="224"/>
      <c r="B218" s="224"/>
      <c r="C218" s="223"/>
      <c r="D218" s="225"/>
      <c r="E218" s="225"/>
      <c r="F218" s="225"/>
      <c r="G218" s="198"/>
      <c r="H218" s="198"/>
      <c r="I218" s="181"/>
      <c r="J218" s="181"/>
      <c r="K218" s="155"/>
      <c r="L218" s="165"/>
      <c r="M218" s="165"/>
      <c r="N218" s="37"/>
      <c r="O218" s="37"/>
      <c r="P218" s="429"/>
      <c r="Q218" s="163"/>
      <c r="R218" s="163"/>
      <c r="S218" s="181"/>
      <c r="T218" s="117"/>
      <c r="U218" s="214"/>
      <c r="V218" s="43"/>
      <c r="W218" s="428"/>
      <c r="X218" s="158"/>
      <c r="Y218" s="158"/>
      <c r="Z218" s="158"/>
      <c r="AA218" s="158"/>
      <c r="AB218" s="158"/>
      <c r="AC218" s="158"/>
      <c r="AD218" s="177"/>
      <c r="AE218" s="74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</row>
    <row r="219" spans="1:46" ht="16.5" customHeight="1">
      <c r="A219" s="224"/>
      <c r="B219" s="224"/>
      <c r="C219" s="223"/>
      <c r="D219" s="225"/>
      <c r="E219" s="225"/>
      <c r="F219" s="225"/>
      <c r="G219" s="198"/>
      <c r="H219" s="198"/>
      <c r="I219" s="181"/>
      <c r="J219" s="181"/>
      <c r="K219" s="155"/>
      <c r="L219" s="165"/>
      <c r="M219" s="165"/>
      <c r="N219" s="37"/>
      <c r="O219" s="37"/>
      <c r="P219" s="429"/>
      <c r="Q219" s="163"/>
      <c r="R219" s="163"/>
      <c r="S219" s="181"/>
      <c r="T219" s="117"/>
      <c r="U219" s="214"/>
      <c r="V219" s="43"/>
      <c r="W219" s="428"/>
      <c r="X219" s="158"/>
      <c r="Y219" s="158"/>
      <c r="Z219" s="158"/>
      <c r="AA219" s="158"/>
      <c r="AB219" s="158"/>
      <c r="AC219" s="158"/>
      <c r="AD219" s="177"/>
      <c r="AE219" s="74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</row>
    <row r="220" spans="1:46" ht="16.5" customHeight="1">
      <c r="A220" s="224"/>
      <c r="B220" s="224"/>
      <c r="C220" s="223"/>
      <c r="D220" s="165"/>
      <c r="E220" s="165"/>
      <c r="F220" s="165"/>
      <c r="G220" s="198"/>
      <c r="H220" s="198"/>
      <c r="I220" s="155"/>
      <c r="J220" s="155"/>
      <c r="K220" s="155"/>
      <c r="L220" s="165"/>
      <c r="M220" s="165"/>
      <c r="N220" s="37"/>
      <c r="O220" s="37"/>
      <c r="P220" s="429"/>
      <c r="Q220" s="163"/>
      <c r="R220" s="163"/>
      <c r="S220" s="155"/>
      <c r="T220" s="117"/>
      <c r="U220" s="117"/>
      <c r="V220" s="43"/>
      <c r="W220" s="428"/>
      <c r="X220" s="158"/>
      <c r="Y220" s="158"/>
      <c r="Z220" s="158"/>
      <c r="AA220" s="158"/>
      <c r="AB220" s="158"/>
      <c r="AC220" s="158"/>
      <c r="AD220" s="230"/>
      <c r="AE220" s="74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</row>
    <row r="221" spans="1:46" ht="16.5" customHeight="1">
      <c r="A221" s="224"/>
      <c r="B221" s="224"/>
      <c r="C221" s="223"/>
      <c r="D221" s="165"/>
      <c r="E221" s="165"/>
      <c r="F221" s="165"/>
      <c r="G221" s="198"/>
      <c r="H221" s="198"/>
      <c r="I221" s="155"/>
      <c r="J221" s="155"/>
      <c r="K221" s="155"/>
      <c r="L221" s="155"/>
      <c r="M221" s="155"/>
      <c r="N221" s="37"/>
      <c r="O221" s="37"/>
      <c r="P221" s="198"/>
      <c r="Q221" s="163"/>
      <c r="R221" s="163"/>
      <c r="S221" s="155"/>
      <c r="T221" s="117"/>
      <c r="U221" s="117"/>
      <c r="V221" s="43"/>
      <c r="W221" s="428"/>
      <c r="X221" s="158"/>
      <c r="Y221" s="158"/>
      <c r="Z221" s="158"/>
      <c r="AA221" s="230"/>
      <c r="AB221" s="230"/>
      <c r="AC221" s="230"/>
      <c r="AD221" s="230"/>
      <c r="AE221" s="74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</row>
    <row r="222" spans="1:46" ht="16.5" customHeight="1">
      <c r="A222" s="224"/>
      <c r="B222" s="224"/>
      <c r="C222" s="223"/>
      <c r="D222" s="201"/>
      <c r="E222" s="201"/>
      <c r="F222" s="201"/>
      <c r="G222" s="198"/>
      <c r="H222" s="198"/>
      <c r="I222" s="181"/>
      <c r="J222" s="181"/>
      <c r="K222" s="181"/>
      <c r="L222" s="156"/>
      <c r="M222" s="156"/>
      <c r="N222" s="37"/>
      <c r="O222" s="37"/>
      <c r="P222" s="429"/>
      <c r="Q222" s="163"/>
      <c r="R222" s="163"/>
      <c r="S222" s="181"/>
      <c r="T222" s="117"/>
      <c r="U222" s="214"/>
      <c r="V222" s="43"/>
      <c r="W222" s="428"/>
      <c r="X222" s="158"/>
      <c r="Y222" s="158"/>
      <c r="Z222" s="158"/>
      <c r="AA222" s="230"/>
      <c r="AB222" s="230"/>
      <c r="AC222" s="230"/>
      <c r="AD222" s="230"/>
      <c r="AE222" s="74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</row>
    <row r="223" spans="1:46" ht="16.5" customHeight="1">
      <c r="A223" s="224"/>
      <c r="B223" s="224"/>
      <c r="C223" s="223"/>
      <c r="D223" s="201"/>
      <c r="E223" s="201"/>
      <c r="F223" s="201"/>
      <c r="G223" s="198"/>
      <c r="H223" s="198"/>
      <c r="I223" s="155"/>
      <c r="J223" s="155"/>
      <c r="K223" s="181"/>
      <c r="L223" s="156"/>
      <c r="M223" s="156"/>
      <c r="N223" s="37"/>
      <c r="O223" s="37"/>
      <c r="P223" s="429"/>
      <c r="Q223" s="163"/>
      <c r="R223" s="163"/>
      <c r="S223" s="155"/>
      <c r="T223" s="117"/>
      <c r="U223" s="214"/>
      <c r="V223" s="43"/>
      <c r="W223" s="428"/>
      <c r="X223" s="158"/>
      <c r="Y223" s="158"/>
      <c r="Z223" s="158"/>
      <c r="AA223" s="230"/>
      <c r="AB223" s="230"/>
      <c r="AC223" s="230"/>
      <c r="AD223" s="230"/>
      <c r="AE223" s="74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</row>
    <row r="224" spans="1:46" ht="16.5" customHeight="1">
      <c r="A224" s="224"/>
      <c r="B224" s="224"/>
      <c r="C224" s="61"/>
      <c r="D224" s="167"/>
      <c r="E224" s="167"/>
      <c r="F224" s="167"/>
      <c r="G224" s="64"/>
      <c r="H224" s="64"/>
      <c r="I224" s="167"/>
      <c r="J224" s="167"/>
      <c r="K224" s="231"/>
      <c r="L224" s="231"/>
      <c r="M224" s="231"/>
      <c r="N224" s="67"/>
      <c r="O224" s="67"/>
      <c r="P224" s="67"/>
      <c r="Q224" s="233"/>
      <c r="R224" s="233"/>
      <c r="S224" s="167"/>
      <c r="T224" s="234"/>
      <c r="U224" s="72"/>
      <c r="V224" s="72"/>
      <c r="W224" s="473"/>
      <c r="X224" s="230"/>
      <c r="Y224" s="230"/>
      <c r="Z224" s="70"/>
      <c r="AA224" s="230"/>
      <c r="AB224" s="230"/>
      <c r="AC224" s="230"/>
      <c r="AD224" s="230"/>
      <c r="AE224" s="74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</row>
    <row r="225" spans="1:46" ht="16.5" customHeight="1">
      <c r="A225" s="224"/>
      <c r="B225" s="224"/>
      <c r="C225" s="61"/>
      <c r="D225" s="167"/>
      <c r="E225" s="167"/>
      <c r="F225" s="167"/>
      <c r="G225" s="64"/>
      <c r="H225" s="64"/>
      <c r="I225" s="167"/>
      <c r="J225" s="167"/>
      <c r="K225" s="231"/>
      <c r="L225" s="231"/>
      <c r="M225" s="231"/>
      <c r="N225" s="67"/>
      <c r="O225" s="67"/>
      <c r="P225" s="67"/>
      <c r="Q225" s="233"/>
      <c r="R225" s="233"/>
      <c r="S225" s="167"/>
      <c r="T225" s="234"/>
      <c r="U225" s="72"/>
      <c r="V225" s="72"/>
      <c r="W225" s="473"/>
      <c r="X225" s="230"/>
      <c r="Y225" s="230"/>
      <c r="Z225" s="70"/>
      <c r="AA225" s="230"/>
      <c r="AB225" s="230"/>
      <c r="AC225" s="230"/>
      <c r="AD225" s="230"/>
      <c r="AE225" s="74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</row>
    <row r="226" spans="1:46" ht="16.5" customHeight="1">
      <c r="A226" s="224"/>
      <c r="B226" s="224"/>
      <c r="C226" s="61"/>
      <c r="D226" s="167"/>
      <c r="E226" s="167"/>
      <c r="F226" s="167"/>
      <c r="G226" s="64"/>
      <c r="H226" s="64"/>
      <c r="I226" s="167"/>
      <c r="J226" s="167"/>
      <c r="K226" s="231"/>
      <c r="L226" s="231"/>
      <c r="M226" s="231"/>
      <c r="N226" s="67"/>
      <c r="O226" s="67"/>
      <c r="P226" s="67"/>
      <c r="Q226" s="233"/>
      <c r="R226" s="233"/>
      <c r="S226" s="167"/>
      <c r="T226" s="234"/>
      <c r="U226" s="72"/>
      <c r="V226" s="72"/>
      <c r="W226" s="473"/>
      <c r="X226" s="230"/>
      <c r="Y226" s="230"/>
      <c r="Z226" s="70"/>
      <c r="AA226" s="230"/>
      <c r="AB226" s="230"/>
      <c r="AC226" s="230"/>
      <c r="AD226" s="230"/>
      <c r="AE226" s="74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</row>
    <row r="227" spans="1:46" ht="16.5" customHeight="1">
      <c r="A227" s="224"/>
      <c r="B227" s="224"/>
      <c r="C227" s="61"/>
      <c r="D227" s="167"/>
      <c r="E227" s="167"/>
      <c r="F227" s="167"/>
      <c r="G227" s="64"/>
      <c r="H227" s="64"/>
      <c r="I227" s="167"/>
      <c r="J227" s="167"/>
      <c r="K227" s="231"/>
      <c r="L227" s="231"/>
      <c r="M227" s="231"/>
      <c r="N227" s="67"/>
      <c r="O227" s="67"/>
      <c r="P227" s="67"/>
      <c r="Q227" s="233"/>
      <c r="R227" s="233"/>
      <c r="S227" s="167"/>
      <c r="T227" s="234"/>
      <c r="U227" s="72"/>
      <c r="V227" s="72"/>
      <c r="W227" s="473"/>
      <c r="X227" s="230"/>
      <c r="Y227" s="230"/>
      <c r="Z227" s="70"/>
      <c r="AA227" s="230"/>
      <c r="AB227" s="230"/>
      <c r="AC227" s="230"/>
      <c r="AD227" s="230"/>
      <c r="AE227" s="74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</row>
    <row r="228" spans="1:46" ht="16.5" customHeight="1">
      <c r="A228" s="224"/>
      <c r="B228" s="224"/>
      <c r="C228" s="61"/>
      <c r="D228" s="167"/>
      <c r="E228" s="167"/>
      <c r="F228" s="167"/>
      <c r="G228" s="64"/>
      <c r="H228" s="64"/>
      <c r="I228" s="167"/>
      <c r="J228" s="167"/>
      <c r="K228" s="231"/>
      <c r="L228" s="231"/>
      <c r="M228" s="231"/>
      <c r="N228" s="67"/>
      <c r="O228" s="67"/>
      <c r="P228" s="67"/>
      <c r="Q228" s="233"/>
      <c r="R228" s="233"/>
      <c r="S228" s="167"/>
      <c r="T228" s="234"/>
      <c r="U228" s="72"/>
      <c r="V228" s="72"/>
      <c r="W228" s="473"/>
      <c r="X228" s="230"/>
      <c r="Y228" s="230"/>
      <c r="Z228" s="70"/>
      <c r="AA228" s="230"/>
      <c r="AB228" s="230"/>
      <c r="AC228" s="230"/>
      <c r="AD228" s="230"/>
      <c r="AE228" s="74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</row>
    <row r="229" spans="1:46" ht="16.5" customHeight="1">
      <c r="A229" s="224"/>
      <c r="B229" s="224"/>
      <c r="C229" s="61"/>
      <c r="D229" s="167"/>
      <c r="E229" s="167"/>
      <c r="F229" s="167"/>
      <c r="G229" s="64"/>
      <c r="H229" s="64"/>
      <c r="I229" s="167"/>
      <c r="J229" s="167"/>
      <c r="K229" s="231"/>
      <c r="L229" s="231"/>
      <c r="M229" s="231"/>
      <c r="N229" s="67"/>
      <c r="O229" s="67"/>
      <c r="P229" s="67"/>
      <c r="Q229" s="233"/>
      <c r="R229" s="233"/>
      <c r="S229" s="167"/>
      <c r="T229" s="234"/>
      <c r="U229" s="72"/>
      <c r="V229" s="72"/>
      <c r="W229" s="473"/>
      <c r="X229" s="230"/>
      <c r="Y229" s="230"/>
      <c r="Z229" s="70"/>
      <c r="AA229" s="230"/>
      <c r="AB229" s="230"/>
      <c r="AC229" s="230"/>
      <c r="AD229" s="230"/>
      <c r="AE229" s="74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</row>
    <row r="230" spans="1:46" ht="16.5" customHeight="1">
      <c r="A230" s="224"/>
      <c r="B230" s="224"/>
      <c r="C230" s="61"/>
      <c r="D230" s="167"/>
      <c r="E230" s="167"/>
      <c r="F230" s="167"/>
      <c r="G230" s="64"/>
      <c r="H230" s="64"/>
      <c r="I230" s="167"/>
      <c r="J230" s="167"/>
      <c r="K230" s="231"/>
      <c r="L230" s="231"/>
      <c r="M230" s="231"/>
      <c r="N230" s="67"/>
      <c r="O230" s="67"/>
      <c r="P230" s="67"/>
      <c r="Q230" s="233"/>
      <c r="R230" s="233"/>
      <c r="S230" s="167"/>
      <c r="T230" s="234"/>
      <c r="U230" s="72"/>
      <c r="V230" s="72"/>
      <c r="W230" s="473"/>
      <c r="X230" s="230"/>
      <c r="Y230" s="230"/>
      <c r="Z230" s="70"/>
      <c r="AA230" s="230"/>
      <c r="AB230" s="230"/>
      <c r="AC230" s="230"/>
      <c r="AD230" s="230"/>
      <c r="AE230" s="74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</row>
    <row r="231" spans="1:46" ht="16.5" customHeight="1">
      <c r="A231" s="235"/>
      <c r="B231" s="235"/>
      <c r="C231" s="236"/>
      <c r="D231" s="237"/>
      <c r="E231" s="237"/>
      <c r="F231" s="237"/>
      <c r="G231" s="238"/>
      <c r="H231" s="238"/>
      <c r="I231" s="169"/>
      <c r="J231" s="169"/>
      <c r="K231" s="239"/>
      <c r="L231" s="173"/>
      <c r="M231" s="173"/>
      <c r="N231" s="231"/>
      <c r="O231" s="231"/>
      <c r="P231" s="245"/>
      <c r="Q231" s="213"/>
      <c r="R231" s="213"/>
      <c r="S231" s="169"/>
      <c r="T231" s="234"/>
      <c r="U231" s="241"/>
      <c r="V231" s="242"/>
      <c r="W231" s="428"/>
      <c r="X231" s="243"/>
      <c r="Y231" s="243"/>
      <c r="Z231" s="243"/>
      <c r="AA231" s="243"/>
      <c r="AB231" s="244"/>
      <c r="AC231" s="243"/>
      <c r="AD231" s="243"/>
      <c r="AE231" s="45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</row>
    <row r="232" spans="1:46" ht="16.5" customHeight="1">
      <c r="A232" s="235"/>
      <c r="B232" s="235"/>
      <c r="C232" s="61"/>
      <c r="D232" s="167"/>
      <c r="E232" s="167"/>
      <c r="F232" s="167"/>
      <c r="G232" s="245"/>
      <c r="H232" s="245"/>
      <c r="I232" s="239"/>
      <c r="J232" s="239"/>
      <c r="K232" s="239"/>
      <c r="L232" s="173"/>
      <c r="M232" s="173"/>
      <c r="N232" s="67"/>
      <c r="O232" s="67"/>
      <c r="P232" s="245"/>
      <c r="Q232" s="213"/>
      <c r="R232" s="213"/>
      <c r="S232" s="239"/>
      <c r="T232" s="234"/>
      <c r="U232" s="72"/>
      <c r="V232" s="72"/>
      <c r="W232" s="428"/>
      <c r="X232" s="230"/>
      <c r="Y232" s="230"/>
      <c r="Z232" s="230"/>
      <c r="AA232" s="243"/>
      <c r="AB232" s="230"/>
      <c r="AC232" s="243"/>
      <c r="AD232" s="65"/>
      <c r="AE232" s="45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</row>
    <row r="233" spans="1:46" ht="16.5" customHeight="1">
      <c r="A233" s="235"/>
      <c r="B233" s="235"/>
      <c r="C233" s="61"/>
      <c r="D233" s="167"/>
      <c r="E233" s="167"/>
      <c r="F233" s="167"/>
      <c r="G233" s="238"/>
      <c r="H233" s="238"/>
      <c r="I233" s="239"/>
      <c r="J233" s="239"/>
      <c r="K233" s="239"/>
      <c r="L233" s="173"/>
      <c r="M233" s="173"/>
      <c r="N233" s="67"/>
      <c r="O233" s="67"/>
      <c r="P233" s="245"/>
      <c r="Q233" s="213"/>
      <c r="R233" s="213"/>
      <c r="S233" s="239"/>
      <c r="T233" s="246"/>
      <c r="U233" s="174"/>
      <c r="V233" s="242"/>
      <c r="W233" s="428"/>
      <c r="X233" s="65"/>
      <c r="Y233" s="65"/>
      <c r="Z233" s="230"/>
      <c r="AA233" s="243"/>
      <c r="AB233" s="65"/>
      <c r="AC233" s="243"/>
      <c r="AD233" s="74"/>
      <c r="AE233" s="45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</row>
    <row r="234" spans="1:46" ht="16.5" customHeight="1">
      <c r="A234" s="247"/>
      <c r="B234" s="247"/>
      <c r="C234" s="61"/>
      <c r="D234" s="167"/>
      <c r="E234" s="167"/>
      <c r="F234" s="167"/>
      <c r="G234" s="64"/>
      <c r="H234" s="64"/>
      <c r="I234" s="230"/>
      <c r="J234" s="230"/>
      <c r="K234" s="230"/>
      <c r="L234" s="230"/>
      <c r="M234" s="230"/>
      <c r="N234" s="74"/>
      <c r="O234" s="74"/>
      <c r="P234" s="61"/>
      <c r="Q234" s="246"/>
      <c r="R234" s="246"/>
      <c r="S234" s="230"/>
      <c r="T234" s="246"/>
      <c r="U234" s="246"/>
      <c r="V234" s="246"/>
      <c r="W234" s="430"/>
      <c r="X234" s="61"/>
      <c r="Y234" s="61"/>
      <c r="Z234" s="61"/>
      <c r="AA234" s="61"/>
      <c r="AB234" s="61"/>
      <c r="AC234" s="61"/>
      <c r="AD234" s="230"/>
      <c r="AE234" s="65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</row>
    <row r="235" spans="1:46" ht="16.5" customHeight="1">
      <c r="A235" s="248"/>
      <c r="B235" s="248"/>
      <c r="C235" s="61"/>
      <c r="D235" s="167"/>
      <c r="E235" s="167"/>
      <c r="F235" s="167"/>
      <c r="G235" s="245"/>
      <c r="H235" s="245"/>
      <c r="I235" s="169"/>
      <c r="J235" s="169"/>
      <c r="K235" s="249"/>
      <c r="L235" s="239"/>
      <c r="M235" s="239"/>
      <c r="N235" s="173"/>
      <c r="O235" s="173"/>
      <c r="P235" s="67"/>
      <c r="Q235" s="234"/>
      <c r="R235" s="234"/>
      <c r="S235" s="169"/>
      <c r="T235" s="234"/>
      <c r="U235" s="174"/>
      <c r="V235" s="72"/>
      <c r="W235" s="428"/>
      <c r="X235" s="230"/>
      <c r="Y235" s="230"/>
      <c r="Z235" s="243"/>
      <c r="AA235" s="230"/>
      <c r="AB235" s="45"/>
      <c r="AC235" s="230"/>
      <c r="AD235" s="230"/>
      <c r="AE235" s="74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</row>
    <row r="236" spans="1:46" ht="16.5" customHeight="1">
      <c r="A236" s="248"/>
      <c r="B236" s="248"/>
      <c r="C236" s="61"/>
      <c r="D236" s="167"/>
      <c r="E236" s="167"/>
      <c r="F236" s="167"/>
      <c r="G236" s="245"/>
      <c r="H236" s="245"/>
      <c r="I236" s="167"/>
      <c r="J236" s="167"/>
      <c r="K236" s="231"/>
      <c r="L236" s="67"/>
      <c r="M236" s="67"/>
      <c r="N236" s="67"/>
      <c r="O236" s="67"/>
      <c r="P236" s="67"/>
      <c r="Q236" s="233"/>
      <c r="R236" s="233"/>
      <c r="S236" s="167"/>
      <c r="T236" s="234"/>
      <c r="U236" s="72"/>
      <c r="V236" s="72"/>
      <c r="W236" s="473"/>
      <c r="X236" s="230"/>
      <c r="Y236" s="230"/>
      <c r="Z236" s="70"/>
      <c r="AA236" s="230"/>
      <c r="AB236" s="230"/>
      <c r="AC236" s="230"/>
      <c r="AD236" s="230"/>
      <c r="AE236" s="74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</row>
    <row r="237" spans="1:46" ht="16.5" customHeight="1">
      <c r="A237" s="248"/>
      <c r="B237" s="248"/>
      <c r="C237" s="61"/>
      <c r="D237" s="167"/>
      <c r="E237" s="167"/>
      <c r="F237" s="167"/>
      <c r="G237" s="245"/>
      <c r="H237" s="245"/>
      <c r="I237" s="167"/>
      <c r="J237" s="167"/>
      <c r="K237" s="231"/>
      <c r="L237" s="67"/>
      <c r="M237" s="67"/>
      <c r="N237" s="67"/>
      <c r="O237" s="67"/>
      <c r="P237" s="167"/>
      <c r="Q237" s="250"/>
      <c r="R237" s="250"/>
      <c r="S237" s="167"/>
      <c r="T237" s="234"/>
      <c r="U237" s="174"/>
      <c r="V237" s="242"/>
      <c r="W237" s="473"/>
      <c r="X237" s="65"/>
      <c r="Y237" s="65"/>
      <c r="Z237" s="70"/>
      <c r="AA237" s="65"/>
      <c r="AB237" s="65"/>
      <c r="AC237" s="65"/>
      <c r="AD237" s="65"/>
      <c r="AE237" s="65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</row>
    <row r="238" spans="1:46" ht="16.5" customHeight="1">
      <c r="A238" s="247"/>
      <c r="B238" s="247"/>
      <c r="C238" s="251"/>
      <c r="D238" s="167"/>
      <c r="E238" s="167"/>
      <c r="F238" s="167"/>
      <c r="G238" s="64"/>
      <c r="H238" s="64"/>
      <c r="I238" s="230"/>
      <c r="J238" s="230"/>
      <c r="K238" s="230"/>
      <c r="L238" s="230"/>
      <c r="M238" s="230"/>
      <c r="N238" s="74"/>
      <c r="O238" s="74"/>
      <c r="P238" s="251"/>
      <c r="Q238" s="234"/>
      <c r="R238" s="234"/>
      <c r="S238" s="230"/>
      <c r="T238" s="234"/>
      <c r="U238" s="234"/>
      <c r="V238" s="246"/>
      <c r="W238" s="430"/>
      <c r="X238" s="61"/>
      <c r="Y238" s="61"/>
      <c r="Z238" s="61"/>
      <c r="AA238" s="61"/>
      <c r="AB238" s="61"/>
      <c r="AC238" s="61"/>
      <c r="AD238" s="230"/>
      <c r="AE238" s="74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</row>
    <row r="239" spans="1:46" ht="16.5" customHeight="1">
      <c r="A239" s="212"/>
      <c r="B239" s="212"/>
      <c r="C239" s="92"/>
      <c r="D239" s="252"/>
      <c r="E239" s="252"/>
      <c r="F239" s="252"/>
      <c r="G239" s="64"/>
      <c r="H239" s="64"/>
      <c r="I239" s="230"/>
      <c r="J239" s="230"/>
      <c r="K239" s="253"/>
      <c r="L239" s="230"/>
      <c r="M239" s="230"/>
      <c r="N239" s="74"/>
      <c r="O239" s="74"/>
      <c r="P239" s="92"/>
      <c r="Q239" s="234"/>
      <c r="R239" s="234"/>
      <c r="S239" s="230"/>
      <c r="T239" s="234"/>
      <c r="U239" s="234"/>
      <c r="V239" s="246"/>
      <c r="W239" s="430"/>
      <c r="X239" s="61"/>
      <c r="Y239" s="61"/>
      <c r="Z239" s="61"/>
      <c r="AA239" s="61"/>
      <c r="AB239" s="61"/>
      <c r="AC239" s="61"/>
      <c r="AD239" s="230"/>
      <c r="AE239" s="74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</row>
    <row r="240" spans="1:46" ht="16.5" customHeight="1">
      <c r="A240" s="247"/>
      <c r="B240" s="247"/>
      <c r="C240" s="251"/>
      <c r="D240" s="167"/>
      <c r="E240" s="167"/>
      <c r="F240" s="167"/>
      <c r="G240" s="64"/>
      <c r="H240" s="64"/>
      <c r="I240" s="230"/>
      <c r="J240" s="230"/>
      <c r="K240" s="230"/>
      <c r="L240" s="230"/>
      <c r="M240" s="230"/>
      <c r="N240" s="74"/>
      <c r="O240" s="74"/>
      <c r="P240" s="251"/>
      <c r="Q240" s="234"/>
      <c r="R240" s="234"/>
      <c r="S240" s="230"/>
      <c r="T240" s="234"/>
      <c r="U240" s="234"/>
      <c r="V240" s="246"/>
      <c r="W240" s="430"/>
      <c r="X240" s="61"/>
      <c r="Y240" s="61"/>
      <c r="Z240" s="61"/>
      <c r="AA240" s="61"/>
      <c r="AB240" s="61"/>
      <c r="AC240" s="61"/>
      <c r="AD240" s="230"/>
      <c r="AE240" s="74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</row>
    <row r="241" spans="1:46" ht="16.5" customHeight="1">
      <c r="A241" s="247"/>
      <c r="B241" s="247"/>
      <c r="C241" s="251"/>
      <c r="D241" s="167"/>
      <c r="E241" s="167"/>
      <c r="F241" s="167"/>
      <c r="G241" s="64"/>
      <c r="H241" s="64"/>
      <c r="I241" s="230"/>
      <c r="J241" s="230"/>
      <c r="K241" s="230"/>
      <c r="L241" s="230"/>
      <c r="M241" s="230"/>
      <c r="N241" s="74"/>
      <c r="O241" s="74"/>
      <c r="P241" s="251"/>
      <c r="Q241" s="234"/>
      <c r="R241" s="234"/>
      <c r="S241" s="230"/>
      <c r="T241" s="234"/>
      <c r="U241" s="234"/>
      <c r="V241" s="246"/>
      <c r="W241" s="430"/>
      <c r="X241" s="61"/>
      <c r="Y241" s="61"/>
      <c r="Z241" s="61"/>
      <c r="AA241" s="61"/>
      <c r="AB241" s="61"/>
      <c r="AC241" s="61"/>
      <c r="AD241" s="230"/>
      <c r="AE241" s="74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</row>
    <row r="242" spans="1:46" ht="16.5" customHeight="1">
      <c r="A242" s="224"/>
      <c r="B242" s="224"/>
      <c r="C242" s="251"/>
      <c r="D242" s="167"/>
      <c r="E242" s="167"/>
      <c r="F242" s="167"/>
      <c r="G242" s="64"/>
      <c r="H242" s="64"/>
      <c r="I242" s="230"/>
      <c r="J242" s="230"/>
      <c r="K242" s="230"/>
      <c r="L242" s="230"/>
      <c r="M242" s="230"/>
      <c r="N242" s="74"/>
      <c r="O242" s="74"/>
      <c r="P242" s="61"/>
      <c r="Q242" s="246"/>
      <c r="R242" s="246"/>
      <c r="S242" s="230"/>
      <c r="T242" s="246"/>
      <c r="U242" s="246"/>
      <c r="V242" s="246"/>
      <c r="W242" s="430"/>
      <c r="X242" s="61"/>
      <c r="Y242" s="61"/>
      <c r="Z242" s="61"/>
      <c r="AA242" s="61"/>
      <c r="AB242" s="61"/>
      <c r="AC242" s="61"/>
      <c r="AD242" s="230"/>
      <c r="AE242" s="74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</row>
    <row r="243" spans="1:46" ht="16.5" customHeight="1">
      <c r="A243" s="235"/>
      <c r="B243" s="235"/>
      <c r="C243" s="254"/>
      <c r="D243" s="237"/>
      <c r="E243" s="237"/>
      <c r="F243" s="237"/>
      <c r="G243" s="255"/>
      <c r="H243" s="255"/>
      <c r="I243" s="239"/>
      <c r="J243" s="239"/>
      <c r="K243" s="239"/>
      <c r="L243" s="173"/>
      <c r="M243" s="173"/>
      <c r="N243" s="45"/>
      <c r="O243" s="45"/>
      <c r="P243" s="61"/>
      <c r="Q243" s="246"/>
      <c r="R243" s="246"/>
      <c r="S243" s="239"/>
      <c r="T243" s="246"/>
      <c r="U243" s="246"/>
      <c r="V243" s="246"/>
      <c r="W243" s="428"/>
      <c r="X243" s="61"/>
      <c r="Y243" s="61"/>
      <c r="Z243" s="61"/>
      <c r="AA243" s="61"/>
      <c r="AB243" s="256"/>
      <c r="AC243" s="61"/>
      <c r="AD243" s="230"/>
      <c r="AE243" s="74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</row>
    <row r="244" spans="1:46" ht="16.5" customHeight="1">
      <c r="A244" s="235"/>
      <c r="B244" s="235"/>
      <c r="C244" s="254"/>
      <c r="D244" s="237"/>
      <c r="E244" s="237"/>
      <c r="F244" s="237"/>
      <c r="G244" s="255"/>
      <c r="H244" s="255"/>
      <c r="I244" s="239"/>
      <c r="J244" s="239"/>
      <c r="K244" s="239"/>
      <c r="L244" s="173"/>
      <c r="M244" s="173"/>
      <c r="N244" s="45"/>
      <c r="O244" s="45"/>
      <c r="P244" s="61"/>
      <c r="Q244" s="246"/>
      <c r="R244" s="246"/>
      <c r="S244" s="239"/>
      <c r="T244" s="246"/>
      <c r="U244" s="246"/>
      <c r="V244" s="246"/>
      <c r="W244" s="428"/>
      <c r="X244" s="61"/>
      <c r="Y244" s="61"/>
      <c r="Z244" s="61"/>
      <c r="AA244" s="61"/>
      <c r="AB244" s="256"/>
      <c r="AC244" s="61"/>
      <c r="AD244" s="230"/>
      <c r="AE244" s="74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</row>
    <row r="245" spans="1:46" ht="16.5" customHeight="1">
      <c r="A245" s="216"/>
      <c r="B245" s="216"/>
      <c r="C245" s="217"/>
      <c r="D245" s="176"/>
      <c r="E245" s="176"/>
      <c r="F245" s="176"/>
      <c r="G245" s="162"/>
      <c r="H245" s="162"/>
      <c r="I245" s="218"/>
      <c r="J245" s="218"/>
      <c r="K245" s="219"/>
      <c r="L245" s="219"/>
      <c r="M245" s="219"/>
      <c r="N245" s="45"/>
      <c r="O245" s="45"/>
      <c r="P245" s="217"/>
      <c r="Q245" s="220"/>
      <c r="R245" s="220"/>
      <c r="S245" s="218"/>
      <c r="T245" s="220"/>
      <c r="U245" s="221"/>
      <c r="V245" s="213"/>
      <c r="W245" s="430"/>
      <c r="X245" s="218"/>
      <c r="Y245" s="218"/>
      <c r="Z245" s="218"/>
      <c r="AA245" s="219"/>
      <c r="AB245" s="219"/>
      <c r="AC245" s="219"/>
      <c r="AD245" s="45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</row>
    <row r="246" spans="1:46" ht="16.5" customHeight="1">
      <c r="A246" s="216"/>
      <c r="B246" s="216"/>
      <c r="C246" s="217"/>
      <c r="D246" s="176"/>
      <c r="E246" s="176"/>
      <c r="F246" s="176"/>
      <c r="G246" s="162"/>
      <c r="H246" s="162"/>
      <c r="I246" s="218"/>
      <c r="J246" s="218"/>
      <c r="K246" s="219"/>
      <c r="L246" s="219"/>
      <c r="M246" s="219"/>
      <c r="N246" s="45"/>
      <c r="O246" s="45"/>
      <c r="P246" s="217"/>
      <c r="Q246" s="220"/>
      <c r="R246" s="220"/>
      <c r="S246" s="218"/>
      <c r="T246" s="220"/>
      <c r="U246" s="221"/>
      <c r="V246" s="213"/>
      <c r="W246" s="430"/>
      <c r="X246" s="218"/>
      <c r="Y246" s="218"/>
      <c r="Z246" s="218"/>
      <c r="AA246" s="219"/>
      <c r="AB246" s="219"/>
      <c r="AC246" s="219"/>
      <c r="AD246" s="45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</row>
    <row r="247" spans="1:46" ht="16.5" customHeight="1">
      <c r="A247" s="257"/>
      <c r="B247" s="257"/>
      <c r="C247" s="31"/>
      <c r="D247" s="161"/>
      <c r="E247" s="161"/>
      <c r="F247" s="161"/>
      <c r="G247" s="45"/>
      <c r="H247" s="45"/>
      <c r="I247" s="218"/>
      <c r="J247" s="218"/>
      <c r="K247" s="218"/>
      <c r="L247" s="37"/>
      <c r="M247" s="37"/>
      <c r="N247" s="45"/>
      <c r="O247" s="45"/>
      <c r="P247" s="268"/>
      <c r="Q247" s="221"/>
      <c r="R247" s="221"/>
      <c r="S247" s="218"/>
      <c r="T247" s="221"/>
      <c r="U247" s="221"/>
      <c r="V247" s="213"/>
      <c r="W247" s="430"/>
      <c r="X247" s="31"/>
      <c r="Y247" s="31"/>
      <c r="Z247" s="218"/>
      <c r="AA247" s="45"/>
      <c r="AB247" s="258"/>
      <c r="AC247" s="45"/>
      <c r="AD247" s="45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</row>
    <row r="248" spans="1:46" ht="16.5" customHeight="1">
      <c r="A248" s="259"/>
      <c r="B248" s="259"/>
      <c r="C248" s="260"/>
      <c r="D248" s="261"/>
      <c r="E248" s="261"/>
      <c r="F248" s="261"/>
      <c r="G248" s="262"/>
      <c r="H248" s="262"/>
      <c r="I248" s="263"/>
      <c r="J248" s="263"/>
      <c r="K248" s="263"/>
      <c r="L248" s="264"/>
      <c r="M248" s="264"/>
      <c r="N248" s="45"/>
      <c r="O248" s="45"/>
      <c r="P248" s="262"/>
      <c r="Q248" s="221"/>
      <c r="R248" s="221"/>
      <c r="S248" s="263"/>
      <c r="T248" s="221"/>
      <c r="U248" s="266"/>
      <c r="V248" s="213"/>
      <c r="W248" s="430"/>
      <c r="X248" s="260"/>
      <c r="Y248" s="260"/>
      <c r="Z248" s="218"/>
      <c r="AA248" s="267"/>
      <c r="AB248" s="258"/>
      <c r="AC248" s="267"/>
      <c r="AD248" s="45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</row>
    <row r="249" spans="1:46" ht="16.5" customHeight="1">
      <c r="A249" s="259"/>
      <c r="B249" s="259"/>
      <c r="C249" s="268"/>
      <c r="D249" s="161"/>
      <c r="E249" s="161"/>
      <c r="F249" s="161"/>
      <c r="G249" s="269"/>
      <c r="H249" s="269"/>
      <c r="I249" s="263"/>
      <c r="J249" s="263"/>
      <c r="K249" s="263"/>
      <c r="L249" s="264"/>
      <c r="M249" s="264"/>
      <c r="N249" s="45"/>
      <c r="O249" s="45"/>
      <c r="P249" s="262"/>
      <c r="Q249" s="221"/>
      <c r="R249" s="221"/>
      <c r="S249" s="263"/>
      <c r="T249" s="221"/>
      <c r="U249" s="221"/>
      <c r="V249" s="213"/>
      <c r="W249" s="430"/>
      <c r="X249" s="260"/>
      <c r="Y249" s="260"/>
      <c r="Z249" s="218"/>
      <c r="AA249" s="267"/>
      <c r="AB249" s="258"/>
      <c r="AC249" s="267"/>
      <c r="AD249" s="45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</row>
    <row r="250" spans="1:46" ht="16.5" customHeight="1">
      <c r="A250" s="259"/>
      <c r="B250" s="259"/>
      <c r="C250" s="268"/>
      <c r="D250" s="161"/>
      <c r="E250" s="161"/>
      <c r="F250" s="161"/>
      <c r="G250" s="269"/>
      <c r="H250" s="269"/>
      <c r="I250" s="263"/>
      <c r="J250" s="263"/>
      <c r="K250" s="263"/>
      <c r="L250" s="264"/>
      <c r="M250" s="264"/>
      <c r="N250" s="45"/>
      <c r="O250" s="45"/>
      <c r="P250" s="262"/>
      <c r="Q250" s="221"/>
      <c r="R250" s="221"/>
      <c r="S250" s="263"/>
      <c r="T250" s="221"/>
      <c r="U250" s="221"/>
      <c r="V250" s="213"/>
      <c r="W250" s="430"/>
      <c r="X250" s="260"/>
      <c r="Y250" s="260"/>
      <c r="Z250" s="218"/>
      <c r="AA250" s="45"/>
      <c r="AB250" s="258"/>
      <c r="AC250" s="45"/>
      <c r="AD250" s="45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</row>
    <row r="251" spans="1:46" ht="16.5" customHeight="1">
      <c r="A251" s="270"/>
      <c r="B251" s="270"/>
      <c r="C251" s="217"/>
      <c r="D251" s="176"/>
      <c r="E251" s="176"/>
      <c r="F251" s="176"/>
      <c r="G251" s="45"/>
      <c r="H251" s="45"/>
      <c r="I251" s="218"/>
      <c r="J251" s="218"/>
      <c r="K251" s="219"/>
      <c r="L251" s="33"/>
      <c r="M251" s="33"/>
      <c r="N251" s="45"/>
      <c r="O251" s="45"/>
      <c r="P251" s="217"/>
      <c r="Q251" s="221"/>
      <c r="R251" s="221"/>
      <c r="S251" s="218"/>
      <c r="T251" s="220"/>
      <c r="U251" s="221"/>
      <c r="V251" s="213"/>
      <c r="W251" s="430"/>
      <c r="X251" s="218"/>
      <c r="Y251" s="218"/>
      <c r="Z251" s="218"/>
      <c r="AA251" s="45"/>
      <c r="AB251" s="258"/>
      <c r="AC251" s="45"/>
      <c r="AD251" s="45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</row>
    <row r="252" spans="1:46" ht="16.5" customHeight="1">
      <c r="A252" s="257"/>
      <c r="B252" s="257"/>
      <c r="C252" s="268"/>
      <c r="D252" s="176"/>
      <c r="E252" s="176"/>
      <c r="F252" s="176"/>
      <c r="G252" s="271"/>
      <c r="H252" s="271"/>
      <c r="I252" s="263"/>
      <c r="J252" s="263"/>
      <c r="K252" s="218"/>
      <c r="L252" s="37"/>
      <c r="M252" s="37"/>
      <c r="N252" s="45"/>
      <c r="O252" s="45"/>
      <c r="P252" s="268"/>
      <c r="Q252" s="221"/>
      <c r="R252" s="221"/>
      <c r="S252" s="263"/>
      <c r="T252" s="221"/>
      <c r="U252" s="221"/>
      <c r="V252" s="213"/>
      <c r="W252" s="430"/>
      <c r="X252" s="260"/>
      <c r="Y252" s="260"/>
      <c r="Z252" s="218"/>
      <c r="AA252" s="267"/>
      <c r="AB252" s="258"/>
      <c r="AC252" s="267"/>
      <c r="AD252" s="45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</row>
    <row r="253" spans="1:46" ht="16.5" customHeight="1">
      <c r="A253" s="248"/>
      <c r="B253" s="248"/>
      <c r="C253" s="268"/>
      <c r="D253" s="161"/>
      <c r="E253" s="161"/>
      <c r="F253" s="161"/>
      <c r="G253" s="271"/>
      <c r="H253" s="271"/>
      <c r="I253" s="263"/>
      <c r="J253" s="263"/>
      <c r="K253" s="218"/>
      <c r="L253" s="37"/>
      <c r="M253" s="37"/>
      <c r="N253" s="45"/>
      <c r="O253" s="45"/>
      <c r="P253" s="268"/>
      <c r="Q253" s="221"/>
      <c r="R253" s="221"/>
      <c r="S253" s="263"/>
      <c r="T253" s="221"/>
      <c r="U253" s="221"/>
      <c r="V253" s="213"/>
      <c r="W253" s="430"/>
      <c r="X253" s="260"/>
      <c r="Y253" s="260"/>
      <c r="Z253" s="218"/>
      <c r="AA253" s="267"/>
      <c r="AB253" s="258"/>
      <c r="AC253" s="267"/>
      <c r="AD253" s="45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</row>
    <row r="254" spans="1:46" ht="16.5" customHeight="1">
      <c r="A254" s="248"/>
      <c r="B254" s="248"/>
      <c r="C254" s="268"/>
      <c r="D254" s="161"/>
      <c r="E254" s="161"/>
      <c r="F254" s="161"/>
      <c r="G254" s="271"/>
      <c r="H254" s="271"/>
      <c r="I254" s="263"/>
      <c r="J254" s="263"/>
      <c r="K254" s="218"/>
      <c r="L254" s="37"/>
      <c r="M254" s="37"/>
      <c r="N254" s="45"/>
      <c r="O254" s="45"/>
      <c r="P254" s="268"/>
      <c r="Q254" s="221"/>
      <c r="R254" s="221"/>
      <c r="S254" s="263"/>
      <c r="T254" s="221"/>
      <c r="U254" s="221"/>
      <c r="V254" s="213"/>
      <c r="W254" s="430"/>
      <c r="X254" s="260"/>
      <c r="Y254" s="260"/>
      <c r="Z254" s="218"/>
      <c r="AA254" s="267"/>
      <c r="AB254" s="258"/>
      <c r="AC254" s="267"/>
      <c r="AD254" s="45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</row>
    <row r="255" spans="1:46" ht="16.5" customHeight="1">
      <c r="A255" s="235"/>
      <c r="B255" s="235"/>
      <c r="C255" s="268"/>
      <c r="D255" s="161"/>
      <c r="E255" s="161"/>
      <c r="F255" s="161"/>
      <c r="G255" s="271"/>
      <c r="H255" s="271"/>
      <c r="I255" s="218"/>
      <c r="J255" s="218"/>
      <c r="K255" s="218"/>
      <c r="L255" s="218"/>
      <c r="M255" s="218"/>
      <c r="N255" s="45"/>
      <c r="O255" s="45"/>
      <c r="P255" s="268"/>
      <c r="Q255" s="221"/>
      <c r="R255" s="221"/>
      <c r="S255" s="218"/>
      <c r="T255" s="221"/>
      <c r="U255" s="221"/>
      <c r="V255" s="213"/>
      <c r="W255" s="430"/>
      <c r="X255" s="218"/>
      <c r="Y255" s="218"/>
      <c r="Z255" s="218"/>
      <c r="AA255" s="45"/>
      <c r="AB255" s="258"/>
      <c r="AC255" s="45"/>
      <c r="AD255" s="45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200"/>
      <c r="AQ255" s="200"/>
      <c r="AR255" s="200"/>
      <c r="AS255" s="200"/>
      <c r="AT255" s="200"/>
    </row>
    <row r="256" spans="1:46" ht="16.5" customHeight="1">
      <c r="A256" s="259"/>
      <c r="B256" s="259"/>
      <c r="C256" s="31"/>
      <c r="D256" s="161"/>
      <c r="E256" s="161"/>
      <c r="F256" s="161"/>
      <c r="G256" s="262"/>
      <c r="H256" s="262"/>
      <c r="I256" s="218"/>
      <c r="J256" s="218"/>
      <c r="K256" s="218"/>
      <c r="L256" s="37"/>
      <c r="M256" s="37"/>
      <c r="N256" s="45"/>
      <c r="O256" s="45"/>
      <c r="P256" s="268"/>
      <c r="Q256" s="221"/>
      <c r="R256" s="221"/>
      <c r="S256" s="218"/>
      <c r="T256" s="221"/>
      <c r="U256" s="221"/>
      <c r="V256" s="213"/>
      <c r="W256" s="430"/>
      <c r="X256" s="31"/>
      <c r="Y256" s="31"/>
      <c r="Z256" s="218"/>
      <c r="AA256" s="45"/>
      <c r="AB256" s="258"/>
      <c r="AC256" s="45"/>
      <c r="AD256" s="45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</row>
    <row r="257" spans="1:46" ht="16.5" customHeight="1">
      <c r="A257" s="216"/>
      <c r="B257" s="216"/>
      <c r="C257" s="217"/>
      <c r="D257" s="176"/>
      <c r="E257" s="176"/>
      <c r="F257" s="176"/>
      <c r="G257" s="162"/>
      <c r="H257" s="162"/>
      <c r="I257" s="218"/>
      <c r="J257" s="218"/>
      <c r="K257" s="219"/>
      <c r="L257" s="219"/>
      <c r="M257" s="219"/>
      <c r="N257" s="45"/>
      <c r="O257" s="45"/>
      <c r="P257" s="217"/>
      <c r="Q257" s="220"/>
      <c r="R257" s="220"/>
      <c r="S257" s="218"/>
      <c r="T257" s="220"/>
      <c r="U257" s="221"/>
      <c r="V257" s="213"/>
      <c r="W257" s="430"/>
      <c r="X257" s="218"/>
      <c r="Y257" s="218"/>
      <c r="Z257" s="218"/>
      <c r="AA257" s="219"/>
      <c r="AB257" s="219"/>
      <c r="AC257" s="219"/>
      <c r="AD257" s="45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200"/>
      <c r="AQ257" s="200"/>
      <c r="AR257" s="200"/>
      <c r="AS257" s="200"/>
      <c r="AT257" s="200"/>
    </row>
    <row r="258" spans="1:46" ht="16.5" customHeight="1">
      <c r="A258" s="216"/>
      <c r="B258" s="216"/>
      <c r="C258" s="217"/>
      <c r="D258" s="176"/>
      <c r="E258" s="176"/>
      <c r="F258" s="176"/>
      <c r="G258" s="162"/>
      <c r="H258" s="162"/>
      <c r="I258" s="218"/>
      <c r="J258" s="218"/>
      <c r="K258" s="219"/>
      <c r="L258" s="219"/>
      <c r="M258" s="219"/>
      <c r="N258" s="45"/>
      <c r="O258" s="45"/>
      <c r="P258" s="217"/>
      <c r="Q258" s="220"/>
      <c r="R258" s="220"/>
      <c r="S258" s="218"/>
      <c r="T258" s="220"/>
      <c r="U258" s="221"/>
      <c r="V258" s="213"/>
      <c r="W258" s="430"/>
      <c r="X258" s="218"/>
      <c r="Y258" s="218"/>
      <c r="Z258" s="218"/>
      <c r="AA258" s="219"/>
      <c r="AB258" s="219"/>
      <c r="AC258" s="219"/>
      <c r="AD258" s="45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200"/>
      <c r="AQ258" s="200"/>
      <c r="AR258" s="200"/>
      <c r="AS258" s="200"/>
      <c r="AT258" s="200"/>
    </row>
    <row r="259" spans="1:46" ht="16.5" customHeight="1">
      <c r="A259" s="216"/>
      <c r="B259" s="216"/>
      <c r="C259" s="217"/>
      <c r="D259" s="176"/>
      <c r="E259" s="176"/>
      <c r="F259" s="176"/>
      <c r="G259" s="162"/>
      <c r="H259" s="162"/>
      <c r="I259" s="218"/>
      <c r="J259" s="218"/>
      <c r="K259" s="219"/>
      <c r="L259" s="219"/>
      <c r="M259" s="219"/>
      <c r="N259" s="45"/>
      <c r="O259" s="45"/>
      <c r="P259" s="217"/>
      <c r="Q259" s="220"/>
      <c r="R259" s="220"/>
      <c r="S259" s="218"/>
      <c r="T259" s="220"/>
      <c r="U259" s="221"/>
      <c r="V259" s="213"/>
      <c r="W259" s="430"/>
      <c r="X259" s="218"/>
      <c r="Y259" s="218"/>
      <c r="Z259" s="218"/>
      <c r="AA259" s="219"/>
      <c r="AB259" s="219"/>
      <c r="AC259" s="219"/>
      <c r="AD259" s="45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</row>
    <row r="260" spans="1:46" ht="16.5" customHeight="1">
      <c r="A260" s="216"/>
      <c r="B260" s="216"/>
      <c r="C260" s="217"/>
      <c r="D260" s="176"/>
      <c r="E260" s="176"/>
      <c r="F260" s="176"/>
      <c r="G260" s="162"/>
      <c r="H260" s="162"/>
      <c r="I260" s="218"/>
      <c r="J260" s="218"/>
      <c r="K260" s="219"/>
      <c r="L260" s="219"/>
      <c r="M260" s="219"/>
      <c r="N260" s="45"/>
      <c r="O260" s="45"/>
      <c r="P260" s="217"/>
      <c r="Q260" s="220"/>
      <c r="R260" s="220"/>
      <c r="S260" s="218"/>
      <c r="T260" s="220"/>
      <c r="U260" s="221"/>
      <c r="V260" s="213"/>
      <c r="W260" s="430"/>
      <c r="X260" s="218"/>
      <c r="Y260" s="218"/>
      <c r="Z260" s="218"/>
      <c r="AA260" s="45"/>
      <c r="AB260" s="45"/>
      <c r="AC260" s="45"/>
      <c r="AD260" s="45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200"/>
      <c r="AQ260" s="200"/>
      <c r="AR260" s="200"/>
      <c r="AS260" s="200"/>
      <c r="AT260" s="200"/>
    </row>
    <row r="261" spans="1:46" ht="16.5" customHeight="1">
      <c r="A261" s="216"/>
      <c r="B261" s="216"/>
      <c r="C261" s="217"/>
      <c r="D261" s="176"/>
      <c r="E261" s="176"/>
      <c r="F261" s="176"/>
      <c r="G261" s="162"/>
      <c r="H261" s="162"/>
      <c r="I261" s="219"/>
      <c r="J261" s="219"/>
      <c r="K261" s="219"/>
      <c r="L261" s="45"/>
      <c r="M261" s="45"/>
      <c r="N261" s="219"/>
      <c r="O261" s="219"/>
      <c r="P261" s="217"/>
      <c r="Q261" s="220"/>
      <c r="R261" s="220"/>
      <c r="S261" s="219"/>
      <c r="T261" s="220"/>
      <c r="U261" s="221"/>
      <c r="V261" s="213"/>
      <c r="W261" s="430"/>
      <c r="X261" s="218"/>
      <c r="Y261" s="218"/>
      <c r="Z261" s="218"/>
      <c r="AA261" s="45"/>
      <c r="AB261" s="45"/>
      <c r="AC261" s="45"/>
      <c r="AD261" s="45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200"/>
      <c r="AQ261" s="200"/>
      <c r="AR261" s="200"/>
      <c r="AS261" s="200"/>
      <c r="AT261" s="200"/>
    </row>
    <row r="262" spans="1:46" ht="16.5" customHeight="1">
      <c r="A262" s="248"/>
      <c r="B262" s="248"/>
      <c r="C262" s="272"/>
      <c r="D262" s="273"/>
      <c r="E262" s="273"/>
      <c r="F262" s="273"/>
      <c r="G262" s="274"/>
      <c r="H262" s="274"/>
      <c r="I262" s="275"/>
      <c r="J262" s="275"/>
      <c r="K262" s="275"/>
      <c r="L262" s="276"/>
      <c r="M262" s="276"/>
      <c r="N262" s="275"/>
      <c r="O262" s="275"/>
      <c r="P262" s="288"/>
      <c r="Q262" s="278"/>
      <c r="R262" s="278"/>
      <c r="S262" s="275"/>
      <c r="T262" s="278"/>
      <c r="U262" s="278"/>
      <c r="V262" s="279"/>
      <c r="W262" s="430"/>
      <c r="X262" s="275"/>
      <c r="Y262" s="275"/>
      <c r="Z262" s="272"/>
      <c r="AA262" s="281"/>
      <c r="AB262" s="282"/>
      <c r="AC262" s="281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200"/>
      <c r="AP262" s="200"/>
      <c r="AQ262" s="200"/>
      <c r="AR262" s="200"/>
      <c r="AS262" s="200"/>
      <c r="AT262" s="200"/>
    </row>
    <row r="263" spans="1:46" ht="16.5" customHeight="1">
      <c r="A263" s="259"/>
      <c r="B263" s="259"/>
      <c r="C263" s="184"/>
      <c r="D263" s="283"/>
      <c r="E263" s="283"/>
      <c r="F263" s="283"/>
      <c r="G263" s="184"/>
      <c r="H263" s="184"/>
      <c r="I263" s="284"/>
      <c r="J263" s="284"/>
      <c r="K263" s="284"/>
      <c r="L263" s="185"/>
      <c r="M263" s="185"/>
      <c r="N263" s="45"/>
      <c r="O263" s="45"/>
      <c r="P263" s="275"/>
      <c r="Q263" s="285"/>
      <c r="R263" s="285"/>
      <c r="S263" s="284"/>
      <c r="T263" s="278"/>
      <c r="U263" s="278"/>
      <c r="V263" s="279"/>
      <c r="W263" s="430"/>
      <c r="X263" s="286"/>
      <c r="Y263" s="286"/>
      <c r="Z263" s="218"/>
      <c r="AA263" s="184"/>
      <c r="AB263" s="287"/>
      <c r="AC263" s="184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200"/>
      <c r="AP263" s="200"/>
      <c r="AQ263" s="200"/>
      <c r="AR263" s="200"/>
      <c r="AS263" s="200"/>
      <c r="AT263" s="200"/>
    </row>
    <row r="264" spans="1:46" ht="16.5" customHeight="1">
      <c r="A264" s="259"/>
      <c r="B264" s="259"/>
      <c r="C264" s="288"/>
      <c r="D264" s="273"/>
      <c r="E264" s="273"/>
      <c r="F264" s="273"/>
      <c r="G264" s="184"/>
      <c r="H264" s="184"/>
      <c r="I264" s="284"/>
      <c r="J264" s="284"/>
      <c r="K264" s="284"/>
      <c r="L264" s="185"/>
      <c r="M264" s="185"/>
      <c r="N264" s="218"/>
      <c r="O264" s="218"/>
      <c r="P264" s="272"/>
      <c r="Q264" s="289"/>
      <c r="R264" s="289"/>
      <c r="S264" s="284"/>
      <c r="T264" s="278"/>
      <c r="U264" s="278"/>
      <c r="V264" s="289"/>
      <c r="W264" s="430"/>
      <c r="X264" s="275"/>
      <c r="Y264" s="275"/>
      <c r="Z264" s="218"/>
      <c r="AA264" s="184"/>
      <c r="AB264" s="275"/>
      <c r="AC264" s="184"/>
      <c r="AD264" s="3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200"/>
      <c r="AP264" s="200"/>
      <c r="AQ264" s="200"/>
      <c r="AR264" s="200"/>
      <c r="AS264" s="200"/>
      <c r="AT264" s="200"/>
    </row>
    <row r="265" spans="1:46" ht="16.5" customHeight="1">
      <c r="A265" s="259"/>
      <c r="B265" s="259"/>
      <c r="C265" s="288"/>
      <c r="D265" s="273"/>
      <c r="E265" s="273"/>
      <c r="F265" s="273"/>
      <c r="G265" s="184"/>
      <c r="H265" s="184"/>
      <c r="I265" s="284"/>
      <c r="J265" s="284"/>
      <c r="K265" s="284"/>
      <c r="L265" s="185"/>
      <c r="M265" s="185"/>
      <c r="N265" s="45"/>
      <c r="O265" s="45"/>
      <c r="P265" s="272"/>
      <c r="Q265" s="289"/>
      <c r="R265" s="289"/>
      <c r="S265" s="284"/>
      <c r="T265" s="278"/>
      <c r="U265" s="278"/>
      <c r="V265" s="289"/>
      <c r="W265" s="430"/>
      <c r="X265" s="275"/>
      <c r="Y265" s="275"/>
      <c r="Z265" s="218"/>
      <c r="AA265" s="184"/>
      <c r="AB265" s="275"/>
      <c r="AC265" s="184"/>
      <c r="AD265" s="3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200"/>
      <c r="AP265" s="200"/>
      <c r="AQ265" s="200"/>
      <c r="AR265" s="200"/>
      <c r="AS265" s="200"/>
      <c r="AT265" s="200"/>
    </row>
    <row r="266" spans="1:46" ht="16.5" customHeight="1">
      <c r="A266" s="247"/>
      <c r="B266" s="247"/>
      <c r="C266" s="288"/>
      <c r="D266" s="273"/>
      <c r="E266" s="273"/>
      <c r="F266" s="273"/>
      <c r="G266" s="273"/>
      <c r="H266" s="273"/>
      <c r="I266" s="274"/>
      <c r="J266" s="274"/>
      <c r="K266" s="275"/>
      <c r="L266" s="275"/>
      <c r="M266" s="275"/>
      <c r="N266" s="276"/>
      <c r="O266" s="276"/>
      <c r="P266" s="272"/>
      <c r="Q266" s="289"/>
      <c r="R266" s="289"/>
      <c r="S266" s="274"/>
      <c r="T266" s="278"/>
      <c r="U266" s="278"/>
      <c r="V266" s="289"/>
      <c r="W266" s="474"/>
      <c r="X266" s="275"/>
      <c r="Y266" s="275"/>
      <c r="Z266" s="218"/>
      <c r="AA266" s="275"/>
      <c r="AB266" s="275"/>
      <c r="AC266" s="275"/>
      <c r="AD266" s="3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200"/>
      <c r="AP266" s="200"/>
      <c r="AQ266" s="200"/>
      <c r="AR266" s="200"/>
      <c r="AS266" s="200"/>
      <c r="AT266" s="200"/>
    </row>
    <row r="267" spans="1:46" ht="16.5" customHeight="1">
      <c r="A267" s="248"/>
      <c r="B267" s="248"/>
      <c r="C267" s="31"/>
      <c r="D267" s="161"/>
      <c r="E267" s="161"/>
      <c r="F267" s="161"/>
      <c r="G267" s="186"/>
      <c r="H267" s="186"/>
      <c r="I267" s="284"/>
      <c r="J267" s="284"/>
      <c r="K267" s="218"/>
      <c r="L267" s="275"/>
      <c r="M267" s="275"/>
      <c r="N267" s="276"/>
      <c r="O267" s="276"/>
      <c r="P267" s="274"/>
      <c r="Q267" s="290"/>
      <c r="R267" s="290"/>
      <c r="S267" s="284"/>
      <c r="T267" s="278"/>
      <c r="U267" s="278"/>
      <c r="V267" s="279"/>
      <c r="W267" s="430"/>
      <c r="X267" s="275"/>
      <c r="Y267" s="275"/>
      <c r="Z267" s="218"/>
      <c r="AA267" s="184"/>
      <c r="AB267" s="282"/>
      <c r="AC267" s="184"/>
      <c r="AD267" s="3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200"/>
      <c r="AP267" s="200"/>
      <c r="AQ267" s="200"/>
      <c r="AR267" s="200"/>
      <c r="AS267" s="200"/>
      <c r="AT267" s="200"/>
    </row>
    <row r="268" spans="1:46" ht="16.5" customHeight="1">
      <c r="A268" s="235"/>
      <c r="B268" s="235"/>
      <c r="C268" s="268"/>
      <c r="D268" s="161"/>
      <c r="E268" s="161"/>
      <c r="F268" s="161"/>
      <c r="G268" s="186"/>
      <c r="H268" s="186"/>
      <c r="I268" s="275"/>
      <c r="J268" s="275"/>
      <c r="K268" s="218"/>
      <c r="L268" s="275"/>
      <c r="M268" s="275"/>
      <c r="N268" s="275"/>
      <c r="O268" s="275"/>
      <c r="P268" s="275"/>
      <c r="Q268" s="285"/>
      <c r="R268" s="285"/>
      <c r="S268" s="275"/>
      <c r="T268" s="278"/>
      <c r="U268" s="278"/>
      <c r="V268" s="289"/>
      <c r="W268" s="430"/>
      <c r="X268" s="275"/>
      <c r="Y268" s="275"/>
      <c r="Z268" s="275"/>
      <c r="AA268" s="272"/>
      <c r="AB268" s="275"/>
      <c r="AC268" s="272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200"/>
      <c r="AP268" s="200"/>
      <c r="AQ268" s="200"/>
      <c r="AR268" s="200"/>
      <c r="AS268" s="200"/>
      <c r="AT268" s="200"/>
    </row>
    <row r="269" spans="1:46" ht="16.5" customHeight="1">
      <c r="A269" s="259"/>
      <c r="B269" s="259"/>
      <c r="C269" s="31"/>
      <c r="D269" s="37"/>
      <c r="E269" s="37"/>
      <c r="F269" s="37"/>
      <c r="G269" s="283"/>
      <c r="H269" s="283"/>
      <c r="I269" s="275"/>
      <c r="J269" s="275"/>
      <c r="K269" s="218"/>
      <c r="L269" s="275"/>
      <c r="M269" s="275"/>
      <c r="N269" s="276"/>
      <c r="O269" s="276"/>
      <c r="P269" s="281"/>
      <c r="Q269" s="285"/>
      <c r="R269" s="285"/>
      <c r="S269" s="275"/>
      <c r="T269" s="278"/>
      <c r="U269" s="278"/>
      <c r="V269" s="289"/>
      <c r="W269" s="430"/>
      <c r="X269" s="275"/>
      <c r="Y269" s="275"/>
      <c r="Z269" s="272"/>
      <c r="AA269" s="272"/>
      <c r="AB269" s="275"/>
      <c r="AC269" s="272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200"/>
      <c r="AP269" s="200"/>
      <c r="AQ269" s="200"/>
      <c r="AR269" s="200"/>
      <c r="AS269" s="200"/>
      <c r="AT269" s="200"/>
    </row>
    <row r="270" spans="1:46" ht="16.5" customHeight="1">
      <c r="A270" s="216"/>
      <c r="B270" s="216"/>
      <c r="C270" s="291"/>
      <c r="D270" s="292"/>
      <c r="E270" s="292"/>
      <c r="F270" s="292"/>
      <c r="G270" s="293"/>
      <c r="H270" s="293"/>
      <c r="I270" s="219"/>
      <c r="J270" s="219"/>
      <c r="K270" s="219"/>
      <c r="L270" s="161"/>
      <c r="M270" s="161"/>
      <c r="N270" s="219"/>
      <c r="O270" s="219"/>
      <c r="P270" s="217"/>
      <c r="Q270" s="220"/>
      <c r="R270" s="220"/>
      <c r="S270" s="219"/>
      <c r="T270" s="220"/>
      <c r="U270" s="220"/>
      <c r="V270" s="295"/>
      <c r="W270" s="430"/>
      <c r="X270" s="296"/>
      <c r="Y270" s="296"/>
      <c r="Z270" s="296"/>
      <c r="AA270" s="297"/>
      <c r="AB270" s="298"/>
      <c r="AC270" s="297"/>
      <c r="AD270" s="45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  <c r="AT270" s="200"/>
    </row>
    <row r="271" spans="1:46" ht="16.5" customHeight="1">
      <c r="A271" s="216"/>
      <c r="B271" s="216"/>
      <c r="C271" s="217"/>
      <c r="D271" s="176"/>
      <c r="E271" s="176"/>
      <c r="F271" s="176"/>
      <c r="G271" s="162"/>
      <c r="H271" s="162"/>
      <c r="I271" s="219"/>
      <c r="J271" s="219"/>
      <c r="K271" s="219"/>
      <c r="L271" s="176"/>
      <c r="M271" s="176"/>
      <c r="N271" s="219"/>
      <c r="O271" s="219"/>
      <c r="P271" s="217"/>
      <c r="Q271" s="220"/>
      <c r="R271" s="220"/>
      <c r="S271" s="219"/>
      <c r="T271" s="220"/>
      <c r="U271" s="221"/>
      <c r="V271" s="213"/>
      <c r="W271" s="430"/>
      <c r="X271" s="218"/>
      <c r="Y271" s="218"/>
      <c r="Z271" s="218"/>
      <c r="AA271" s="45"/>
      <c r="AB271" s="45"/>
      <c r="AC271" s="45"/>
      <c r="AD271" s="45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  <c r="AT271" s="200"/>
    </row>
    <row r="272" spans="1:46" ht="16.5" customHeight="1">
      <c r="A272" s="216"/>
      <c r="B272" s="216"/>
      <c r="C272" s="217"/>
      <c r="D272" s="176"/>
      <c r="E272" s="176"/>
      <c r="F272" s="176"/>
      <c r="G272" s="162"/>
      <c r="H272" s="162"/>
      <c r="I272" s="299"/>
      <c r="J272" s="299"/>
      <c r="K272" s="219"/>
      <c r="L272" s="176"/>
      <c r="M272" s="176"/>
      <c r="N272" s="219"/>
      <c r="O272" s="219"/>
      <c r="P272" s="217"/>
      <c r="Q272" s="220"/>
      <c r="R272" s="220"/>
      <c r="S272" s="299"/>
      <c r="T272" s="220"/>
      <c r="U272" s="221"/>
      <c r="V272" s="213"/>
      <c r="W272" s="475"/>
      <c r="X272" s="218"/>
      <c r="Y272" s="218"/>
      <c r="Z272" s="218"/>
      <c r="AA272" s="45"/>
      <c r="AB272" s="45"/>
      <c r="AC272" s="45"/>
      <c r="AD272" s="45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  <c r="AT272" s="200"/>
    </row>
    <row r="273" spans="1:46" ht="16.5" customHeight="1">
      <c r="A273" s="216"/>
      <c r="B273" s="216"/>
      <c r="C273" s="217"/>
      <c r="D273" s="176"/>
      <c r="E273" s="176"/>
      <c r="F273" s="176"/>
      <c r="G273" s="162"/>
      <c r="H273" s="162"/>
      <c r="I273" s="218"/>
      <c r="J273" s="218"/>
      <c r="K273" s="219"/>
      <c r="L273" s="219"/>
      <c r="M273" s="219"/>
      <c r="N273" s="45"/>
      <c r="O273" s="45"/>
      <c r="P273" s="217"/>
      <c r="Q273" s="220"/>
      <c r="R273" s="220"/>
      <c r="S273" s="218"/>
      <c r="T273" s="220"/>
      <c r="U273" s="221"/>
      <c r="V273" s="213"/>
      <c r="W273" s="430"/>
      <c r="X273" s="218"/>
      <c r="Y273" s="218"/>
      <c r="Z273" s="218"/>
      <c r="AA273" s="45"/>
      <c r="AB273" s="45"/>
      <c r="AC273" s="45"/>
      <c r="AD273" s="45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  <c r="AT273" s="200"/>
    </row>
    <row r="274" spans="1:46" ht="16.5" customHeight="1">
      <c r="A274" s="216"/>
      <c r="B274" s="216"/>
      <c r="C274" s="217"/>
      <c r="D274" s="176"/>
      <c r="E274" s="176"/>
      <c r="F274" s="176"/>
      <c r="G274" s="162"/>
      <c r="H274" s="162"/>
      <c r="I274" s="218"/>
      <c r="J274" s="218"/>
      <c r="K274" s="219"/>
      <c r="L274" s="219"/>
      <c r="M274" s="219"/>
      <c r="N274" s="45"/>
      <c r="O274" s="45"/>
      <c r="P274" s="217"/>
      <c r="Q274" s="220"/>
      <c r="R274" s="220"/>
      <c r="S274" s="218"/>
      <c r="T274" s="220"/>
      <c r="U274" s="221"/>
      <c r="V274" s="213"/>
      <c r="W274" s="430"/>
      <c r="X274" s="218"/>
      <c r="Y274" s="218"/>
      <c r="Z274" s="218"/>
      <c r="AA274" s="45"/>
      <c r="AB274" s="45"/>
      <c r="AC274" s="45"/>
      <c r="AD274" s="45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  <c r="AT274" s="200"/>
    </row>
    <row r="275" spans="1:46" ht="16.5" customHeight="1">
      <c r="A275" s="216"/>
      <c r="B275" s="216"/>
      <c r="C275" s="217"/>
      <c r="D275" s="176"/>
      <c r="E275" s="176"/>
      <c r="F275" s="176"/>
      <c r="G275" s="162"/>
      <c r="H275" s="162"/>
      <c r="I275" s="218"/>
      <c r="J275" s="218"/>
      <c r="K275" s="219"/>
      <c r="L275" s="219"/>
      <c r="M275" s="219"/>
      <c r="N275" s="45"/>
      <c r="O275" s="45"/>
      <c r="P275" s="217"/>
      <c r="Q275" s="220"/>
      <c r="R275" s="220"/>
      <c r="S275" s="218"/>
      <c r="T275" s="220"/>
      <c r="U275" s="221"/>
      <c r="V275" s="213"/>
      <c r="W275" s="430"/>
      <c r="X275" s="218"/>
      <c r="Y275" s="218"/>
      <c r="Z275" s="218"/>
      <c r="AA275" s="45"/>
      <c r="AB275" s="45"/>
      <c r="AC275" s="45"/>
      <c r="AD275" s="45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  <c r="AT275" s="200"/>
    </row>
    <row r="276" spans="1:46" ht="16.5" customHeight="1">
      <c r="A276" s="270"/>
      <c r="B276" s="270"/>
      <c r="C276" s="300"/>
      <c r="D276" s="300"/>
      <c r="E276" s="300"/>
      <c r="F276" s="300"/>
      <c r="G276" s="301"/>
      <c r="H276" s="301"/>
      <c r="I276" s="302"/>
      <c r="J276" s="302"/>
      <c r="K276" s="219"/>
      <c r="L276" s="219"/>
      <c r="M276" s="219"/>
      <c r="N276" s="45"/>
      <c r="O276" s="45"/>
      <c r="P276" s="217"/>
      <c r="Q276" s="220"/>
      <c r="R276" s="220"/>
      <c r="S276" s="302"/>
      <c r="T276" s="303"/>
      <c r="U276" s="221"/>
      <c r="V276" s="213"/>
      <c r="W276" s="430"/>
      <c r="X276" s="218"/>
      <c r="Y276" s="218"/>
      <c r="Z276" s="218"/>
      <c r="AA276" s="45"/>
      <c r="AB276" s="45"/>
      <c r="AC276" s="45"/>
      <c r="AD276" s="45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</row>
    <row r="277" spans="1:46" ht="16.5" customHeight="1">
      <c r="A277" s="212"/>
      <c r="B277" s="212"/>
      <c r="C277" s="162"/>
      <c r="D277" s="176"/>
      <c r="E277" s="176"/>
      <c r="F277" s="176"/>
      <c r="G277" s="217"/>
      <c r="H277" s="217"/>
      <c r="I277" s="161"/>
      <c r="J277" s="161"/>
      <c r="K277" s="219"/>
      <c r="L277" s="33"/>
      <c r="M277" s="33"/>
      <c r="N277" s="45"/>
      <c r="O277" s="45"/>
      <c r="P277" s="217"/>
      <c r="Q277" s="221"/>
      <c r="R277" s="221"/>
      <c r="S277" s="161"/>
      <c r="T277" s="304"/>
      <c r="U277" s="305"/>
      <c r="V277" s="213"/>
      <c r="W277" s="473"/>
      <c r="X277" s="219"/>
      <c r="Y277" s="219"/>
      <c r="Z277" s="219"/>
      <c r="AA277" s="45"/>
      <c r="AB277" s="306"/>
      <c r="AC277" s="45"/>
      <c r="AD277" s="45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</row>
    <row r="278" spans="1:46" ht="16.5" customHeight="1">
      <c r="A278" s="212"/>
      <c r="B278" s="212"/>
      <c r="C278" s="162"/>
      <c r="D278" s="176"/>
      <c r="E278" s="176"/>
      <c r="F278" s="176"/>
      <c r="G278" s="217"/>
      <c r="H278" s="217"/>
      <c r="I278" s="161"/>
      <c r="J278" s="161"/>
      <c r="K278" s="219"/>
      <c r="L278" s="33"/>
      <c r="M278" s="33"/>
      <c r="N278" s="45"/>
      <c r="O278" s="45"/>
      <c r="P278" s="217"/>
      <c r="Q278" s="221"/>
      <c r="R278" s="221"/>
      <c r="S278" s="161"/>
      <c r="T278" s="220"/>
      <c r="U278" s="221"/>
      <c r="V278" s="213"/>
      <c r="W278" s="473"/>
      <c r="X278" s="218"/>
      <c r="Y278" s="218"/>
      <c r="Z278" s="218"/>
      <c r="AA278" s="45"/>
      <c r="AB278" s="258"/>
      <c r="AC278" s="45"/>
      <c r="AD278" s="45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  <c r="AT278" s="200"/>
    </row>
    <row r="279" spans="1:46" ht="16.5" customHeight="1">
      <c r="A279" s="307"/>
      <c r="B279" s="307"/>
      <c r="C279" s="217"/>
      <c r="D279" s="176"/>
      <c r="E279" s="176"/>
      <c r="F279" s="176"/>
      <c r="G279" s="162"/>
      <c r="H279" s="162"/>
      <c r="I279" s="218"/>
      <c r="J279" s="218"/>
      <c r="K279" s="219"/>
      <c r="L279" s="219"/>
      <c r="M279" s="219"/>
      <c r="N279" s="45"/>
      <c r="O279" s="45"/>
      <c r="P279" s="217"/>
      <c r="Q279" s="220"/>
      <c r="R279" s="220"/>
      <c r="S279" s="218"/>
      <c r="T279" s="220"/>
      <c r="U279" s="221"/>
      <c r="V279" s="213"/>
      <c r="W279" s="430"/>
      <c r="X279" s="218"/>
      <c r="Y279" s="218"/>
      <c r="Z279" s="218"/>
      <c r="AA279" s="45"/>
      <c r="AB279" s="258"/>
      <c r="AC279" s="45"/>
      <c r="AD279" s="45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</row>
    <row r="280" spans="1:46" ht="16.5" customHeight="1">
      <c r="A280" s="307"/>
      <c r="B280" s="307"/>
      <c r="C280" s="217"/>
      <c r="D280" s="176"/>
      <c r="E280" s="176"/>
      <c r="F280" s="176"/>
      <c r="G280" s="162"/>
      <c r="H280" s="162"/>
      <c r="I280" s="218"/>
      <c r="J280" s="218"/>
      <c r="K280" s="219"/>
      <c r="L280" s="219"/>
      <c r="M280" s="219"/>
      <c r="N280" s="45"/>
      <c r="O280" s="45"/>
      <c r="P280" s="217"/>
      <c r="Q280" s="220"/>
      <c r="R280" s="220"/>
      <c r="S280" s="218"/>
      <c r="T280" s="220"/>
      <c r="U280" s="221"/>
      <c r="V280" s="213"/>
      <c r="W280" s="430"/>
      <c r="X280" s="218"/>
      <c r="Y280" s="218"/>
      <c r="Z280" s="218"/>
      <c r="AA280" s="45"/>
      <c r="AB280" s="45"/>
      <c r="AC280" s="45"/>
      <c r="AD280" s="45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  <c r="AT280" s="200"/>
    </row>
    <row r="281" spans="1:46" ht="16.5" customHeight="1">
      <c r="A281" s="270"/>
      <c r="B281" s="270"/>
      <c r="C281" s="45"/>
      <c r="D281" s="45"/>
      <c r="E281" s="45"/>
      <c r="F281" s="45"/>
      <c r="G281" s="291"/>
      <c r="H281" s="291"/>
      <c r="I281" s="218"/>
      <c r="J281" s="218"/>
      <c r="K281" s="219"/>
      <c r="L281" s="33"/>
      <c r="M281" s="33"/>
      <c r="N281" s="45"/>
      <c r="O281" s="45"/>
      <c r="P281" s="217"/>
      <c r="Q281" s="213"/>
      <c r="R281" s="213"/>
      <c r="S281" s="218"/>
      <c r="T281" s="213"/>
      <c r="U281" s="213"/>
      <c r="V281" s="213"/>
      <c r="W281" s="430"/>
      <c r="X281" s="218"/>
      <c r="Y281" s="218"/>
      <c r="Z281" s="218"/>
      <c r="AA281" s="31"/>
      <c r="AB281" s="31"/>
      <c r="AC281" s="31"/>
      <c r="AD281" s="31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</row>
    <row r="282" spans="1:46" ht="16.5" customHeight="1">
      <c r="A282" s="216"/>
      <c r="B282" s="216"/>
      <c r="C282" s="45"/>
      <c r="D282" s="45"/>
      <c r="E282" s="45"/>
      <c r="F282" s="45"/>
      <c r="G282" s="217"/>
      <c r="H282" s="217"/>
      <c r="I282" s="45"/>
      <c r="J282" s="45"/>
      <c r="K282" s="219"/>
      <c r="L282" s="45"/>
      <c r="M282" s="45"/>
      <c r="N282" s="219"/>
      <c r="O282" s="219"/>
      <c r="P282" s="217"/>
      <c r="Q282" s="213"/>
      <c r="R282" s="213"/>
      <c r="S282" s="45"/>
      <c r="T282" s="213"/>
      <c r="U282" s="213"/>
      <c r="V282" s="213"/>
      <c r="W282" s="432"/>
      <c r="X282" s="45"/>
      <c r="Y282" s="45"/>
      <c r="Z282" s="45"/>
      <c r="AA282" s="45"/>
      <c r="AB282" s="45"/>
      <c r="AC282" s="45"/>
      <c r="AD282" s="45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  <c r="AT282" s="200"/>
    </row>
    <row r="283" spans="1:46" ht="16.5" customHeight="1">
      <c r="A283" s="216"/>
      <c r="B283" s="216"/>
      <c r="C283" s="45"/>
      <c r="D283" s="45"/>
      <c r="E283" s="45"/>
      <c r="F283" s="45"/>
      <c r="G283" s="308"/>
      <c r="H283" s="308"/>
      <c r="I283" s="45"/>
      <c r="J283" s="45"/>
      <c r="K283" s="219"/>
      <c r="L283" s="45"/>
      <c r="M283" s="45"/>
      <c r="N283" s="219"/>
      <c r="O283" s="219"/>
      <c r="P283" s="217"/>
      <c r="Q283" s="213"/>
      <c r="R283" s="213"/>
      <c r="S283" s="45"/>
      <c r="T283" s="213"/>
      <c r="U283" s="213"/>
      <c r="V283" s="213"/>
      <c r="W283" s="432"/>
      <c r="X283" s="218"/>
      <c r="Y283" s="218"/>
      <c r="Z283" s="218"/>
      <c r="AA283" s="45"/>
      <c r="AB283" s="45"/>
      <c r="AC283" s="45"/>
      <c r="AD283" s="45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  <c r="AT283" s="200"/>
    </row>
    <row r="284" spans="1:46" ht="16.5" customHeight="1">
      <c r="A284" s="270"/>
      <c r="B284" s="270"/>
      <c r="C284" s="45"/>
      <c r="D284" s="45"/>
      <c r="E284" s="45"/>
      <c r="F284" s="45"/>
      <c r="G284" s="308"/>
      <c r="H284" s="308"/>
      <c r="I284" s="45"/>
      <c r="J284" s="45"/>
      <c r="K284" s="219"/>
      <c r="L284" s="45"/>
      <c r="M284" s="45"/>
      <c r="N284" s="219"/>
      <c r="O284" s="219"/>
      <c r="P284" s="217"/>
      <c r="Q284" s="213"/>
      <c r="R284" s="213"/>
      <c r="S284" s="45"/>
      <c r="T284" s="213"/>
      <c r="U284" s="213"/>
      <c r="V284" s="213"/>
      <c r="W284" s="432"/>
      <c r="X284" s="218"/>
      <c r="Y284" s="218"/>
      <c r="Z284" s="218"/>
      <c r="AA284" s="45"/>
      <c r="AB284" s="45"/>
      <c r="AC284" s="45"/>
      <c r="AD284" s="45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  <c r="AT284" s="200"/>
    </row>
    <row r="285" spans="1:46" ht="16.5" customHeight="1">
      <c r="A285" s="216"/>
      <c r="B285" s="216"/>
      <c r="C285" s="309"/>
      <c r="D285" s="310"/>
      <c r="E285" s="310"/>
      <c r="F285" s="310"/>
      <c r="G285" s="311"/>
      <c r="H285" s="311"/>
      <c r="I285" s="263"/>
      <c r="J285" s="263"/>
      <c r="K285" s="312"/>
      <c r="L285" s="312"/>
      <c r="M285" s="312"/>
      <c r="N285" s="269"/>
      <c r="O285" s="269"/>
      <c r="P285" s="309"/>
      <c r="Q285" s="213"/>
      <c r="R285" s="213"/>
      <c r="S285" s="263"/>
      <c r="T285" s="220"/>
      <c r="U285" s="220"/>
      <c r="V285" s="213"/>
      <c r="W285" s="430"/>
      <c r="X285" s="263"/>
      <c r="Y285" s="263"/>
      <c r="Z285" s="263"/>
      <c r="AA285" s="269"/>
      <c r="AB285" s="269"/>
      <c r="AC285" s="269"/>
      <c r="AD285" s="269"/>
      <c r="AE285" s="314"/>
      <c r="AF285" s="314"/>
      <c r="AG285" s="314"/>
      <c r="AH285" s="314"/>
      <c r="AI285" s="314"/>
      <c r="AJ285" s="314"/>
      <c r="AK285" s="314"/>
      <c r="AL285" s="314"/>
      <c r="AM285" s="314"/>
      <c r="AN285" s="314"/>
      <c r="AO285" s="314"/>
      <c r="AP285" s="314"/>
      <c r="AQ285" s="314"/>
      <c r="AR285" s="314"/>
      <c r="AS285" s="314"/>
      <c r="AT285" s="314"/>
    </row>
    <row r="286" spans="1:46" ht="16.5" customHeight="1">
      <c r="A286" s="216"/>
      <c r="B286" s="216"/>
      <c r="C286" s="217"/>
      <c r="D286" s="176"/>
      <c r="E286" s="176"/>
      <c r="F286" s="176"/>
      <c r="G286" s="291"/>
      <c r="H286" s="291"/>
      <c r="I286" s="45"/>
      <c r="J286" s="45"/>
      <c r="K286" s="219"/>
      <c r="L286" s="33"/>
      <c r="M286" s="33"/>
      <c r="N286" s="219"/>
      <c r="O286" s="219"/>
      <c r="P286" s="217"/>
      <c r="Q286" s="213"/>
      <c r="R286" s="213"/>
      <c r="S286" s="45"/>
      <c r="T286" s="213"/>
      <c r="U286" s="213"/>
      <c r="V286" s="213"/>
      <c r="W286" s="432"/>
      <c r="X286" s="218"/>
      <c r="Y286" s="218"/>
      <c r="Z286" s="218"/>
      <c r="AA286" s="31"/>
      <c r="AB286" s="31"/>
      <c r="AC286" s="31"/>
      <c r="AD286" s="31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  <c r="AT286" s="200"/>
    </row>
    <row r="287" spans="1:46" ht="16.5" customHeight="1">
      <c r="A287" s="216"/>
      <c r="B287" s="216"/>
      <c r="C287" s="217"/>
      <c r="D287" s="176"/>
      <c r="E287" s="176"/>
      <c r="F287" s="176"/>
      <c r="G287" s="315"/>
      <c r="H287" s="315"/>
      <c r="I287" s="45"/>
      <c r="J287" s="45"/>
      <c r="K287" s="219"/>
      <c r="L287" s="33"/>
      <c r="M287" s="33"/>
      <c r="N287" s="219"/>
      <c r="O287" s="219"/>
      <c r="P287" s="217"/>
      <c r="Q287" s="213"/>
      <c r="R287" s="213"/>
      <c r="S287" s="45"/>
      <c r="T287" s="220"/>
      <c r="U287" s="221"/>
      <c r="V287" s="213"/>
      <c r="W287" s="432"/>
      <c r="X287" s="45"/>
      <c r="Y287" s="45"/>
      <c r="Z287" s="45"/>
      <c r="AA287" s="45"/>
      <c r="AB287" s="45"/>
      <c r="AC287" s="45"/>
      <c r="AD287" s="45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</row>
    <row r="288" spans="1:46" ht="16.5" customHeight="1">
      <c r="A288" s="316"/>
      <c r="B288" s="316"/>
      <c r="C288" s="217"/>
      <c r="D288" s="176"/>
      <c r="E288" s="176"/>
      <c r="F288" s="176"/>
      <c r="G288" s="45"/>
      <c r="H288" s="45"/>
      <c r="I288" s="218"/>
      <c r="J288" s="218"/>
      <c r="K288" s="219"/>
      <c r="L288" s="219"/>
      <c r="M288" s="219"/>
      <c r="N288" s="37"/>
      <c r="O288" s="37"/>
      <c r="P288" s="219"/>
      <c r="Q288" s="213"/>
      <c r="R288" s="213"/>
      <c r="S288" s="218"/>
      <c r="T288" s="220"/>
      <c r="U288" s="221"/>
      <c r="V288" s="213"/>
      <c r="W288" s="430"/>
      <c r="X288" s="45"/>
      <c r="Y288" s="45"/>
      <c r="Z288" s="45"/>
      <c r="AA288" s="45"/>
      <c r="AB288" s="45"/>
      <c r="AC288" s="45"/>
      <c r="AD288" s="45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  <c r="AT288" s="200"/>
    </row>
    <row r="289" spans="1:46" ht="16.5" customHeight="1">
      <c r="A289" s="316"/>
      <c r="B289" s="316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213"/>
      <c r="R289" s="213"/>
      <c r="S289" s="45"/>
      <c r="T289" s="213"/>
      <c r="U289" s="213"/>
      <c r="V289" s="213"/>
      <c r="W289" s="432"/>
      <c r="X289" s="45"/>
      <c r="Y289" s="45"/>
      <c r="Z289" s="45"/>
      <c r="AA289" s="45"/>
      <c r="AB289" s="45"/>
      <c r="AC289" s="45"/>
      <c r="AD289" s="45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  <c r="AT289" s="200"/>
    </row>
    <row r="290" spans="1:46" ht="16.5" customHeight="1">
      <c r="A290" s="257"/>
      <c r="B290" s="257"/>
      <c r="C290" s="74"/>
      <c r="D290" s="167"/>
      <c r="E290" s="167"/>
      <c r="F290" s="167"/>
      <c r="G290" s="64"/>
      <c r="H290" s="64"/>
      <c r="I290" s="251"/>
      <c r="J290" s="251"/>
      <c r="K290" s="74"/>
      <c r="L290" s="74"/>
      <c r="M290" s="74"/>
      <c r="N290" s="74"/>
      <c r="O290" s="74"/>
      <c r="P290" s="74"/>
      <c r="Q290" s="317"/>
      <c r="R290" s="317"/>
      <c r="S290" s="251"/>
      <c r="T290" s="317"/>
      <c r="U290" s="318"/>
      <c r="V290" s="318"/>
      <c r="W290" s="432"/>
      <c r="X290" s="251"/>
      <c r="Y290" s="251"/>
      <c r="Z290" s="251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</row>
    <row r="291" spans="1:46" ht="16.5" customHeight="1">
      <c r="A291" s="257"/>
      <c r="B291" s="257"/>
      <c r="C291" s="319"/>
      <c r="D291" s="320"/>
      <c r="E291" s="320"/>
      <c r="F291" s="320"/>
      <c r="G291" s="321"/>
      <c r="H291" s="321"/>
      <c r="I291" s="321"/>
      <c r="J291" s="321"/>
      <c r="K291" s="321"/>
      <c r="L291" s="45"/>
      <c r="M291" s="45"/>
      <c r="N291" s="45"/>
      <c r="O291" s="45"/>
      <c r="P291" s="324"/>
      <c r="Q291" s="73"/>
      <c r="R291" s="73"/>
      <c r="S291" s="321"/>
      <c r="T291" s="323"/>
      <c r="U291" s="318"/>
      <c r="V291" s="318"/>
      <c r="W291" s="432"/>
      <c r="X291" s="45"/>
      <c r="Y291" s="45"/>
      <c r="Z291" s="45"/>
      <c r="AA291" s="219"/>
      <c r="AB291" s="219"/>
      <c r="AC291" s="219"/>
      <c r="AD291" s="74"/>
      <c r="AE291" s="45"/>
      <c r="AF291" s="45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</row>
    <row r="292" spans="1:46" ht="16.5" customHeight="1">
      <c r="A292" s="257"/>
      <c r="B292" s="257"/>
      <c r="C292" s="74"/>
      <c r="D292" s="251"/>
      <c r="E292" s="251"/>
      <c r="F292" s="251"/>
      <c r="G292" s="324"/>
      <c r="H292" s="324"/>
      <c r="I292" s="325"/>
      <c r="J292" s="325"/>
      <c r="K292" s="324"/>
      <c r="L292" s="45"/>
      <c r="M292" s="45"/>
      <c r="N292" s="45"/>
      <c r="O292" s="45"/>
      <c r="P292" s="324"/>
      <c r="Q292" s="317"/>
      <c r="R292" s="317"/>
      <c r="S292" s="325"/>
      <c r="T292" s="317"/>
      <c r="U292" s="318"/>
      <c r="V292" s="318"/>
      <c r="W292" s="432"/>
      <c r="X292" s="45"/>
      <c r="Y292" s="45"/>
      <c r="Z292" s="45"/>
      <c r="AA292" s="219"/>
      <c r="AB292" s="74"/>
      <c r="AC292" s="219"/>
      <c r="AD292" s="74"/>
      <c r="AE292" s="45"/>
      <c r="AF292" s="45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</row>
    <row r="293" spans="1:46" ht="16.5" customHeight="1">
      <c r="A293" s="257"/>
      <c r="B293" s="257"/>
      <c r="C293" s="74"/>
      <c r="D293" s="251"/>
      <c r="E293" s="251"/>
      <c r="F293" s="251"/>
      <c r="G293" s="325"/>
      <c r="H293" s="325"/>
      <c r="I293" s="325"/>
      <c r="J293" s="325"/>
      <c r="K293" s="325"/>
      <c r="L293" s="45"/>
      <c r="M293" s="45"/>
      <c r="N293" s="45"/>
      <c r="O293" s="45"/>
      <c r="P293" s="324"/>
      <c r="Q293" s="317"/>
      <c r="R293" s="317"/>
      <c r="S293" s="325"/>
      <c r="T293" s="317"/>
      <c r="U293" s="318"/>
      <c r="V293" s="318"/>
      <c r="W293" s="432"/>
      <c r="X293" s="45"/>
      <c r="Y293" s="45"/>
      <c r="Z293" s="45"/>
      <c r="AA293" s="219"/>
      <c r="AB293" s="74"/>
      <c r="AC293" s="219"/>
      <c r="AD293" s="74"/>
      <c r="AE293" s="45"/>
      <c r="AF293" s="45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</row>
    <row r="294" spans="1:46" ht="16.5" customHeight="1">
      <c r="A294" s="307"/>
      <c r="B294" s="307"/>
      <c r="C294" s="74"/>
      <c r="D294" s="167"/>
      <c r="E294" s="167"/>
      <c r="F294" s="167"/>
      <c r="G294" s="326"/>
      <c r="H294" s="326"/>
      <c r="I294" s="167"/>
      <c r="J294" s="167"/>
      <c r="K294" s="251"/>
      <c r="L294" s="74"/>
      <c r="M294" s="74"/>
      <c r="N294" s="251"/>
      <c r="O294" s="251"/>
      <c r="P294" s="251"/>
      <c r="Q294" s="317"/>
      <c r="R294" s="317"/>
      <c r="S294" s="167"/>
      <c r="T294" s="317"/>
      <c r="U294" s="318"/>
      <c r="V294" s="318"/>
      <c r="W294" s="473"/>
      <c r="X294" s="74"/>
      <c r="Y294" s="74"/>
      <c r="Z294" s="74"/>
      <c r="AA294" s="327"/>
      <c r="AB294" s="74"/>
      <c r="AC294" s="327"/>
      <c r="AD294" s="74"/>
      <c r="AE294" s="45"/>
      <c r="AF294" s="45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</row>
    <row r="295" spans="1:46" ht="16.5" customHeight="1">
      <c r="A295" s="328"/>
      <c r="B295" s="328"/>
      <c r="C295" s="74"/>
      <c r="D295" s="167"/>
      <c r="E295" s="167"/>
      <c r="F295" s="167"/>
      <c r="G295" s="329"/>
      <c r="H295" s="329"/>
      <c r="I295" s="321"/>
      <c r="J295" s="321"/>
      <c r="K295" s="324"/>
      <c r="L295" s="45"/>
      <c r="M295" s="45"/>
      <c r="N295" s="45"/>
      <c r="O295" s="45"/>
      <c r="P295" s="324"/>
      <c r="Q295" s="317"/>
      <c r="R295" s="317"/>
      <c r="S295" s="321"/>
      <c r="T295" s="317"/>
      <c r="U295" s="318"/>
      <c r="V295" s="318"/>
      <c r="W295" s="432"/>
      <c r="X295" s="45"/>
      <c r="Y295" s="45"/>
      <c r="Z295" s="45"/>
      <c r="AA295" s="219"/>
      <c r="AB295" s="74"/>
      <c r="AC295" s="219"/>
      <c r="AD295" s="74"/>
      <c r="AE295" s="45"/>
      <c r="AF295" s="45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</row>
    <row r="296" spans="1:46" ht="16.5" customHeight="1">
      <c r="A296" s="257"/>
      <c r="B296" s="257"/>
      <c r="C296" s="74"/>
      <c r="D296" s="252"/>
      <c r="E296" s="252"/>
      <c r="F296" s="252"/>
      <c r="G296" s="330"/>
      <c r="H296" s="330"/>
      <c r="I296" s="321"/>
      <c r="J296" s="321"/>
      <c r="K296" s="321"/>
      <c r="L296" s="45"/>
      <c r="M296" s="45"/>
      <c r="N296" s="45"/>
      <c r="O296" s="45"/>
      <c r="P296" s="324"/>
      <c r="Q296" s="317"/>
      <c r="R296" s="317"/>
      <c r="S296" s="321"/>
      <c r="T296" s="317"/>
      <c r="U296" s="241"/>
      <c r="V296" s="318"/>
      <c r="W296" s="432"/>
      <c r="X296" s="45"/>
      <c r="Y296" s="45"/>
      <c r="Z296" s="45"/>
      <c r="AA296" s="219"/>
      <c r="AB296" s="74"/>
      <c r="AC296" s="219"/>
      <c r="AD296" s="74"/>
      <c r="AE296" s="45"/>
      <c r="AF296" s="45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</row>
    <row r="297" spans="1:46" ht="16.5" customHeight="1">
      <c r="A297" s="257"/>
      <c r="B297" s="257"/>
      <c r="C297" s="74"/>
      <c r="D297" s="167"/>
      <c r="E297" s="167"/>
      <c r="F297" s="167"/>
      <c r="G297" s="319"/>
      <c r="H297" s="319"/>
      <c r="I297" s="321"/>
      <c r="J297" s="321"/>
      <c r="K297" s="45"/>
      <c r="L297" s="67"/>
      <c r="M297" s="67"/>
      <c r="N297" s="251"/>
      <c r="O297" s="251"/>
      <c r="P297" s="251"/>
      <c r="Q297" s="317"/>
      <c r="R297" s="317"/>
      <c r="S297" s="321"/>
      <c r="T297" s="317"/>
      <c r="U297" s="318"/>
      <c r="V297" s="318"/>
      <c r="W297" s="432"/>
      <c r="X297" s="251"/>
      <c r="Y297" s="251"/>
      <c r="Z297" s="251"/>
      <c r="AA297" s="219"/>
      <c r="AB297" s="74"/>
      <c r="AC297" s="219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</row>
    <row r="298" spans="1:46" ht="16.5" customHeight="1">
      <c r="A298" s="257"/>
      <c r="B298" s="257"/>
      <c r="C298" s="74"/>
      <c r="D298" s="167"/>
      <c r="E298" s="167"/>
      <c r="F298" s="167"/>
      <c r="G298" s="238"/>
      <c r="H298" s="238"/>
      <c r="I298" s="321"/>
      <c r="J298" s="321"/>
      <c r="K298" s="45"/>
      <c r="L298" s="67"/>
      <c r="M298" s="67"/>
      <c r="N298" s="251"/>
      <c r="O298" s="251"/>
      <c r="P298" s="167"/>
      <c r="Q298" s="317"/>
      <c r="R298" s="317"/>
      <c r="S298" s="321"/>
      <c r="T298" s="317"/>
      <c r="U298" s="318"/>
      <c r="V298" s="318"/>
      <c r="W298" s="432"/>
      <c r="X298" s="251"/>
      <c r="Y298" s="251"/>
      <c r="Z298" s="251"/>
      <c r="AA298" s="219"/>
      <c r="AB298" s="74"/>
      <c r="AC298" s="219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</row>
    <row r="299" spans="1:46" ht="16.5" customHeight="1">
      <c r="A299" s="316"/>
      <c r="B299" s="316"/>
      <c r="C299" s="331"/>
      <c r="D299" s="292"/>
      <c r="E299" s="292"/>
      <c r="F299" s="292"/>
      <c r="G299" s="293"/>
      <c r="H299" s="293"/>
      <c r="I299" s="296"/>
      <c r="J299" s="296"/>
      <c r="K299" s="331"/>
      <c r="L299" s="331"/>
      <c r="M299" s="331"/>
      <c r="N299" s="298"/>
      <c r="O299" s="298"/>
      <c r="P299" s="292"/>
      <c r="Q299" s="333"/>
      <c r="R299" s="333"/>
      <c r="S299" s="296"/>
      <c r="T299" s="334"/>
      <c r="U299" s="333"/>
      <c r="V299" s="295"/>
      <c r="W299" s="432"/>
      <c r="X299" s="296"/>
      <c r="Y299" s="296"/>
      <c r="Z299" s="296"/>
      <c r="AA299" s="294"/>
      <c r="AB299" s="294"/>
      <c r="AC299" s="294"/>
      <c r="AD299" s="294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  <c r="AT299" s="200"/>
    </row>
    <row r="300" spans="1:46" ht="16.5" customHeight="1">
      <c r="A300" s="216"/>
      <c r="B300" s="216"/>
      <c r="C300" s="291"/>
      <c r="D300" s="292"/>
      <c r="E300" s="292"/>
      <c r="F300" s="292"/>
      <c r="G300" s="293"/>
      <c r="H300" s="293"/>
      <c r="I300" s="219"/>
      <c r="J300" s="219"/>
      <c r="K300" s="219"/>
      <c r="L300" s="219"/>
      <c r="M300" s="219"/>
      <c r="N300" s="298"/>
      <c r="O300" s="298"/>
      <c r="P300" s="321"/>
      <c r="Q300" s="220"/>
      <c r="R300" s="220"/>
      <c r="S300" s="219"/>
      <c r="T300" s="220"/>
      <c r="U300" s="220"/>
      <c r="V300" s="295"/>
      <c r="W300" s="430"/>
      <c r="X300" s="296"/>
      <c r="Y300" s="296"/>
      <c r="Z300" s="296"/>
      <c r="AA300" s="297"/>
      <c r="AB300" s="298"/>
      <c r="AC300" s="297"/>
      <c r="AD300" s="294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</row>
    <row r="301" spans="1:46" ht="16.5" customHeight="1">
      <c r="A301" s="316"/>
      <c r="B301" s="316"/>
      <c r="C301" s="291"/>
      <c r="D301" s="336"/>
      <c r="E301" s="336"/>
      <c r="F301" s="336"/>
      <c r="G301" s="293"/>
      <c r="H301" s="293"/>
      <c r="I301" s="219"/>
      <c r="J301" s="219"/>
      <c r="K301" s="219"/>
      <c r="L301" s="219"/>
      <c r="M301" s="219"/>
      <c r="N301" s="298"/>
      <c r="O301" s="298"/>
      <c r="P301" s="321"/>
      <c r="Q301" s="220"/>
      <c r="R301" s="220"/>
      <c r="S301" s="219"/>
      <c r="T301" s="334"/>
      <c r="U301" s="220"/>
      <c r="V301" s="295"/>
      <c r="W301" s="430"/>
      <c r="X301" s="296"/>
      <c r="Y301" s="296"/>
      <c r="Z301" s="296"/>
      <c r="AA301" s="297"/>
      <c r="AB301" s="298"/>
      <c r="AC301" s="297"/>
      <c r="AD301" s="294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  <c r="AT301" s="200"/>
    </row>
    <row r="302" spans="1:46" ht="16.5" customHeight="1">
      <c r="A302" s="257"/>
      <c r="B302" s="257"/>
      <c r="C302" s="331"/>
      <c r="D302" s="292"/>
      <c r="E302" s="292"/>
      <c r="F302" s="292"/>
      <c r="G302" s="293"/>
      <c r="H302" s="293"/>
      <c r="I302" s="219"/>
      <c r="J302" s="219"/>
      <c r="K302" s="219"/>
      <c r="L302" s="219"/>
      <c r="M302" s="219"/>
      <c r="N302" s="298"/>
      <c r="O302" s="298"/>
      <c r="P302" s="321"/>
      <c r="Q302" s="220"/>
      <c r="R302" s="220"/>
      <c r="S302" s="219"/>
      <c r="T302" s="333"/>
      <c r="U302" s="295"/>
      <c r="V302" s="295"/>
      <c r="W302" s="430"/>
      <c r="X302" s="296"/>
      <c r="Y302" s="296"/>
      <c r="Z302" s="296"/>
      <c r="AA302" s="219"/>
      <c r="AB302" s="294"/>
      <c r="AC302" s="219"/>
      <c r="AD302" s="294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  <c r="AT302" s="200"/>
    </row>
    <row r="303" spans="1:46" ht="16.5" customHeight="1">
      <c r="A303" s="316"/>
      <c r="B303" s="316"/>
      <c r="C303" s="331"/>
      <c r="D303" s="292"/>
      <c r="E303" s="292"/>
      <c r="F303" s="292"/>
      <c r="G303" s="293"/>
      <c r="H303" s="293"/>
      <c r="I303" s="296"/>
      <c r="J303" s="296"/>
      <c r="K303" s="331"/>
      <c r="L303" s="331"/>
      <c r="M303" s="331"/>
      <c r="N303" s="294"/>
      <c r="O303" s="294"/>
      <c r="P303" s="331"/>
      <c r="Q303" s="333"/>
      <c r="R303" s="333"/>
      <c r="S303" s="296"/>
      <c r="T303" s="333"/>
      <c r="U303" s="295"/>
      <c r="V303" s="295"/>
      <c r="W303" s="432"/>
      <c r="X303" s="296"/>
      <c r="Y303" s="296"/>
      <c r="Z303" s="296"/>
      <c r="AA303" s="294"/>
      <c r="AB303" s="294"/>
      <c r="AC303" s="294"/>
      <c r="AD303" s="294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</row>
    <row r="304" spans="1:46" ht="16.5" customHeight="1">
      <c r="A304" s="316"/>
      <c r="B304" s="316"/>
      <c r="C304" s="291"/>
      <c r="D304" s="336"/>
      <c r="E304" s="336"/>
      <c r="F304" s="336"/>
      <c r="G304" s="293"/>
      <c r="H304" s="293"/>
      <c r="I304" s="219"/>
      <c r="J304" s="219"/>
      <c r="K304" s="219"/>
      <c r="L304" s="219"/>
      <c r="M304" s="219"/>
      <c r="N304" s="298"/>
      <c r="O304" s="298"/>
      <c r="P304" s="321"/>
      <c r="Q304" s="220"/>
      <c r="R304" s="220"/>
      <c r="S304" s="219"/>
      <c r="T304" s="220"/>
      <c r="U304" s="220"/>
      <c r="V304" s="295"/>
      <c r="W304" s="430"/>
      <c r="X304" s="296"/>
      <c r="Y304" s="296"/>
      <c r="Z304" s="296"/>
      <c r="AA304" s="297"/>
      <c r="AB304" s="298"/>
      <c r="AC304" s="297"/>
      <c r="AD304" s="294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  <c r="AT304" s="200"/>
    </row>
    <row r="305" spans="1:46" ht="16.5" customHeight="1">
      <c r="A305" s="316"/>
      <c r="B305" s="316"/>
      <c r="C305" s="331"/>
      <c r="D305" s="292"/>
      <c r="E305" s="292"/>
      <c r="F305" s="292"/>
      <c r="G305" s="293"/>
      <c r="H305" s="293"/>
      <c r="I305" s="296"/>
      <c r="J305" s="296"/>
      <c r="K305" s="331"/>
      <c r="L305" s="331"/>
      <c r="M305" s="331"/>
      <c r="N305" s="294"/>
      <c r="O305" s="294"/>
      <c r="P305" s="331"/>
      <c r="Q305" s="333"/>
      <c r="R305" s="333"/>
      <c r="S305" s="296"/>
      <c r="T305" s="333"/>
      <c r="U305" s="295"/>
      <c r="V305" s="295"/>
      <c r="W305" s="432"/>
      <c r="X305" s="296"/>
      <c r="Y305" s="296"/>
      <c r="Z305" s="296"/>
      <c r="AA305" s="294"/>
      <c r="AB305" s="294"/>
      <c r="AC305" s="294"/>
      <c r="AD305" s="294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200"/>
      <c r="AQ305" s="200"/>
      <c r="AR305" s="200"/>
      <c r="AS305" s="200"/>
      <c r="AT305" s="200"/>
    </row>
    <row r="306" spans="1:46" ht="16.5" customHeight="1">
      <c r="A306" s="316"/>
      <c r="B306" s="316"/>
      <c r="C306" s="331"/>
      <c r="D306" s="336"/>
      <c r="E306" s="336"/>
      <c r="F306" s="336"/>
      <c r="G306" s="293"/>
      <c r="H306" s="293"/>
      <c r="I306" s="296"/>
      <c r="J306" s="296"/>
      <c r="K306" s="331"/>
      <c r="L306" s="331"/>
      <c r="M306" s="331"/>
      <c r="N306" s="294"/>
      <c r="O306" s="294"/>
      <c r="P306" s="331"/>
      <c r="Q306" s="333"/>
      <c r="R306" s="333"/>
      <c r="S306" s="296"/>
      <c r="T306" s="333"/>
      <c r="U306" s="295"/>
      <c r="V306" s="295"/>
      <c r="W306" s="432"/>
      <c r="X306" s="296"/>
      <c r="Y306" s="296"/>
      <c r="Z306" s="296"/>
      <c r="AA306" s="294"/>
      <c r="AB306" s="294"/>
      <c r="AC306" s="294"/>
      <c r="AD306" s="294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</row>
    <row r="307" spans="1:46" ht="16.5" customHeight="1">
      <c r="A307" s="316"/>
      <c r="B307" s="316"/>
      <c r="C307" s="331"/>
      <c r="D307" s="292"/>
      <c r="E307" s="292"/>
      <c r="F307" s="292"/>
      <c r="G307" s="293"/>
      <c r="H307" s="293"/>
      <c r="I307" s="296"/>
      <c r="J307" s="296"/>
      <c r="K307" s="331"/>
      <c r="L307" s="331"/>
      <c r="M307" s="331"/>
      <c r="N307" s="294"/>
      <c r="O307" s="294"/>
      <c r="P307" s="331"/>
      <c r="Q307" s="333"/>
      <c r="R307" s="333"/>
      <c r="S307" s="296"/>
      <c r="T307" s="333"/>
      <c r="U307" s="295"/>
      <c r="V307" s="295"/>
      <c r="W307" s="432"/>
      <c r="X307" s="296"/>
      <c r="Y307" s="296"/>
      <c r="Z307" s="296"/>
      <c r="AA307" s="294"/>
      <c r="AB307" s="294"/>
      <c r="AC307" s="294"/>
      <c r="AD307" s="294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200"/>
      <c r="AQ307" s="200"/>
      <c r="AR307" s="200"/>
      <c r="AS307" s="200"/>
      <c r="AT307" s="200"/>
    </row>
    <row r="308" spans="1:46" ht="16.5" customHeight="1">
      <c r="A308" s="316"/>
      <c r="B308" s="316"/>
      <c r="C308" s="331"/>
      <c r="D308" s="292"/>
      <c r="E308" s="292"/>
      <c r="F308" s="292"/>
      <c r="G308" s="293"/>
      <c r="H308" s="293"/>
      <c r="I308" s="296"/>
      <c r="J308" s="296"/>
      <c r="K308" s="331"/>
      <c r="L308" s="331"/>
      <c r="M308" s="331"/>
      <c r="N308" s="294"/>
      <c r="O308" s="294"/>
      <c r="P308" s="331"/>
      <c r="Q308" s="333"/>
      <c r="R308" s="333"/>
      <c r="S308" s="296"/>
      <c r="T308" s="333"/>
      <c r="U308" s="295"/>
      <c r="V308" s="295"/>
      <c r="W308" s="432"/>
      <c r="X308" s="296"/>
      <c r="Y308" s="296"/>
      <c r="Z308" s="296"/>
      <c r="AA308" s="294"/>
      <c r="AB308" s="294"/>
      <c r="AC308" s="294"/>
      <c r="AD308" s="294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  <c r="AT308" s="200"/>
    </row>
    <row r="309" spans="1:46" ht="16.5" customHeight="1">
      <c r="A309" s="316"/>
      <c r="B309" s="316"/>
      <c r="C309" s="331"/>
      <c r="D309" s="292"/>
      <c r="E309" s="292"/>
      <c r="F309" s="292"/>
      <c r="G309" s="293"/>
      <c r="H309" s="293"/>
      <c r="I309" s="296"/>
      <c r="J309" s="296"/>
      <c r="K309" s="331"/>
      <c r="L309" s="331"/>
      <c r="M309" s="331"/>
      <c r="N309" s="294"/>
      <c r="O309" s="294"/>
      <c r="P309" s="331"/>
      <c r="Q309" s="333"/>
      <c r="R309" s="333"/>
      <c r="S309" s="296"/>
      <c r="T309" s="333"/>
      <c r="U309" s="295"/>
      <c r="V309" s="295"/>
      <c r="W309" s="432"/>
      <c r="X309" s="296"/>
      <c r="Y309" s="296"/>
      <c r="Z309" s="296"/>
      <c r="AA309" s="294"/>
      <c r="AB309" s="294"/>
      <c r="AC309" s="294"/>
      <c r="AD309" s="294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  <c r="AT309" s="200"/>
    </row>
    <row r="310" spans="1:46" ht="16.5" customHeight="1">
      <c r="A310" s="316"/>
      <c r="B310" s="316"/>
      <c r="C310" s="331"/>
      <c r="D310" s="292"/>
      <c r="E310" s="292"/>
      <c r="F310" s="292"/>
      <c r="G310" s="293"/>
      <c r="H310" s="293"/>
      <c r="I310" s="296"/>
      <c r="J310" s="296"/>
      <c r="K310" s="331"/>
      <c r="L310" s="331"/>
      <c r="M310" s="331"/>
      <c r="N310" s="294"/>
      <c r="O310" s="294"/>
      <c r="P310" s="331"/>
      <c r="Q310" s="333"/>
      <c r="R310" s="333"/>
      <c r="S310" s="296"/>
      <c r="T310" s="333"/>
      <c r="U310" s="295"/>
      <c r="V310" s="295"/>
      <c r="W310" s="432"/>
      <c r="X310" s="296"/>
      <c r="Y310" s="296"/>
      <c r="Z310" s="296"/>
      <c r="AA310" s="294"/>
      <c r="AB310" s="294"/>
      <c r="AC310" s="294"/>
      <c r="AD310" s="294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</row>
    <row r="311" spans="1:46" ht="16.5" customHeight="1">
      <c r="A311" s="337"/>
      <c r="B311" s="337"/>
      <c r="C311" s="74"/>
      <c r="D311" s="167"/>
      <c r="E311" s="167"/>
      <c r="F311" s="167"/>
      <c r="G311" s="64"/>
      <c r="H311" s="64"/>
      <c r="I311" s="243"/>
      <c r="J311" s="243"/>
      <c r="K311" s="244"/>
      <c r="L311" s="173"/>
      <c r="M311" s="173"/>
      <c r="N311" s="173"/>
      <c r="O311" s="173"/>
      <c r="P311" s="319"/>
      <c r="Q311" s="213"/>
      <c r="R311" s="213"/>
      <c r="S311" s="243"/>
      <c r="T311" s="339"/>
      <c r="U311" s="318"/>
      <c r="V311" s="318"/>
      <c r="W311" s="430"/>
      <c r="X311" s="45"/>
      <c r="Y311" s="45"/>
      <c r="Z311" s="45"/>
      <c r="AA311" s="294"/>
      <c r="AB311" s="294"/>
      <c r="AC311" s="294"/>
      <c r="AD311" s="294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200"/>
      <c r="AQ311" s="200"/>
      <c r="AR311" s="200"/>
      <c r="AS311" s="200"/>
      <c r="AT311" s="200"/>
    </row>
    <row r="312" spans="1:46" ht="16.5" customHeight="1">
      <c r="A312" s="270"/>
      <c r="B312" s="270"/>
      <c r="C312" s="61"/>
      <c r="D312" s="167"/>
      <c r="E312" s="167"/>
      <c r="F312" s="167"/>
      <c r="G312" s="64"/>
      <c r="H312" s="64"/>
      <c r="I312" s="243"/>
      <c r="J312" s="243"/>
      <c r="K312" s="244"/>
      <c r="L312" s="244"/>
      <c r="M312" s="244"/>
      <c r="N312" s="173"/>
      <c r="O312" s="173"/>
      <c r="P312" s="319"/>
      <c r="Q312" s="213"/>
      <c r="R312" s="213"/>
      <c r="S312" s="243"/>
      <c r="T312" s="317"/>
      <c r="U312" s="318"/>
      <c r="V312" s="318"/>
      <c r="W312" s="430"/>
      <c r="X312" s="45"/>
      <c r="Y312" s="45"/>
      <c r="Z312" s="45"/>
      <c r="AA312" s="294"/>
      <c r="AB312" s="294"/>
      <c r="AC312" s="294"/>
      <c r="AD312" s="294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200"/>
      <c r="AQ312" s="200"/>
      <c r="AR312" s="200"/>
      <c r="AS312" s="200"/>
      <c r="AT312" s="200"/>
    </row>
    <row r="313" spans="1:46" ht="16.5" customHeight="1">
      <c r="A313" s="270"/>
      <c r="B313" s="270"/>
      <c r="C313" s="61"/>
      <c r="D313" s="167"/>
      <c r="E313" s="167"/>
      <c r="F313" s="167"/>
      <c r="G313" s="64"/>
      <c r="H313" s="64"/>
      <c r="I313" s="243"/>
      <c r="J313" s="243"/>
      <c r="K313" s="244"/>
      <c r="L313" s="45"/>
      <c r="M313" s="45"/>
      <c r="N313" s="244"/>
      <c r="O313" s="244"/>
      <c r="P313" s="319"/>
      <c r="Q313" s="213"/>
      <c r="R313" s="213"/>
      <c r="S313" s="243"/>
      <c r="T313" s="317"/>
      <c r="U313" s="318"/>
      <c r="V313" s="318"/>
      <c r="W313" s="430"/>
      <c r="X313" s="45"/>
      <c r="Y313" s="45"/>
      <c r="Z313" s="45"/>
      <c r="AA313" s="294"/>
      <c r="AB313" s="294"/>
      <c r="AC313" s="294"/>
      <c r="AD313" s="294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200"/>
      <c r="AQ313" s="200"/>
      <c r="AR313" s="200"/>
      <c r="AS313" s="200"/>
      <c r="AT313" s="200"/>
    </row>
    <row r="314" spans="1:46" ht="16.5" customHeight="1">
      <c r="A314" s="270"/>
      <c r="B314" s="270"/>
      <c r="C314" s="61"/>
      <c r="D314" s="167"/>
      <c r="E314" s="167"/>
      <c r="F314" s="167"/>
      <c r="G314" s="64"/>
      <c r="H314" s="64"/>
      <c r="I314" s="243"/>
      <c r="J314" s="243"/>
      <c r="K314" s="244"/>
      <c r="L314" s="33"/>
      <c r="M314" s="33"/>
      <c r="N314" s="244"/>
      <c r="O314" s="244"/>
      <c r="P314" s="319"/>
      <c r="Q314" s="213"/>
      <c r="R314" s="213"/>
      <c r="S314" s="243"/>
      <c r="T314" s="317"/>
      <c r="U314" s="318"/>
      <c r="V314" s="318"/>
      <c r="W314" s="430"/>
      <c r="X314" s="45"/>
      <c r="Y314" s="45"/>
      <c r="Z314" s="45"/>
      <c r="AA314" s="294"/>
      <c r="AB314" s="294"/>
      <c r="AC314" s="294"/>
      <c r="AD314" s="294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200"/>
      <c r="AQ314" s="200"/>
      <c r="AR314" s="200"/>
      <c r="AS314" s="200"/>
      <c r="AT314" s="200"/>
    </row>
    <row r="315" spans="1:46" ht="16.5" customHeight="1">
      <c r="A315" s="337"/>
      <c r="B315" s="337"/>
      <c r="C315" s="61"/>
      <c r="D315" s="167"/>
      <c r="E315" s="167"/>
      <c r="F315" s="167"/>
      <c r="G315" s="64"/>
      <c r="H315" s="64"/>
      <c r="I315" s="254"/>
      <c r="J315" s="254"/>
      <c r="K315" s="254"/>
      <c r="L315" s="173"/>
      <c r="M315" s="173"/>
      <c r="N315" s="67"/>
      <c r="O315" s="67"/>
      <c r="P315" s="342"/>
      <c r="Q315" s="213"/>
      <c r="R315" s="213"/>
      <c r="S315" s="254"/>
      <c r="T315" s="317"/>
      <c r="U315" s="318"/>
      <c r="V315" s="318"/>
      <c r="W315" s="379"/>
      <c r="X315" s="45"/>
      <c r="Y315" s="45"/>
      <c r="Z315" s="45"/>
      <c r="AA315" s="294"/>
      <c r="AB315" s="294"/>
      <c r="AC315" s="294"/>
      <c r="AD315" s="294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200"/>
      <c r="AQ315" s="200"/>
      <c r="AR315" s="200"/>
      <c r="AS315" s="200"/>
      <c r="AT315" s="200"/>
    </row>
    <row r="316" spans="1:46" ht="16.5" customHeight="1">
      <c r="A316" s="337"/>
      <c r="B316" s="337"/>
      <c r="C316" s="61"/>
      <c r="D316" s="167"/>
      <c r="E316" s="167"/>
      <c r="F316" s="167"/>
      <c r="G316" s="64"/>
      <c r="H316" s="64"/>
      <c r="I316" s="254"/>
      <c r="J316" s="254"/>
      <c r="K316" s="254"/>
      <c r="L316" s="173"/>
      <c r="M316" s="173"/>
      <c r="N316" s="67"/>
      <c r="O316" s="67"/>
      <c r="P316" s="342"/>
      <c r="Q316" s="213"/>
      <c r="R316" s="213"/>
      <c r="S316" s="254"/>
      <c r="T316" s="317"/>
      <c r="U316" s="318"/>
      <c r="V316" s="318"/>
      <c r="W316" s="379"/>
      <c r="X316" s="45"/>
      <c r="Y316" s="45"/>
      <c r="Z316" s="45"/>
      <c r="AA316" s="294"/>
      <c r="AB316" s="294"/>
      <c r="AC316" s="294"/>
      <c r="AD316" s="294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  <c r="AT316" s="200"/>
    </row>
    <row r="317" spans="1:46" ht="16.5" customHeight="1">
      <c r="A317" s="307"/>
      <c r="B317" s="307"/>
      <c r="C317" s="74"/>
      <c r="D317" s="167"/>
      <c r="E317" s="167"/>
      <c r="F317" s="167"/>
      <c r="G317" s="64"/>
      <c r="H317" s="64"/>
      <c r="I317" s="254"/>
      <c r="J317" s="254"/>
      <c r="K317" s="254"/>
      <c r="L317" s="173"/>
      <c r="M317" s="173"/>
      <c r="N317" s="67"/>
      <c r="O317" s="67"/>
      <c r="P317" s="342"/>
      <c r="Q317" s="213"/>
      <c r="R317" s="213"/>
      <c r="S317" s="254"/>
      <c r="T317" s="317"/>
      <c r="U317" s="318"/>
      <c r="V317" s="318"/>
      <c r="W317" s="379"/>
      <c r="X317" s="45"/>
      <c r="Y317" s="45"/>
      <c r="Z317" s="45"/>
      <c r="AA317" s="294"/>
      <c r="AB317" s="294"/>
      <c r="AC317" s="294"/>
      <c r="AD317" s="294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200"/>
      <c r="AQ317" s="200"/>
      <c r="AR317" s="200"/>
      <c r="AS317" s="200"/>
      <c r="AT317" s="200"/>
    </row>
    <row r="318" spans="1:46" ht="16.5" customHeight="1">
      <c r="A318" s="307"/>
      <c r="B318" s="307"/>
      <c r="C318" s="74"/>
      <c r="D318" s="167"/>
      <c r="E318" s="167"/>
      <c r="F318" s="167"/>
      <c r="G318" s="64"/>
      <c r="H318" s="64"/>
      <c r="I318" s="74"/>
      <c r="J318" s="74"/>
      <c r="K318" s="74"/>
      <c r="L318" s="74"/>
      <c r="M318" s="74"/>
      <c r="N318" s="74"/>
      <c r="O318" s="74"/>
      <c r="P318" s="74"/>
      <c r="Q318" s="213"/>
      <c r="R318" s="213"/>
      <c r="S318" s="74"/>
      <c r="T318" s="317"/>
      <c r="U318" s="318"/>
      <c r="V318" s="318"/>
      <c r="W318" s="432"/>
      <c r="X318" s="45"/>
      <c r="Y318" s="45"/>
      <c r="Z318" s="45"/>
      <c r="AA318" s="294"/>
      <c r="AB318" s="294"/>
      <c r="AC318" s="294"/>
      <c r="AD318" s="294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200"/>
      <c r="AQ318" s="200"/>
      <c r="AR318" s="200"/>
      <c r="AS318" s="200"/>
      <c r="AT318" s="200"/>
    </row>
    <row r="319" spans="1:46" ht="16.5" customHeight="1">
      <c r="A319" s="337"/>
      <c r="B319" s="337"/>
      <c r="C319" s="74"/>
      <c r="D319" s="167"/>
      <c r="E319" s="167"/>
      <c r="F319" s="167"/>
      <c r="G319" s="64"/>
      <c r="H319" s="64"/>
      <c r="I319" s="255"/>
      <c r="J319" s="255"/>
      <c r="K319" s="254"/>
      <c r="L319" s="67"/>
      <c r="M319" s="67"/>
      <c r="N319" s="67"/>
      <c r="O319" s="67"/>
      <c r="P319" s="342"/>
      <c r="Q319" s="213"/>
      <c r="R319" s="213"/>
      <c r="S319" s="255"/>
      <c r="T319" s="317"/>
      <c r="U319" s="318"/>
      <c r="V319" s="318"/>
      <c r="W319" s="476"/>
      <c r="X319" s="45"/>
      <c r="Y319" s="45"/>
      <c r="Z319" s="45"/>
      <c r="AA319" s="294"/>
      <c r="AB319" s="294"/>
      <c r="AC319" s="294"/>
      <c r="AD319" s="294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200"/>
      <c r="AQ319" s="200"/>
      <c r="AR319" s="200"/>
      <c r="AS319" s="200"/>
      <c r="AT319" s="200"/>
    </row>
    <row r="320" spans="1:46" ht="16.5" customHeight="1">
      <c r="A320" s="307"/>
      <c r="B320" s="307"/>
      <c r="C320" s="74"/>
      <c r="D320" s="167"/>
      <c r="E320" s="167"/>
      <c r="F320" s="167"/>
      <c r="G320" s="64"/>
      <c r="H320" s="64"/>
      <c r="I320" s="74"/>
      <c r="J320" s="74"/>
      <c r="K320" s="340"/>
      <c r="L320" s="67"/>
      <c r="M320" s="67"/>
      <c r="N320" s="74"/>
      <c r="O320" s="74"/>
      <c r="P320" s="74"/>
      <c r="Q320" s="213"/>
      <c r="R320" s="213"/>
      <c r="S320" s="74"/>
      <c r="T320" s="317"/>
      <c r="U320" s="318"/>
      <c r="V320" s="318"/>
      <c r="W320" s="432"/>
      <c r="X320" s="45"/>
      <c r="Y320" s="45"/>
      <c r="Z320" s="45"/>
      <c r="AA320" s="294"/>
      <c r="AB320" s="294"/>
      <c r="AC320" s="294"/>
      <c r="AD320" s="294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  <c r="AT320" s="200"/>
    </row>
    <row r="321" spans="1:46" ht="16.5" customHeight="1">
      <c r="A321" s="337"/>
      <c r="B321" s="337"/>
      <c r="C321" s="74"/>
      <c r="D321" s="167"/>
      <c r="E321" s="167"/>
      <c r="F321" s="167"/>
      <c r="G321" s="64"/>
      <c r="H321" s="64"/>
      <c r="I321" s="255"/>
      <c r="J321" s="255"/>
      <c r="K321" s="342"/>
      <c r="L321" s="254"/>
      <c r="M321" s="254"/>
      <c r="N321" s="342"/>
      <c r="O321" s="342"/>
      <c r="P321" s="342"/>
      <c r="Q321" s="213"/>
      <c r="R321" s="213"/>
      <c r="S321" s="255"/>
      <c r="T321" s="317"/>
      <c r="U321" s="318"/>
      <c r="V321" s="318"/>
      <c r="W321" s="476"/>
      <c r="X321" s="45"/>
      <c r="Y321" s="45"/>
      <c r="Z321" s="45"/>
      <c r="AA321" s="294"/>
      <c r="AB321" s="294"/>
      <c r="AC321" s="294"/>
      <c r="AD321" s="294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200"/>
      <c r="AQ321" s="200"/>
      <c r="AR321" s="200"/>
      <c r="AS321" s="200"/>
      <c r="AT321" s="200"/>
    </row>
    <row r="322" spans="1:46" ht="16.5" customHeight="1">
      <c r="A322" s="307"/>
      <c r="B322" s="307"/>
      <c r="C322" s="74"/>
      <c r="D322" s="167"/>
      <c r="E322" s="167"/>
      <c r="F322" s="167"/>
      <c r="G322" s="64"/>
      <c r="H322" s="64"/>
      <c r="I322" s="340"/>
      <c r="J322" s="340"/>
      <c r="K322" s="340"/>
      <c r="L322" s="67"/>
      <c r="M322" s="67"/>
      <c r="N322" s="74"/>
      <c r="O322" s="74"/>
      <c r="P322" s="74"/>
      <c r="Q322" s="213"/>
      <c r="R322" s="213"/>
      <c r="S322" s="340"/>
      <c r="T322" s="317"/>
      <c r="U322" s="343"/>
      <c r="V322" s="318"/>
      <c r="W322" s="477"/>
      <c r="X322" s="45"/>
      <c r="Y322" s="45"/>
      <c r="Z322" s="45"/>
      <c r="AA322" s="294"/>
      <c r="AB322" s="294"/>
      <c r="AC322" s="294"/>
      <c r="AD322" s="294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200"/>
      <c r="AQ322" s="200"/>
      <c r="AR322" s="200"/>
      <c r="AS322" s="200"/>
      <c r="AT322" s="200"/>
    </row>
    <row r="323" spans="1:46" ht="16.5" customHeight="1">
      <c r="A323" s="337"/>
      <c r="B323" s="337"/>
      <c r="C323" s="74"/>
      <c r="D323" s="167"/>
      <c r="E323" s="167"/>
      <c r="F323" s="167"/>
      <c r="G323" s="64"/>
      <c r="H323" s="64"/>
      <c r="I323" s="344"/>
      <c r="J323" s="344"/>
      <c r="K323" s="344"/>
      <c r="L323" s="61"/>
      <c r="M323" s="61"/>
      <c r="N323" s="61"/>
      <c r="O323" s="61"/>
      <c r="P323" s="254"/>
      <c r="Q323" s="213"/>
      <c r="R323" s="213"/>
      <c r="S323" s="344"/>
      <c r="T323" s="317"/>
      <c r="U323" s="345"/>
      <c r="V323" s="318"/>
      <c r="W323" s="478"/>
      <c r="X323" s="45"/>
      <c r="Y323" s="45"/>
      <c r="Z323" s="45"/>
      <c r="AA323" s="294"/>
      <c r="AB323" s="294"/>
      <c r="AC323" s="294"/>
      <c r="AD323" s="294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  <c r="AT323" s="200"/>
    </row>
    <row r="324" spans="1:46" ht="16.5" customHeight="1">
      <c r="A324" s="307"/>
      <c r="B324" s="307"/>
      <c r="C324" s="74"/>
      <c r="D324" s="167"/>
      <c r="E324" s="167"/>
      <c r="F324" s="167"/>
      <c r="G324" s="64"/>
      <c r="H324" s="64"/>
      <c r="I324" s="344"/>
      <c r="J324" s="344"/>
      <c r="K324" s="344"/>
      <c r="L324" s="61"/>
      <c r="M324" s="61"/>
      <c r="N324" s="61"/>
      <c r="O324" s="61"/>
      <c r="P324" s="254"/>
      <c r="Q324" s="213"/>
      <c r="R324" s="213"/>
      <c r="S324" s="344"/>
      <c r="T324" s="317"/>
      <c r="U324" s="345"/>
      <c r="V324" s="318"/>
      <c r="W324" s="478"/>
      <c r="X324" s="45"/>
      <c r="Y324" s="45"/>
      <c r="Z324" s="45"/>
      <c r="AA324" s="294"/>
      <c r="AB324" s="294"/>
      <c r="AC324" s="294"/>
      <c r="AD324" s="294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200"/>
      <c r="AQ324" s="200"/>
      <c r="AR324" s="200"/>
      <c r="AS324" s="200"/>
      <c r="AT324" s="200"/>
    </row>
    <row r="325" spans="1:46" ht="16.5" customHeight="1">
      <c r="A325" s="307"/>
      <c r="B325" s="307"/>
      <c r="C325" s="74"/>
      <c r="D325" s="167"/>
      <c r="E325" s="167"/>
      <c r="F325" s="167"/>
      <c r="G325" s="64"/>
      <c r="H325" s="64"/>
      <c r="I325" s="61"/>
      <c r="J325" s="61"/>
      <c r="K325" s="61"/>
      <c r="L325" s="61"/>
      <c r="M325" s="61"/>
      <c r="N325" s="61"/>
      <c r="O325" s="61"/>
      <c r="P325" s="61"/>
      <c r="Q325" s="213"/>
      <c r="R325" s="213"/>
      <c r="S325" s="61"/>
      <c r="T325" s="317"/>
      <c r="U325" s="318"/>
      <c r="V325" s="318"/>
      <c r="W325" s="379"/>
      <c r="X325" s="45"/>
      <c r="Y325" s="45"/>
      <c r="Z325" s="45"/>
      <c r="AA325" s="294"/>
      <c r="AB325" s="294"/>
      <c r="AC325" s="294"/>
      <c r="AD325" s="294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200"/>
      <c r="AQ325" s="200"/>
      <c r="AR325" s="200"/>
      <c r="AS325" s="200"/>
      <c r="AT325" s="200"/>
    </row>
    <row r="326" spans="1:46" ht="16.5" customHeight="1">
      <c r="A326" s="307"/>
      <c r="B326" s="307"/>
      <c r="C326" s="74"/>
      <c r="D326" s="167"/>
      <c r="E326" s="167"/>
      <c r="F326" s="167"/>
      <c r="G326" s="64"/>
      <c r="H326" s="64"/>
      <c r="I326" s="254"/>
      <c r="J326" s="254"/>
      <c r="K326" s="254"/>
      <c r="L326" s="61"/>
      <c r="M326" s="61"/>
      <c r="N326" s="61"/>
      <c r="O326" s="61"/>
      <c r="P326" s="254"/>
      <c r="Q326" s="213"/>
      <c r="R326" s="213"/>
      <c r="S326" s="254"/>
      <c r="T326" s="317"/>
      <c r="U326" s="318"/>
      <c r="V326" s="318"/>
      <c r="W326" s="379"/>
      <c r="X326" s="45"/>
      <c r="Y326" s="45"/>
      <c r="Z326" s="45"/>
      <c r="AA326" s="294"/>
      <c r="AB326" s="294"/>
      <c r="AC326" s="294"/>
      <c r="AD326" s="294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  <c r="AT326" s="200"/>
    </row>
    <row r="327" spans="1:46" ht="16.5" customHeight="1">
      <c r="A327" s="307"/>
      <c r="B327" s="307"/>
      <c r="C327" s="74"/>
      <c r="D327" s="167"/>
      <c r="E327" s="167"/>
      <c r="F327" s="167"/>
      <c r="G327" s="64"/>
      <c r="H327" s="64"/>
      <c r="I327" s="254"/>
      <c r="J327" s="254"/>
      <c r="K327" s="342"/>
      <c r="L327" s="74"/>
      <c r="M327" s="74"/>
      <c r="N327" s="74"/>
      <c r="O327" s="74"/>
      <c r="P327" s="342"/>
      <c r="Q327" s="213"/>
      <c r="R327" s="213"/>
      <c r="S327" s="254"/>
      <c r="T327" s="317"/>
      <c r="U327" s="318"/>
      <c r="V327" s="318"/>
      <c r="W327" s="379"/>
      <c r="X327" s="45"/>
      <c r="Y327" s="45"/>
      <c r="Z327" s="45"/>
      <c r="AA327" s="294"/>
      <c r="AB327" s="294"/>
      <c r="AC327" s="294"/>
      <c r="AD327" s="294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  <c r="AT327" s="200"/>
    </row>
    <row r="328" spans="1:46" ht="16.5" customHeight="1">
      <c r="A328" s="307"/>
      <c r="B328" s="307"/>
      <c r="C328" s="74"/>
      <c r="D328" s="167"/>
      <c r="E328" s="167"/>
      <c r="F328" s="167"/>
      <c r="G328" s="64"/>
      <c r="H328" s="64"/>
      <c r="I328" s="254"/>
      <c r="J328" s="254"/>
      <c r="K328" s="342"/>
      <c r="L328" s="74"/>
      <c r="M328" s="74"/>
      <c r="N328" s="74"/>
      <c r="O328" s="74"/>
      <c r="P328" s="342"/>
      <c r="Q328" s="213"/>
      <c r="R328" s="213"/>
      <c r="S328" s="254"/>
      <c r="T328" s="317"/>
      <c r="U328" s="318"/>
      <c r="V328" s="318"/>
      <c r="W328" s="379"/>
      <c r="X328" s="45"/>
      <c r="Y328" s="45"/>
      <c r="Z328" s="45"/>
      <c r="AA328" s="294"/>
      <c r="AB328" s="294"/>
      <c r="AC328" s="294"/>
      <c r="AD328" s="294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200"/>
      <c r="AQ328" s="200"/>
      <c r="AR328" s="200"/>
      <c r="AS328" s="200"/>
      <c r="AT328" s="200"/>
    </row>
    <row r="329" spans="1:46" ht="16.5" customHeight="1">
      <c r="A329" s="316"/>
      <c r="B329" s="316"/>
      <c r="C329" s="331"/>
      <c r="D329" s="292"/>
      <c r="E329" s="292"/>
      <c r="F329" s="292"/>
      <c r="G329" s="293"/>
      <c r="H329" s="293"/>
      <c r="I329" s="296"/>
      <c r="J329" s="296"/>
      <c r="K329" s="331"/>
      <c r="L329" s="331"/>
      <c r="M329" s="331"/>
      <c r="N329" s="294"/>
      <c r="O329" s="294"/>
      <c r="P329" s="331"/>
      <c r="Q329" s="333"/>
      <c r="R329" s="333"/>
      <c r="S329" s="296"/>
      <c r="T329" s="333"/>
      <c r="U329" s="295"/>
      <c r="V329" s="295"/>
      <c r="W329" s="432"/>
      <c r="X329" s="296"/>
      <c r="Y329" s="296"/>
      <c r="Z329" s="296"/>
      <c r="AA329" s="294"/>
      <c r="AB329" s="294"/>
      <c r="AC329" s="294"/>
      <c r="AD329" s="294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200"/>
      <c r="AQ329" s="200"/>
      <c r="AR329" s="200"/>
      <c r="AS329" s="200"/>
      <c r="AT329" s="200"/>
    </row>
    <row r="330" spans="1:46" ht="16.5" customHeight="1">
      <c r="A330" s="316"/>
      <c r="B330" s="316"/>
      <c r="C330" s="331"/>
      <c r="D330" s="292"/>
      <c r="E330" s="292"/>
      <c r="F330" s="292"/>
      <c r="G330" s="293"/>
      <c r="H330" s="293"/>
      <c r="I330" s="296"/>
      <c r="J330" s="296"/>
      <c r="K330" s="331"/>
      <c r="L330" s="331"/>
      <c r="M330" s="331"/>
      <c r="N330" s="294"/>
      <c r="O330" s="294"/>
      <c r="P330" s="331"/>
      <c r="Q330" s="333"/>
      <c r="R330" s="333"/>
      <c r="S330" s="296"/>
      <c r="T330" s="333"/>
      <c r="U330" s="295"/>
      <c r="V330" s="295"/>
      <c r="W330" s="432"/>
      <c r="X330" s="296"/>
      <c r="Y330" s="296"/>
      <c r="Z330" s="296"/>
      <c r="AA330" s="294"/>
      <c r="AB330" s="294"/>
      <c r="AC330" s="294"/>
      <c r="AD330" s="294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  <c r="AT330" s="200"/>
    </row>
    <row r="331" spans="1:46" ht="16.5" customHeight="1">
      <c r="A331" s="316"/>
      <c r="B331" s="316"/>
      <c r="C331" s="331"/>
      <c r="D331" s="292"/>
      <c r="E331" s="292"/>
      <c r="F331" s="292"/>
      <c r="G331" s="293"/>
      <c r="H331" s="293"/>
      <c r="I331" s="296"/>
      <c r="J331" s="296"/>
      <c r="K331" s="331"/>
      <c r="L331" s="331"/>
      <c r="M331" s="331"/>
      <c r="N331" s="294"/>
      <c r="O331" s="294"/>
      <c r="P331" s="331"/>
      <c r="Q331" s="333"/>
      <c r="R331" s="333"/>
      <c r="S331" s="296"/>
      <c r="T331" s="333"/>
      <c r="U331" s="295"/>
      <c r="V331" s="295"/>
      <c r="W331" s="432"/>
      <c r="X331" s="296"/>
      <c r="Y331" s="296"/>
      <c r="Z331" s="296"/>
      <c r="AA331" s="294"/>
      <c r="AB331" s="294"/>
      <c r="AC331" s="294"/>
      <c r="AD331" s="294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200"/>
      <c r="AQ331" s="200"/>
      <c r="AR331" s="200"/>
      <c r="AS331" s="200"/>
      <c r="AT331" s="200"/>
    </row>
    <row r="332" spans="1:46" ht="16.5" customHeight="1">
      <c r="A332" s="316"/>
      <c r="B332" s="316"/>
      <c r="C332" s="331"/>
      <c r="D332" s="292"/>
      <c r="E332" s="292"/>
      <c r="F332" s="292"/>
      <c r="G332" s="293"/>
      <c r="H332" s="293"/>
      <c r="I332" s="296"/>
      <c r="J332" s="296"/>
      <c r="K332" s="331"/>
      <c r="L332" s="331"/>
      <c r="M332" s="331"/>
      <c r="N332" s="294"/>
      <c r="O332" s="294"/>
      <c r="P332" s="331"/>
      <c r="Q332" s="333"/>
      <c r="R332" s="333"/>
      <c r="S332" s="296"/>
      <c r="T332" s="333"/>
      <c r="U332" s="295"/>
      <c r="V332" s="295"/>
      <c r="W332" s="432"/>
      <c r="X332" s="296"/>
      <c r="Y332" s="296"/>
      <c r="Z332" s="296"/>
      <c r="AA332" s="294"/>
      <c r="AB332" s="294"/>
      <c r="AC332" s="294"/>
      <c r="AD332" s="294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200"/>
      <c r="AQ332" s="200"/>
      <c r="AR332" s="200"/>
      <c r="AS332" s="200"/>
      <c r="AT332" s="200"/>
    </row>
    <row r="333" spans="1:46" ht="16.5" customHeight="1">
      <c r="A333" s="316"/>
      <c r="B333" s="316"/>
      <c r="C333" s="331"/>
      <c r="D333" s="292"/>
      <c r="E333" s="292"/>
      <c r="F333" s="292"/>
      <c r="G333" s="293"/>
      <c r="H333" s="293"/>
      <c r="I333" s="296"/>
      <c r="J333" s="296"/>
      <c r="K333" s="331"/>
      <c r="L333" s="331"/>
      <c r="M333" s="331"/>
      <c r="N333" s="294"/>
      <c r="O333" s="294"/>
      <c r="P333" s="331"/>
      <c r="Q333" s="333"/>
      <c r="R333" s="333"/>
      <c r="S333" s="296"/>
      <c r="T333" s="333"/>
      <c r="U333" s="295"/>
      <c r="V333" s="295"/>
      <c r="W333" s="432"/>
      <c r="X333" s="296"/>
      <c r="Y333" s="296"/>
      <c r="Z333" s="296"/>
      <c r="AA333" s="294"/>
      <c r="AB333" s="294"/>
      <c r="AC333" s="294"/>
      <c r="AD333" s="294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200"/>
      <c r="AQ333" s="200"/>
      <c r="AR333" s="200"/>
      <c r="AS333" s="200"/>
      <c r="AT333" s="200"/>
    </row>
    <row r="334" spans="1:46" ht="16.5" customHeight="1">
      <c r="A334" s="316"/>
      <c r="B334" s="316"/>
      <c r="C334" s="331"/>
      <c r="D334" s="292"/>
      <c r="E334" s="292"/>
      <c r="F334" s="292"/>
      <c r="G334" s="293"/>
      <c r="H334" s="293"/>
      <c r="I334" s="296"/>
      <c r="J334" s="296"/>
      <c r="K334" s="331"/>
      <c r="L334" s="331"/>
      <c r="M334" s="331"/>
      <c r="N334" s="294"/>
      <c r="O334" s="294"/>
      <c r="P334" s="331"/>
      <c r="Q334" s="333"/>
      <c r="R334" s="333"/>
      <c r="S334" s="296"/>
      <c r="T334" s="333"/>
      <c r="U334" s="295"/>
      <c r="V334" s="295"/>
      <c r="W334" s="432"/>
      <c r="X334" s="296"/>
      <c r="Y334" s="296"/>
      <c r="Z334" s="296"/>
      <c r="AA334" s="294"/>
      <c r="AB334" s="294"/>
      <c r="AC334" s="294"/>
      <c r="AD334" s="294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200"/>
      <c r="AQ334" s="200"/>
      <c r="AR334" s="200"/>
      <c r="AS334" s="200"/>
      <c r="AT334" s="200"/>
    </row>
    <row r="335" spans="1:46" ht="16.5" customHeight="1">
      <c r="A335" s="316"/>
      <c r="B335" s="316"/>
      <c r="C335" s="331"/>
      <c r="D335" s="292"/>
      <c r="E335" s="292"/>
      <c r="F335" s="292"/>
      <c r="G335" s="293"/>
      <c r="H335" s="293"/>
      <c r="I335" s="296"/>
      <c r="J335" s="296"/>
      <c r="K335" s="331"/>
      <c r="L335" s="331"/>
      <c r="M335" s="331"/>
      <c r="N335" s="294"/>
      <c r="O335" s="294"/>
      <c r="P335" s="331"/>
      <c r="Q335" s="333"/>
      <c r="R335" s="333"/>
      <c r="S335" s="296"/>
      <c r="T335" s="333"/>
      <c r="U335" s="295"/>
      <c r="V335" s="295"/>
      <c r="W335" s="432"/>
      <c r="X335" s="296"/>
      <c r="Y335" s="296"/>
      <c r="Z335" s="296"/>
      <c r="AA335" s="294"/>
      <c r="AB335" s="294"/>
      <c r="AC335" s="294"/>
      <c r="AD335" s="294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  <c r="AT335" s="200"/>
    </row>
    <row r="336" spans="1:46" ht="16.5" customHeight="1">
      <c r="A336" s="316"/>
      <c r="B336" s="316"/>
      <c r="C336" s="331"/>
      <c r="D336" s="292"/>
      <c r="E336" s="292"/>
      <c r="F336" s="292"/>
      <c r="G336" s="293"/>
      <c r="H336" s="293"/>
      <c r="I336" s="296"/>
      <c r="J336" s="296"/>
      <c r="K336" s="331"/>
      <c r="L336" s="331"/>
      <c r="M336" s="331"/>
      <c r="N336" s="294"/>
      <c r="O336" s="294"/>
      <c r="P336" s="331"/>
      <c r="Q336" s="333"/>
      <c r="R336" s="333"/>
      <c r="S336" s="296"/>
      <c r="T336" s="333"/>
      <c r="U336" s="295"/>
      <c r="V336" s="295"/>
      <c r="W336" s="432"/>
      <c r="X336" s="296"/>
      <c r="Y336" s="296"/>
      <c r="Z336" s="296"/>
      <c r="AA336" s="294"/>
      <c r="AB336" s="294"/>
      <c r="AC336" s="294"/>
      <c r="AD336" s="294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  <c r="AT336" s="200"/>
    </row>
    <row r="337" spans="1:46" ht="16.5" customHeight="1">
      <c r="A337" s="316"/>
      <c r="B337" s="316"/>
      <c r="C337" s="331"/>
      <c r="D337" s="292"/>
      <c r="E337" s="292"/>
      <c r="F337" s="292"/>
      <c r="G337" s="293"/>
      <c r="H337" s="293"/>
      <c r="I337" s="296"/>
      <c r="J337" s="296"/>
      <c r="K337" s="331"/>
      <c r="L337" s="331"/>
      <c r="M337" s="331"/>
      <c r="N337" s="294"/>
      <c r="O337" s="294"/>
      <c r="P337" s="331"/>
      <c r="Q337" s="333"/>
      <c r="R337" s="333"/>
      <c r="S337" s="296"/>
      <c r="T337" s="333"/>
      <c r="U337" s="295"/>
      <c r="V337" s="295"/>
      <c r="W337" s="432"/>
      <c r="X337" s="296"/>
      <c r="Y337" s="296"/>
      <c r="Z337" s="296"/>
      <c r="AA337" s="294"/>
      <c r="AB337" s="294"/>
      <c r="AC337" s="294"/>
      <c r="AD337" s="294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200"/>
      <c r="AQ337" s="200"/>
      <c r="AR337" s="200"/>
      <c r="AS337" s="200"/>
      <c r="AT337" s="200"/>
    </row>
    <row r="338" spans="1:46" ht="16.5" customHeight="1">
      <c r="A338" s="316"/>
      <c r="B338" s="316"/>
      <c r="C338" s="331"/>
      <c r="D338" s="292"/>
      <c r="E338" s="292"/>
      <c r="F338" s="292"/>
      <c r="G338" s="293"/>
      <c r="H338" s="293"/>
      <c r="I338" s="296"/>
      <c r="J338" s="296"/>
      <c r="K338" s="331"/>
      <c r="L338" s="331"/>
      <c r="M338" s="331"/>
      <c r="N338" s="294"/>
      <c r="O338" s="294"/>
      <c r="P338" s="331"/>
      <c r="Q338" s="333"/>
      <c r="R338" s="333"/>
      <c r="S338" s="296"/>
      <c r="T338" s="333"/>
      <c r="U338" s="295"/>
      <c r="V338" s="295"/>
      <c r="W338" s="432"/>
      <c r="X338" s="296"/>
      <c r="Y338" s="296"/>
      <c r="Z338" s="296"/>
      <c r="AA338" s="294"/>
      <c r="AB338" s="294"/>
      <c r="AC338" s="294"/>
      <c r="AD338" s="294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  <c r="AT338" s="200"/>
    </row>
    <row r="339" spans="1:46" ht="16.5" customHeight="1">
      <c r="A339" s="316"/>
      <c r="B339" s="316"/>
      <c r="C339" s="331"/>
      <c r="D339" s="292"/>
      <c r="E339" s="292"/>
      <c r="F339" s="292"/>
      <c r="G339" s="293"/>
      <c r="H339" s="293"/>
      <c r="I339" s="296"/>
      <c r="J339" s="296"/>
      <c r="K339" s="331"/>
      <c r="L339" s="331"/>
      <c r="M339" s="331"/>
      <c r="N339" s="294"/>
      <c r="O339" s="294"/>
      <c r="P339" s="331"/>
      <c r="Q339" s="333"/>
      <c r="R339" s="333"/>
      <c r="S339" s="296"/>
      <c r="T339" s="333"/>
      <c r="U339" s="295"/>
      <c r="V339" s="295"/>
      <c r="W339" s="432"/>
      <c r="X339" s="296"/>
      <c r="Y339" s="296"/>
      <c r="Z339" s="296"/>
      <c r="AA339" s="294"/>
      <c r="AB339" s="294"/>
      <c r="AC339" s="294"/>
      <c r="AD339" s="294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200"/>
      <c r="AQ339" s="200"/>
      <c r="AR339" s="200"/>
      <c r="AS339" s="200"/>
      <c r="AT339" s="200"/>
    </row>
    <row r="340" spans="1:46" ht="16.5" customHeight="1">
      <c r="A340" s="316"/>
      <c r="B340" s="316"/>
      <c r="C340" s="331"/>
      <c r="D340" s="292"/>
      <c r="E340" s="292"/>
      <c r="F340" s="292"/>
      <c r="G340" s="293"/>
      <c r="H340" s="293"/>
      <c r="I340" s="296"/>
      <c r="J340" s="296"/>
      <c r="K340" s="331"/>
      <c r="L340" s="331"/>
      <c r="M340" s="331"/>
      <c r="N340" s="294"/>
      <c r="O340" s="294"/>
      <c r="P340" s="331"/>
      <c r="Q340" s="333"/>
      <c r="R340" s="333"/>
      <c r="S340" s="296"/>
      <c r="T340" s="333"/>
      <c r="U340" s="295"/>
      <c r="V340" s="295"/>
      <c r="W340" s="432"/>
      <c r="X340" s="296"/>
      <c r="Y340" s="296"/>
      <c r="Z340" s="296"/>
      <c r="AA340" s="294"/>
      <c r="AB340" s="294"/>
      <c r="AC340" s="294"/>
      <c r="AD340" s="294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200"/>
      <c r="AQ340" s="200"/>
      <c r="AR340" s="200"/>
      <c r="AS340" s="200"/>
      <c r="AT340" s="200"/>
    </row>
    <row r="341" spans="1:46" ht="16.5" customHeight="1">
      <c r="A341" s="316"/>
      <c r="B341" s="316"/>
      <c r="C341" s="331"/>
      <c r="D341" s="292"/>
      <c r="E341" s="292"/>
      <c r="F341" s="292"/>
      <c r="G341" s="293"/>
      <c r="H341" s="293"/>
      <c r="I341" s="296"/>
      <c r="J341" s="296"/>
      <c r="K341" s="331"/>
      <c r="L341" s="331"/>
      <c r="M341" s="331"/>
      <c r="N341" s="294"/>
      <c r="O341" s="294"/>
      <c r="P341" s="331"/>
      <c r="Q341" s="333"/>
      <c r="R341" s="333"/>
      <c r="S341" s="296"/>
      <c r="T341" s="333"/>
      <c r="U341" s="295"/>
      <c r="V341" s="295"/>
      <c r="W341" s="432"/>
      <c r="X341" s="296"/>
      <c r="Y341" s="296"/>
      <c r="Z341" s="296"/>
      <c r="AA341" s="294"/>
      <c r="AB341" s="294"/>
      <c r="AC341" s="294"/>
      <c r="AD341" s="294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  <c r="AT341" s="200"/>
    </row>
    <row r="342" spans="1:46" ht="16.5" customHeight="1">
      <c r="A342" s="270"/>
      <c r="B342" s="270"/>
      <c r="C342" s="293"/>
      <c r="D342" s="292"/>
      <c r="E342" s="292"/>
      <c r="F342" s="292"/>
      <c r="G342" s="346"/>
      <c r="H342" s="346"/>
      <c r="I342" s="296"/>
      <c r="J342" s="296"/>
      <c r="K342" s="331"/>
      <c r="L342" s="331"/>
      <c r="M342" s="331"/>
      <c r="N342" s="294"/>
      <c r="O342" s="294"/>
      <c r="P342" s="331"/>
      <c r="Q342" s="333"/>
      <c r="R342" s="333"/>
      <c r="S342" s="296"/>
      <c r="T342" s="333"/>
      <c r="U342" s="295"/>
      <c r="V342" s="295"/>
      <c r="W342" s="432"/>
      <c r="X342" s="296"/>
      <c r="Y342" s="296"/>
      <c r="Z342" s="296"/>
      <c r="AA342" s="294"/>
      <c r="AB342" s="294"/>
      <c r="AC342" s="294"/>
      <c r="AD342" s="294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200"/>
      <c r="AQ342" s="200"/>
      <c r="AR342" s="200"/>
      <c r="AS342" s="200"/>
      <c r="AT342" s="200"/>
    </row>
    <row r="343" spans="1:46" ht="16.5" customHeight="1">
      <c r="A343" s="316"/>
      <c r="B343" s="316"/>
      <c r="C343" s="331"/>
      <c r="D343" s="292"/>
      <c r="E343" s="292"/>
      <c r="F343" s="292"/>
      <c r="G343" s="293"/>
      <c r="H343" s="293"/>
      <c r="I343" s="296"/>
      <c r="J343" s="296"/>
      <c r="K343" s="331"/>
      <c r="L343" s="331"/>
      <c r="M343" s="331"/>
      <c r="N343" s="294"/>
      <c r="O343" s="294"/>
      <c r="P343" s="331"/>
      <c r="Q343" s="333"/>
      <c r="R343" s="333"/>
      <c r="S343" s="296"/>
      <c r="T343" s="333"/>
      <c r="U343" s="295"/>
      <c r="V343" s="295"/>
      <c r="W343" s="432"/>
      <c r="X343" s="296"/>
      <c r="Y343" s="296"/>
      <c r="Z343" s="296"/>
      <c r="AA343" s="294"/>
      <c r="AB343" s="294"/>
      <c r="AC343" s="294"/>
      <c r="AD343" s="294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200"/>
      <c r="AQ343" s="200"/>
      <c r="AR343" s="200"/>
      <c r="AS343" s="200"/>
      <c r="AT343" s="200"/>
    </row>
    <row r="344" spans="1:46" ht="16.5" customHeight="1">
      <c r="A344" s="216"/>
      <c r="B344" s="216"/>
      <c r="C344" s="293"/>
      <c r="D344" s="336"/>
      <c r="E344" s="336"/>
      <c r="F344" s="336"/>
      <c r="G344" s="293"/>
      <c r="H344" s="293"/>
      <c r="I344" s="296"/>
      <c r="J344" s="296"/>
      <c r="K344" s="291"/>
      <c r="L344" s="347"/>
      <c r="M344" s="347"/>
      <c r="N344" s="294"/>
      <c r="O344" s="294"/>
      <c r="P344" s="291"/>
      <c r="Q344" s="333"/>
      <c r="R344" s="333"/>
      <c r="S344" s="296"/>
      <c r="T344" s="333"/>
      <c r="U344" s="295"/>
      <c r="V344" s="295"/>
      <c r="W344" s="432"/>
      <c r="X344" s="45"/>
      <c r="Y344" s="45"/>
      <c r="Z344" s="349"/>
      <c r="AA344" s="294"/>
      <c r="AB344" s="294"/>
      <c r="AC344" s="294"/>
      <c r="AD344" s="294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200"/>
      <c r="AQ344" s="200"/>
      <c r="AR344" s="200"/>
      <c r="AS344" s="200"/>
      <c r="AT344" s="200"/>
    </row>
    <row r="345" spans="1:46" ht="16.5" customHeight="1">
      <c r="A345" s="316"/>
      <c r="B345" s="316"/>
      <c r="C345" s="331"/>
      <c r="D345" s="292"/>
      <c r="E345" s="292"/>
      <c r="F345" s="292"/>
      <c r="G345" s="293"/>
      <c r="H345" s="293"/>
      <c r="I345" s="296"/>
      <c r="J345" s="296"/>
      <c r="K345" s="331"/>
      <c r="L345" s="331"/>
      <c r="M345" s="331"/>
      <c r="N345" s="294"/>
      <c r="O345" s="294"/>
      <c r="P345" s="331"/>
      <c r="Q345" s="333"/>
      <c r="R345" s="333"/>
      <c r="S345" s="296"/>
      <c r="T345" s="333"/>
      <c r="U345" s="295"/>
      <c r="V345" s="295"/>
      <c r="W345" s="432"/>
      <c r="X345" s="296"/>
      <c r="Y345" s="296"/>
      <c r="Z345" s="296"/>
      <c r="AA345" s="294"/>
      <c r="AB345" s="294"/>
      <c r="AC345" s="294"/>
      <c r="AD345" s="294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200"/>
      <c r="AQ345" s="200"/>
      <c r="AR345" s="200"/>
      <c r="AS345" s="200"/>
      <c r="AT345" s="200"/>
    </row>
    <row r="346" spans="1:46" ht="16.5" customHeight="1">
      <c r="A346" s="316"/>
      <c r="B346" s="316"/>
      <c r="C346" s="331"/>
      <c r="D346" s="292"/>
      <c r="E346" s="292"/>
      <c r="F346" s="292"/>
      <c r="G346" s="293"/>
      <c r="H346" s="293"/>
      <c r="I346" s="296"/>
      <c r="J346" s="296"/>
      <c r="K346" s="331"/>
      <c r="L346" s="331"/>
      <c r="M346" s="331"/>
      <c r="N346" s="294"/>
      <c r="O346" s="294"/>
      <c r="P346" s="331"/>
      <c r="Q346" s="333"/>
      <c r="R346" s="333"/>
      <c r="S346" s="296"/>
      <c r="T346" s="333"/>
      <c r="U346" s="295"/>
      <c r="V346" s="295"/>
      <c r="W346" s="432"/>
      <c r="X346" s="296"/>
      <c r="Y346" s="296"/>
      <c r="Z346" s="296"/>
      <c r="AA346" s="294"/>
      <c r="AB346" s="294"/>
      <c r="AC346" s="294"/>
      <c r="AD346" s="294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200"/>
      <c r="AQ346" s="200"/>
      <c r="AR346" s="200"/>
      <c r="AS346" s="200"/>
      <c r="AT346" s="200"/>
    </row>
    <row r="347" spans="1:46" ht="16.5" customHeight="1">
      <c r="A347" s="316"/>
      <c r="B347" s="316"/>
      <c r="C347" s="331"/>
      <c r="D347" s="292"/>
      <c r="E347" s="292"/>
      <c r="F347" s="292"/>
      <c r="G347" s="293"/>
      <c r="H347" s="293"/>
      <c r="I347" s="296"/>
      <c r="J347" s="296"/>
      <c r="K347" s="331"/>
      <c r="L347" s="331"/>
      <c r="M347" s="331"/>
      <c r="N347" s="294"/>
      <c r="O347" s="294"/>
      <c r="P347" s="331"/>
      <c r="Q347" s="333"/>
      <c r="R347" s="333"/>
      <c r="S347" s="296"/>
      <c r="T347" s="333"/>
      <c r="U347" s="295"/>
      <c r="V347" s="295"/>
      <c r="W347" s="432"/>
      <c r="X347" s="296"/>
      <c r="Y347" s="296"/>
      <c r="Z347" s="296"/>
      <c r="AA347" s="294"/>
      <c r="AB347" s="294"/>
      <c r="AC347" s="294"/>
      <c r="AD347" s="294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  <c r="AT347" s="200"/>
    </row>
    <row r="348" spans="1:46" ht="16.5" customHeight="1">
      <c r="A348" s="316"/>
      <c r="B348" s="316"/>
      <c r="C348" s="331"/>
      <c r="D348" s="292"/>
      <c r="E348" s="292"/>
      <c r="F348" s="292"/>
      <c r="G348" s="293"/>
      <c r="H348" s="293"/>
      <c r="I348" s="296"/>
      <c r="J348" s="296"/>
      <c r="K348" s="331"/>
      <c r="L348" s="331"/>
      <c r="M348" s="331"/>
      <c r="N348" s="294"/>
      <c r="O348" s="294"/>
      <c r="P348" s="331"/>
      <c r="Q348" s="333"/>
      <c r="R348" s="333"/>
      <c r="S348" s="296"/>
      <c r="T348" s="333"/>
      <c r="U348" s="295"/>
      <c r="V348" s="295"/>
      <c r="W348" s="432"/>
      <c r="X348" s="296"/>
      <c r="Y348" s="296"/>
      <c r="Z348" s="296"/>
      <c r="AA348" s="294"/>
      <c r="AB348" s="294"/>
      <c r="AC348" s="294"/>
      <c r="AD348" s="294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200"/>
      <c r="AQ348" s="200"/>
      <c r="AR348" s="200"/>
      <c r="AS348" s="200"/>
      <c r="AT348" s="200"/>
    </row>
    <row r="349" spans="1:46" ht="16.5" customHeight="1">
      <c r="A349" s="316"/>
      <c r="B349" s="316"/>
      <c r="C349" s="331"/>
      <c r="D349" s="292"/>
      <c r="E349" s="292"/>
      <c r="F349" s="292"/>
      <c r="G349" s="293"/>
      <c r="H349" s="293"/>
      <c r="I349" s="296"/>
      <c r="J349" s="296"/>
      <c r="K349" s="331"/>
      <c r="L349" s="331"/>
      <c r="M349" s="331"/>
      <c r="N349" s="294"/>
      <c r="O349" s="294"/>
      <c r="P349" s="331"/>
      <c r="Q349" s="333"/>
      <c r="R349" s="333"/>
      <c r="S349" s="296"/>
      <c r="T349" s="333"/>
      <c r="U349" s="295"/>
      <c r="V349" s="295"/>
      <c r="W349" s="432"/>
      <c r="X349" s="296"/>
      <c r="Y349" s="296"/>
      <c r="Z349" s="296"/>
      <c r="AA349" s="294"/>
      <c r="AB349" s="294"/>
      <c r="AC349" s="294"/>
      <c r="AD349" s="294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200"/>
      <c r="AQ349" s="200"/>
      <c r="AR349" s="200"/>
      <c r="AS349" s="200"/>
      <c r="AT349" s="200"/>
    </row>
    <row r="350" spans="1:46" ht="16.5" customHeight="1">
      <c r="A350" s="307"/>
      <c r="B350" s="307"/>
      <c r="C350" s="291"/>
      <c r="D350" s="291"/>
      <c r="E350" s="291"/>
      <c r="F350" s="291"/>
      <c r="G350" s="293"/>
      <c r="H350" s="293"/>
      <c r="I350" s="296"/>
      <c r="J350" s="296"/>
      <c r="K350" s="291"/>
      <c r="L350" s="291"/>
      <c r="M350" s="291"/>
      <c r="N350" s="294"/>
      <c r="O350" s="294"/>
      <c r="P350" s="291"/>
      <c r="Q350" s="350"/>
      <c r="R350" s="350"/>
      <c r="S350" s="296"/>
      <c r="T350" s="350"/>
      <c r="U350" s="295"/>
      <c r="V350" s="295"/>
      <c r="W350" s="422"/>
      <c r="X350" s="351"/>
      <c r="Y350" s="351"/>
      <c r="Z350" s="351"/>
      <c r="AA350" s="294"/>
      <c r="AB350" s="294"/>
      <c r="AC350" s="294"/>
      <c r="AD350" s="298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</row>
    <row r="351" spans="1:46" ht="16.5" customHeight="1">
      <c r="A351" s="216"/>
      <c r="B351" s="216"/>
      <c r="C351" s="217"/>
      <c r="D351" s="176"/>
      <c r="E351" s="176"/>
      <c r="F351" s="176"/>
      <c r="G351" s="162"/>
      <c r="H351" s="162"/>
      <c r="I351" s="218"/>
      <c r="J351" s="218"/>
      <c r="K351" s="219"/>
      <c r="L351" s="219"/>
      <c r="M351" s="219"/>
      <c r="N351" s="45"/>
      <c r="O351" s="45"/>
      <c r="P351" s="217"/>
      <c r="Q351" s="220"/>
      <c r="R351" s="220"/>
      <c r="S351" s="218"/>
      <c r="T351" s="220"/>
      <c r="U351" s="221"/>
      <c r="V351" s="213"/>
      <c r="W351" s="430"/>
      <c r="X351" s="218"/>
      <c r="Y351" s="218"/>
      <c r="Z351" s="218"/>
      <c r="AA351" s="219"/>
      <c r="AB351" s="219"/>
      <c r="AC351" s="219"/>
      <c r="AD351" s="45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200"/>
      <c r="AQ351" s="200"/>
      <c r="AR351" s="200"/>
      <c r="AS351" s="200"/>
      <c r="AT351" s="200"/>
    </row>
    <row r="352" spans="1:46" ht="16.5" customHeight="1">
      <c r="A352" s="212"/>
      <c r="B352" s="212"/>
      <c r="C352" s="217"/>
      <c r="D352" s="176"/>
      <c r="E352" s="176"/>
      <c r="F352" s="176"/>
      <c r="G352" s="162"/>
      <c r="H352" s="162"/>
      <c r="I352" s="218"/>
      <c r="J352" s="218"/>
      <c r="K352" s="219"/>
      <c r="L352" s="219"/>
      <c r="M352" s="219"/>
      <c r="N352" s="45"/>
      <c r="O352" s="45"/>
      <c r="P352" s="217"/>
      <c r="Q352" s="352"/>
      <c r="R352" s="352"/>
      <c r="S352" s="218"/>
      <c r="T352" s="220"/>
      <c r="U352" s="221"/>
      <c r="V352" s="353"/>
      <c r="W352" s="430"/>
      <c r="X352" s="218"/>
      <c r="Y352" s="218"/>
      <c r="Z352" s="200"/>
      <c r="AA352" s="219"/>
      <c r="AB352" s="219"/>
      <c r="AC352" s="219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200"/>
      <c r="AQ352" s="200"/>
      <c r="AR352" s="200"/>
      <c r="AS352" s="200"/>
      <c r="AT352" s="200"/>
    </row>
    <row r="353" spans="1:46" ht="16.5" customHeight="1">
      <c r="A353" s="307"/>
      <c r="B353" s="307"/>
      <c r="C353" s="217"/>
      <c r="D353" s="176"/>
      <c r="E353" s="176"/>
      <c r="F353" s="176"/>
      <c r="G353" s="162"/>
      <c r="H353" s="162"/>
      <c r="I353" s="218"/>
      <c r="J353" s="218"/>
      <c r="K353" s="219"/>
      <c r="L353" s="219"/>
      <c r="M353" s="219"/>
      <c r="N353" s="45"/>
      <c r="O353" s="45"/>
      <c r="P353" s="217"/>
      <c r="Q353" s="352"/>
      <c r="R353" s="352"/>
      <c r="S353" s="218"/>
      <c r="T353" s="220"/>
      <c r="U353" s="221"/>
      <c r="V353" s="353"/>
      <c r="W353" s="430"/>
      <c r="X353" s="218"/>
      <c r="Y353" s="218"/>
      <c r="Z353" s="200"/>
      <c r="AA353" s="354"/>
      <c r="AB353" s="200"/>
      <c r="AC353" s="354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200"/>
      <c r="AQ353" s="200"/>
      <c r="AR353" s="200"/>
      <c r="AS353" s="200"/>
      <c r="AT353" s="200"/>
    </row>
    <row r="354" spans="1:46" ht="16.5" customHeight="1">
      <c r="A354" s="307"/>
      <c r="B354" s="307"/>
      <c r="C354" s="217"/>
      <c r="D354" s="176"/>
      <c r="E354" s="176"/>
      <c r="F354" s="176"/>
      <c r="G354" s="162"/>
      <c r="H354" s="162"/>
      <c r="I354" s="218"/>
      <c r="J354" s="218"/>
      <c r="K354" s="219"/>
      <c r="L354" s="219"/>
      <c r="M354" s="219"/>
      <c r="N354" s="45"/>
      <c r="O354" s="45"/>
      <c r="P354" s="217"/>
      <c r="Q354" s="352"/>
      <c r="R354" s="352"/>
      <c r="S354" s="218"/>
      <c r="T354" s="220"/>
      <c r="U354" s="221"/>
      <c r="V354" s="353"/>
      <c r="W354" s="430"/>
      <c r="X354" s="218"/>
      <c r="Y354" s="218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  <c r="AT354" s="200"/>
    </row>
    <row r="355" spans="1:46" ht="16.5" customHeight="1">
      <c r="A355" s="307"/>
      <c r="B355" s="307"/>
      <c r="C355" s="355"/>
      <c r="D355" s="356"/>
      <c r="E355" s="356"/>
      <c r="F355" s="356"/>
      <c r="G355" s="357"/>
      <c r="H355" s="357"/>
      <c r="I355" s="200"/>
      <c r="J355" s="200"/>
      <c r="K355" s="355"/>
      <c r="L355" s="355"/>
      <c r="M355" s="355"/>
      <c r="N355" s="200"/>
      <c r="O355" s="200"/>
      <c r="P355" s="355"/>
      <c r="Q355" s="352"/>
      <c r="R355" s="352"/>
      <c r="S355" s="200"/>
      <c r="T355" s="352"/>
      <c r="U355" s="353"/>
      <c r="V355" s="353"/>
      <c r="W355" s="432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200"/>
      <c r="AQ355" s="200"/>
      <c r="AR355" s="200"/>
      <c r="AS355" s="200"/>
      <c r="AT355" s="200"/>
    </row>
    <row r="356" spans="1:46" ht="16.5" customHeight="1">
      <c r="A356" s="307"/>
      <c r="B356" s="307"/>
      <c r="C356" s="355"/>
      <c r="D356" s="356"/>
      <c r="E356" s="356"/>
      <c r="F356" s="356"/>
      <c r="G356" s="357"/>
      <c r="H356" s="357"/>
      <c r="I356" s="200"/>
      <c r="J356" s="200"/>
      <c r="K356" s="355"/>
      <c r="L356" s="355"/>
      <c r="M356" s="355"/>
      <c r="N356" s="200"/>
      <c r="O356" s="200"/>
      <c r="P356" s="355"/>
      <c r="Q356" s="352"/>
      <c r="R356" s="352"/>
      <c r="S356" s="200"/>
      <c r="T356" s="352"/>
      <c r="U356" s="353"/>
      <c r="V356" s="353"/>
      <c r="W356" s="432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  <c r="AT356" s="200"/>
    </row>
    <row r="357" spans="1:46" ht="16.5" customHeight="1">
      <c r="A357" s="307"/>
      <c r="B357" s="307"/>
      <c r="C357" s="355"/>
      <c r="D357" s="356"/>
      <c r="E357" s="356"/>
      <c r="F357" s="356"/>
      <c r="G357" s="357"/>
      <c r="H357" s="357"/>
      <c r="I357" s="200"/>
      <c r="J357" s="200"/>
      <c r="K357" s="355"/>
      <c r="L357" s="355"/>
      <c r="M357" s="355"/>
      <c r="N357" s="200"/>
      <c r="O357" s="200"/>
      <c r="P357" s="355"/>
      <c r="Q357" s="352"/>
      <c r="R357" s="352"/>
      <c r="S357" s="200"/>
      <c r="T357" s="352"/>
      <c r="U357" s="353"/>
      <c r="V357" s="353"/>
      <c r="W357" s="432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200"/>
      <c r="AQ357" s="200"/>
      <c r="AR357" s="200"/>
      <c r="AS357" s="200"/>
      <c r="AT357" s="200"/>
    </row>
    <row r="358" spans="1:46" ht="16.5" customHeight="1">
      <c r="A358" s="307"/>
      <c r="B358" s="307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353"/>
      <c r="R358" s="353"/>
      <c r="S358" s="200"/>
      <c r="T358" s="353"/>
      <c r="U358" s="353"/>
      <c r="V358" s="353"/>
      <c r="W358" s="432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200"/>
      <c r="AQ358" s="200"/>
      <c r="AR358" s="200"/>
      <c r="AS358" s="200"/>
      <c r="AT358" s="200"/>
    </row>
    <row r="359" spans="1:46" ht="16.5" customHeight="1">
      <c r="A359" s="195"/>
      <c r="B359" s="195"/>
      <c r="C359" s="217"/>
      <c r="D359" s="176"/>
      <c r="E359" s="176"/>
      <c r="F359" s="176"/>
      <c r="G359" s="162"/>
      <c r="H359" s="162"/>
      <c r="I359" s="218"/>
      <c r="J359" s="218"/>
      <c r="K359" s="219"/>
      <c r="L359" s="33"/>
      <c r="M359" s="33"/>
      <c r="N359" s="45"/>
      <c r="O359" s="45"/>
      <c r="P359" s="217"/>
      <c r="Q359" s="220"/>
      <c r="R359" s="220"/>
      <c r="S359" s="218"/>
      <c r="T359" s="220"/>
      <c r="U359" s="221"/>
      <c r="V359" s="213"/>
      <c r="W359" s="430"/>
      <c r="X359" s="218"/>
      <c r="Y359" s="218"/>
      <c r="Z359" s="218"/>
      <c r="AA359" s="219"/>
      <c r="AB359" s="219"/>
      <c r="AC359" s="219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200"/>
      <c r="AQ359" s="200"/>
      <c r="AR359" s="200"/>
      <c r="AS359" s="200"/>
      <c r="AT359" s="200"/>
    </row>
    <row r="360" spans="1:46" ht="16.5" customHeight="1">
      <c r="A360" s="195"/>
      <c r="B360" s="195"/>
      <c r="C360" s="217"/>
      <c r="D360" s="176"/>
      <c r="E360" s="176"/>
      <c r="F360" s="176"/>
      <c r="G360" s="162"/>
      <c r="H360" s="162"/>
      <c r="I360" s="219"/>
      <c r="J360" s="219"/>
      <c r="K360" s="219"/>
      <c r="L360" s="33"/>
      <c r="M360" s="33"/>
      <c r="N360" s="45"/>
      <c r="O360" s="45"/>
      <c r="P360" s="217"/>
      <c r="Q360" s="352"/>
      <c r="R360" s="352"/>
      <c r="S360" s="219"/>
      <c r="T360" s="220"/>
      <c r="U360" s="221"/>
      <c r="V360" s="213"/>
      <c r="W360" s="430"/>
      <c r="X360" s="218"/>
      <c r="Y360" s="218"/>
      <c r="Z360" s="200"/>
      <c r="AA360" s="219"/>
      <c r="AB360" s="219"/>
      <c r="AC360" s="219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200"/>
      <c r="AQ360" s="200"/>
      <c r="AR360" s="200"/>
      <c r="AS360" s="200"/>
      <c r="AT360" s="200"/>
    </row>
    <row r="361" spans="1:46" ht="16.5" customHeight="1">
      <c r="A361" s="307"/>
      <c r="B361" s="307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353"/>
      <c r="R361" s="353"/>
      <c r="S361" s="200"/>
      <c r="T361" s="353"/>
      <c r="U361" s="353"/>
      <c r="V361" s="353"/>
      <c r="W361" s="432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200"/>
      <c r="AQ361" s="200"/>
      <c r="AR361" s="200"/>
      <c r="AS361" s="200"/>
      <c r="AT361" s="200"/>
    </row>
    <row r="362" spans="1:46" ht="16.5" customHeight="1">
      <c r="A362" s="307"/>
      <c r="B362" s="307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353"/>
      <c r="R362" s="353"/>
      <c r="S362" s="200"/>
      <c r="T362" s="353"/>
      <c r="U362" s="353"/>
      <c r="V362" s="353"/>
      <c r="W362" s="432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</row>
    <row r="363" spans="1:46" ht="16.5" customHeight="1">
      <c r="A363" s="307"/>
      <c r="B363" s="307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353"/>
      <c r="R363" s="353"/>
      <c r="S363" s="200"/>
      <c r="T363" s="353"/>
      <c r="U363" s="353"/>
      <c r="V363" s="353"/>
      <c r="W363" s="432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200"/>
      <c r="AQ363" s="200"/>
      <c r="AR363" s="200"/>
      <c r="AS363" s="200"/>
      <c r="AT363" s="200"/>
    </row>
    <row r="364" spans="1:46" ht="16.5" customHeight="1">
      <c r="A364" s="307"/>
      <c r="B364" s="307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353"/>
      <c r="R364" s="353"/>
      <c r="S364" s="200"/>
      <c r="T364" s="353"/>
      <c r="U364" s="353"/>
      <c r="V364" s="353"/>
      <c r="W364" s="432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200"/>
      <c r="AQ364" s="200"/>
      <c r="AR364" s="200"/>
      <c r="AS364" s="200"/>
      <c r="AT364" s="200"/>
    </row>
    <row r="365" spans="1:46" ht="16.5" customHeight="1">
      <c r="A365" s="270"/>
      <c r="B365" s="270"/>
      <c r="C365" s="291"/>
      <c r="D365" s="347"/>
      <c r="E365" s="347"/>
      <c r="F365" s="347"/>
      <c r="G365" s="346"/>
      <c r="H365" s="346"/>
      <c r="I365" s="296"/>
      <c r="J365" s="296"/>
      <c r="K365" s="291"/>
      <c r="L365" s="291"/>
      <c r="M365" s="291"/>
      <c r="N365" s="298"/>
      <c r="O365" s="298"/>
      <c r="P365" s="291"/>
      <c r="Q365" s="350"/>
      <c r="R365" s="350"/>
      <c r="S365" s="296"/>
      <c r="T365" s="350"/>
      <c r="U365" s="295"/>
      <c r="V365" s="295"/>
      <c r="W365" s="422"/>
      <c r="X365" s="351"/>
      <c r="Y365" s="351"/>
      <c r="Z365" s="351"/>
      <c r="AA365" s="294"/>
      <c r="AB365" s="298"/>
      <c r="AC365" s="294"/>
      <c r="AD365" s="298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200"/>
      <c r="AQ365" s="200"/>
      <c r="AR365" s="200"/>
      <c r="AS365" s="200"/>
      <c r="AT365" s="200"/>
    </row>
    <row r="366" spans="1:46" ht="16.5" customHeight="1">
      <c r="A366" s="307"/>
      <c r="B366" s="307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353"/>
      <c r="R366" s="353"/>
      <c r="S366" s="200"/>
      <c r="T366" s="353"/>
      <c r="U366" s="353"/>
      <c r="V366" s="353"/>
      <c r="W366" s="432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200"/>
      <c r="AQ366" s="200"/>
      <c r="AR366" s="200"/>
      <c r="AS366" s="200"/>
      <c r="AT366" s="200"/>
    </row>
    <row r="367" spans="1:46" ht="16.5" customHeight="1">
      <c r="A367" s="307"/>
      <c r="B367" s="307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353"/>
      <c r="R367" s="353"/>
      <c r="S367" s="200"/>
      <c r="T367" s="353"/>
      <c r="U367" s="353"/>
      <c r="V367" s="353"/>
      <c r="W367" s="432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200"/>
      <c r="AQ367" s="200"/>
      <c r="AR367" s="200"/>
      <c r="AS367" s="200"/>
      <c r="AT367" s="200"/>
    </row>
    <row r="368" spans="1:46" ht="16.5" customHeight="1">
      <c r="A368" s="307"/>
      <c r="B368" s="307"/>
      <c r="C368" s="355"/>
      <c r="D368" s="360"/>
      <c r="E368" s="360"/>
      <c r="F368" s="360"/>
      <c r="G368" s="200"/>
      <c r="H368" s="200"/>
      <c r="I368" s="217"/>
      <c r="J368" s="217"/>
      <c r="K368" s="355"/>
      <c r="L368" s="200"/>
      <c r="M368" s="200"/>
      <c r="N368" s="200"/>
      <c r="O368" s="200"/>
      <c r="P368" s="355"/>
      <c r="Q368" s="353"/>
      <c r="R368" s="353"/>
      <c r="S368" s="217"/>
      <c r="T368" s="353"/>
      <c r="U368" s="361"/>
      <c r="V368" s="353"/>
      <c r="W368" s="432"/>
      <c r="X368" s="200"/>
      <c r="Y368" s="200"/>
      <c r="Z368" s="200"/>
      <c r="AA368" s="200"/>
      <c r="AB368" s="355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200"/>
      <c r="AQ368" s="200"/>
      <c r="AR368" s="200"/>
      <c r="AS368" s="200"/>
      <c r="AT368" s="200"/>
    </row>
    <row r="369" spans="1:46" ht="16.5" customHeight="1">
      <c r="A369" s="307"/>
      <c r="B369" s="307"/>
      <c r="C369" s="355"/>
      <c r="D369" s="176"/>
      <c r="E369" s="176"/>
      <c r="F369" s="176"/>
      <c r="G369" s="355"/>
      <c r="H369" s="355"/>
      <c r="I369" s="200"/>
      <c r="J369" s="200"/>
      <c r="K369" s="355"/>
      <c r="L369" s="200"/>
      <c r="M369" s="200"/>
      <c r="N369" s="200"/>
      <c r="O369" s="200"/>
      <c r="P369" s="355"/>
      <c r="Q369" s="353"/>
      <c r="R369" s="353"/>
      <c r="S369" s="200"/>
      <c r="T369" s="353"/>
      <c r="U369" s="361"/>
      <c r="V369" s="353"/>
      <c r="W369" s="432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200"/>
      <c r="AQ369" s="200"/>
      <c r="AR369" s="200"/>
      <c r="AS369" s="200"/>
      <c r="AT369" s="200"/>
    </row>
    <row r="370" spans="1:46" ht="16.5" customHeight="1">
      <c r="A370" s="307"/>
      <c r="B370" s="307"/>
      <c r="C370" s="200"/>
      <c r="D370" s="360"/>
      <c r="E370" s="360"/>
      <c r="F370" s="360"/>
      <c r="G370" s="200"/>
      <c r="H370" s="200"/>
      <c r="I370" s="200"/>
      <c r="J370" s="200"/>
      <c r="K370" s="355"/>
      <c r="L370" s="200"/>
      <c r="M370" s="200"/>
      <c r="N370" s="200"/>
      <c r="O370" s="200"/>
      <c r="P370" s="355"/>
      <c r="Q370" s="353"/>
      <c r="R370" s="353"/>
      <c r="S370" s="200"/>
      <c r="T370" s="353"/>
      <c r="U370" s="361"/>
      <c r="V370" s="353"/>
      <c r="W370" s="432"/>
      <c r="X370" s="200"/>
      <c r="Y370" s="200"/>
      <c r="Z370" s="200"/>
      <c r="AA370" s="200"/>
      <c r="AB370" s="45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200"/>
      <c r="AQ370" s="200"/>
      <c r="AR370" s="200"/>
      <c r="AS370" s="200"/>
      <c r="AT370" s="200"/>
    </row>
    <row r="371" spans="1:46" ht="16.5" customHeight="1">
      <c r="A371" s="307"/>
      <c r="B371" s="307"/>
      <c r="C371" s="200"/>
      <c r="D371" s="360"/>
      <c r="E371" s="360"/>
      <c r="F371" s="360"/>
      <c r="G371" s="200"/>
      <c r="H371" s="200"/>
      <c r="I371" s="355"/>
      <c r="J371" s="355"/>
      <c r="K371" s="355"/>
      <c r="L371" s="360"/>
      <c r="M371" s="360"/>
      <c r="N371" s="200"/>
      <c r="O371" s="200"/>
      <c r="P371" s="355"/>
      <c r="Q371" s="352"/>
      <c r="R371" s="352"/>
      <c r="S371" s="355"/>
      <c r="T371" s="352"/>
      <c r="U371" s="362"/>
      <c r="V371" s="353"/>
      <c r="W371" s="432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200"/>
      <c r="AQ371" s="200"/>
      <c r="AR371" s="200"/>
      <c r="AS371" s="200"/>
      <c r="AT371" s="200"/>
    </row>
    <row r="372" spans="1:46" ht="16.5" customHeight="1">
      <c r="A372" s="307"/>
      <c r="B372" s="307"/>
      <c r="C372" s="200"/>
      <c r="D372" s="363"/>
      <c r="E372" s="363"/>
      <c r="F372" s="363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353"/>
      <c r="R372" s="353"/>
      <c r="S372" s="200"/>
      <c r="T372" s="353"/>
      <c r="U372" s="353"/>
      <c r="V372" s="353"/>
      <c r="W372" s="432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200"/>
      <c r="AQ372" s="200"/>
      <c r="AR372" s="200"/>
      <c r="AS372" s="200"/>
      <c r="AT372" s="200"/>
    </row>
    <row r="373" spans="1:46" ht="16.5" customHeight="1">
      <c r="A373" s="212"/>
      <c r="B373" s="212"/>
      <c r="C373" s="357"/>
      <c r="D373" s="356"/>
      <c r="E373" s="356"/>
      <c r="F373" s="356"/>
      <c r="G373" s="357"/>
      <c r="H373" s="357"/>
      <c r="I373" s="200"/>
      <c r="J373" s="200"/>
      <c r="K373" s="217"/>
      <c r="L373" s="360"/>
      <c r="M373" s="360"/>
      <c r="N373" s="200"/>
      <c r="O373" s="200"/>
      <c r="P373" s="355"/>
      <c r="Q373" s="353"/>
      <c r="R373" s="353"/>
      <c r="S373" s="200"/>
      <c r="T373" s="353"/>
      <c r="U373" s="353"/>
      <c r="V373" s="353"/>
      <c r="W373" s="432"/>
      <c r="X373" s="200"/>
      <c r="Y373" s="200"/>
      <c r="Z373" s="200"/>
      <c r="AA373" s="354"/>
      <c r="AB373" s="200"/>
      <c r="AC373" s="354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200"/>
      <c r="AQ373" s="200"/>
      <c r="AR373" s="200"/>
      <c r="AS373" s="200"/>
      <c r="AT373" s="200"/>
    </row>
    <row r="374" spans="1:46" ht="16.5" customHeight="1">
      <c r="A374" s="307"/>
      <c r="B374" s="307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353"/>
      <c r="R374" s="353"/>
      <c r="S374" s="200"/>
      <c r="T374" s="353"/>
      <c r="U374" s="353"/>
      <c r="V374" s="353"/>
      <c r="W374" s="432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200"/>
      <c r="AQ374" s="200"/>
      <c r="AR374" s="200"/>
      <c r="AS374" s="200"/>
      <c r="AT374" s="200"/>
    </row>
    <row r="375" spans="1:46" ht="16.5" customHeight="1">
      <c r="A375" s="212"/>
      <c r="B375" s="212"/>
      <c r="C375" s="45"/>
      <c r="D375" s="364"/>
      <c r="E375" s="364"/>
      <c r="F375" s="364"/>
      <c r="G375" s="355"/>
      <c r="H375" s="355"/>
      <c r="I375" s="200"/>
      <c r="J375" s="200"/>
      <c r="K375" s="217"/>
      <c r="L375" s="363"/>
      <c r="M375" s="363"/>
      <c r="N375" s="200"/>
      <c r="O375" s="200"/>
      <c r="P375" s="355"/>
      <c r="Q375" s="353"/>
      <c r="R375" s="353"/>
      <c r="S375" s="200"/>
      <c r="T375" s="353"/>
      <c r="U375" s="353"/>
      <c r="V375" s="353"/>
      <c r="W375" s="432"/>
      <c r="X375" s="200"/>
      <c r="Y375" s="200"/>
      <c r="Z375" s="200"/>
      <c r="AA375" s="354"/>
      <c r="AB375" s="355"/>
      <c r="AC375" s="354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200"/>
      <c r="AQ375" s="200"/>
      <c r="AR375" s="200"/>
      <c r="AS375" s="200"/>
      <c r="AT375" s="200"/>
    </row>
    <row r="376" spans="1:46" ht="16.5" customHeight="1">
      <c r="A376" s="212"/>
      <c r="B376" s="212"/>
      <c r="C376" s="200"/>
      <c r="D376" s="200"/>
      <c r="E376" s="200"/>
      <c r="F376" s="200"/>
      <c r="G376" s="355"/>
      <c r="H376" s="355"/>
      <c r="I376" s="355"/>
      <c r="J376" s="355"/>
      <c r="K376" s="355"/>
      <c r="L376" s="200"/>
      <c r="M376" s="200"/>
      <c r="N376" s="200"/>
      <c r="O376" s="200"/>
      <c r="P376" s="355"/>
      <c r="Q376" s="353"/>
      <c r="R376" s="353"/>
      <c r="S376" s="355"/>
      <c r="T376" s="353"/>
      <c r="U376" s="353"/>
      <c r="V376" s="353"/>
      <c r="W376" s="432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200"/>
      <c r="AQ376" s="200"/>
      <c r="AR376" s="200"/>
      <c r="AS376" s="200"/>
      <c r="AT376" s="200"/>
    </row>
    <row r="377" spans="1:46" ht="16.5" customHeight="1">
      <c r="A377" s="212"/>
      <c r="B377" s="212"/>
      <c r="C377" s="200"/>
      <c r="D377" s="200"/>
      <c r="E377" s="200"/>
      <c r="F377" s="200"/>
      <c r="G377" s="355"/>
      <c r="H377" s="355"/>
      <c r="I377" s="200"/>
      <c r="J377" s="200"/>
      <c r="K377" s="355"/>
      <c r="L377" s="200"/>
      <c r="M377" s="200"/>
      <c r="N377" s="200"/>
      <c r="O377" s="200"/>
      <c r="P377" s="200"/>
      <c r="Q377" s="353"/>
      <c r="R377" s="353"/>
      <c r="S377" s="200"/>
      <c r="T377" s="353"/>
      <c r="U377" s="353"/>
      <c r="V377" s="353"/>
      <c r="W377" s="432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200"/>
      <c r="AQ377" s="200"/>
      <c r="AR377" s="200"/>
      <c r="AS377" s="200"/>
      <c r="AT377" s="200"/>
    </row>
    <row r="378" spans="1:46" ht="16.5" customHeight="1">
      <c r="A378" s="307"/>
      <c r="B378" s="307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353"/>
      <c r="R378" s="353"/>
      <c r="S378" s="200"/>
      <c r="T378" s="353"/>
      <c r="U378" s="353"/>
      <c r="V378" s="353"/>
      <c r="W378" s="432"/>
      <c r="X378" s="365"/>
      <c r="Y378" s="365"/>
      <c r="Z378" s="365"/>
      <c r="AA378" s="45"/>
      <c r="AB378" s="200"/>
      <c r="AC378" s="45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200"/>
      <c r="AQ378" s="200"/>
      <c r="AR378" s="200"/>
      <c r="AS378" s="200"/>
      <c r="AT378" s="200"/>
    </row>
    <row r="379" spans="1:46" ht="16.5" customHeight="1">
      <c r="A379" s="307"/>
      <c r="B379" s="307"/>
      <c r="C379" s="200"/>
      <c r="D379" s="200"/>
      <c r="E379" s="200"/>
      <c r="F379" s="200"/>
      <c r="G379" s="357"/>
      <c r="H379" s="357"/>
      <c r="I379" s="200"/>
      <c r="J379" s="200"/>
      <c r="K379" s="200"/>
      <c r="L379" s="200"/>
      <c r="M379" s="200"/>
      <c r="N379" s="200"/>
      <c r="O379" s="200"/>
      <c r="P379" s="200"/>
      <c r="Q379" s="353"/>
      <c r="R379" s="353"/>
      <c r="S379" s="200"/>
      <c r="T379" s="353"/>
      <c r="U379" s="353"/>
      <c r="V379" s="353"/>
      <c r="W379" s="432"/>
      <c r="X379" s="200"/>
      <c r="Y379" s="200"/>
      <c r="Z379" s="200"/>
      <c r="AA379" s="354"/>
      <c r="AB379" s="200"/>
      <c r="AC379" s="354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200"/>
      <c r="AQ379" s="200"/>
      <c r="AR379" s="200"/>
      <c r="AS379" s="200"/>
      <c r="AT379" s="200"/>
    </row>
    <row r="380" spans="1:46" ht="16.5" customHeight="1">
      <c r="A380" s="307"/>
      <c r="B380" s="307"/>
      <c r="C380" s="355"/>
      <c r="D380" s="360"/>
      <c r="E380" s="360"/>
      <c r="F380" s="360"/>
      <c r="G380" s="200"/>
      <c r="H380" s="200"/>
      <c r="I380" s="200"/>
      <c r="J380" s="200"/>
      <c r="K380" s="355"/>
      <c r="L380" s="200"/>
      <c r="M380" s="200"/>
      <c r="N380" s="200"/>
      <c r="O380" s="200"/>
      <c r="P380" s="355"/>
      <c r="Q380" s="353"/>
      <c r="R380" s="353"/>
      <c r="S380" s="200"/>
      <c r="T380" s="353"/>
      <c r="U380" s="353"/>
      <c r="V380" s="353"/>
      <c r="W380" s="432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200"/>
      <c r="AQ380" s="200"/>
      <c r="AR380" s="200"/>
      <c r="AS380" s="200"/>
      <c r="AT380" s="200"/>
    </row>
    <row r="381" spans="1:46" ht="16.5" customHeight="1">
      <c r="A381" s="307"/>
      <c r="B381" s="307"/>
      <c r="C381" s="355"/>
      <c r="D381" s="360"/>
      <c r="E381" s="360"/>
      <c r="F381" s="360"/>
      <c r="G381" s="200"/>
      <c r="H381" s="200"/>
      <c r="I381" s="200"/>
      <c r="J381" s="200"/>
      <c r="K381" s="355"/>
      <c r="L381" s="200"/>
      <c r="M381" s="200"/>
      <c r="N381" s="200"/>
      <c r="O381" s="200"/>
      <c r="P381" s="355"/>
      <c r="Q381" s="353"/>
      <c r="R381" s="353"/>
      <c r="S381" s="200"/>
      <c r="T381" s="353"/>
      <c r="U381" s="353"/>
      <c r="V381" s="353"/>
      <c r="W381" s="432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  <c r="AT381" s="200"/>
    </row>
    <row r="382" spans="1:46" ht="16.5" customHeight="1">
      <c r="A382" s="307"/>
      <c r="B382" s="307"/>
      <c r="C382" s="355"/>
      <c r="D382" s="360"/>
      <c r="E382" s="360"/>
      <c r="F382" s="360"/>
      <c r="G382" s="200"/>
      <c r="H382" s="200"/>
      <c r="I382" s="200"/>
      <c r="J382" s="200"/>
      <c r="K382" s="355"/>
      <c r="L382" s="200"/>
      <c r="M382" s="200"/>
      <c r="N382" s="360"/>
      <c r="O382" s="360"/>
      <c r="P382" s="355"/>
      <c r="Q382" s="353"/>
      <c r="R382" s="353"/>
      <c r="S382" s="200"/>
      <c r="T382" s="353"/>
      <c r="U382" s="353"/>
      <c r="V382" s="353"/>
      <c r="W382" s="432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  <c r="AT382" s="200"/>
    </row>
    <row r="383" spans="1:46" ht="16.5" customHeight="1">
      <c r="A383" s="307"/>
      <c r="B383" s="307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355"/>
      <c r="Q383" s="353"/>
      <c r="R383" s="353"/>
      <c r="S383" s="200"/>
      <c r="T383" s="353"/>
      <c r="U383" s="353"/>
      <c r="V383" s="353"/>
      <c r="W383" s="432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200"/>
      <c r="AQ383" s="200"/>
      <c r="AR383" s="200"/>
      <c r="AS383" s="200"/>
      <c r="AT383" s="200"/>
    </row>
    <row r="384" spans="1:46" ht="16.5" customHeight="1">
      <c r="A384" s="212"/>
      <c r="B384" s="212"/>
      <c r="C384" s="357"/>
      <c r="D384" s="356"/>
      <c r="E384" s="356"/>
      <c r="F384" s="356"/>
      <c r="G384" s="357"/>
      <c r="H384" s="357"/>
      <c r="I384" s="200"/>
      <c r="J384" s="200"/>
      <c r="K384" s="217"/>
      <c r="L384" s="360"/>
      <c r="M384" s="360"/>
      <c r="N384" s="200"/>
      <c r="O384" s="200"/>
      <c r="P384" s="355"/>
      <c r="Q384" s="353"/>
      <c r="R384" s="353"/>
      <c r="S384" s="200"/>
      <c r="T384" s="353"/>
      <c r="U384" s="353"/>
      <c r="V384" s="353"/>
      <c r="W384" s="432"/>
      <c r="X384" s="200"/>
      <c r="Y384" s="200"/>
      <c r="Z384" s="200"/>
      <c r="AA384" s="354"/>
      <c r="AB384" s="200"/>
      <c r="AC384" s="354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200"/>
      <c r="AQ384" s="200"/>
      <c r="AR384" s="200"/>
      <c r="AS384" s="200"/>
      <c r="AT384" s="200"/>
    </row>
    <row r="385" spans="1:46" ht="16.5" customHeight="1">
      <c r="A385" s="307"/>
      <c r="B385" s="307"/>
      <c r="C385" s="200"/>
      <c r="D385" s="360"/>
      <c r="E385" s="360"/>
      <c r="F385" s="360"/>
      <c r="G385" s="200"/>
      <c r="H385" s="200"/>
      <c r="I385" s="45"/>
      <c r="J385" s="45"/>
      <c r="K385" s="355"/>
      <c r="L385" s="200"/>
      <c r="M385" s="200"/>
      <c r="N385" s="355"/>
      <c r="O385" s="355"/>
      <c r="P385" s="355"/>
      <c r="Q385" s="353"/>
      <c r="R385" s="353"/>
      <c r="S385" s="45"/>
      <c r="T385" s="353"/>
      <c r="U385" s="353"/>
      <c r="V385" s="353"/>
      <c r="W385" s="432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  <c r="AT385" s="200"/>
    </row>
    <row r="386" spans="1:46" ht="16.5" customHeight="1">
      <c r="A386" s="307"/>
      <c r="B386" s="307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353"/>
      <c r="R386" s="353"/>
      <c r="S386" s="200"/>
      <c r="T386" s="353"/>
      <c r="U386" s="353"/>
      <c r="V386" s="353"/>
      <c r="W386" s="432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200"/>
      <c r="AQ386" s="200"/>
      <c r="AR386" s="200"/>
      <c r="AS386" s="200"/>
      <c r="AT386" s="200"/>
    </row>
    <row r="387" spans="1:46" ht="16.5" customHeight="1">
      <c r="A387" s="307"/>
      <c r="B387" s="307"/>
      <c r="C387" s="200"/>
      <c r="D387" s="360"/>
      <c r="E387" s="360"/>
      <c r="F387" s="360"/>
      <c r="G387" s="200"/>
      <c r="H387" s="200"/>
      <c r="I387" s="200"/>
      <c r="J387" s="200"/>
      <c r="K387" s="355"/>
      <c r="L387" s="200"/>
      <c r="M387" s="200"/>
      <c r="N387" s="200"/>
      <c r="O387" s="200"/>
      <c r="P387" s="355"/>
      <c r="Q387" s="353"/>
      <c r="R387" s="353"/>
      <c r="S387" s="200"/>
      <c r="T387" s="353"/>
      <c r="U387" s="353"/>
      <c r="V387" s="353"/>
      <c r="W387" s="432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200"/>
      <c r="AQ387" s="200"/>
      <c r="AR387" s="200"/>
      <c r="AS387" s="200"/>
      <c r="AT387" s="200"/>
    </row>
    <row r="388" spans="1:46" ht="16.5" customHeight="1">
      <c r="A388" s="307"/>
      <c r="B388" s="307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353"/>
      <c r="R388" s="353"/>
      <c r="S388" s="200"/>
      <c r="T388" s="353"/>
      <c r="U388" s="353"/>
      <c r="V388" s="353"/>
      <c r="W388" s="432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  <c r="AT388" s="200"/>
    </row>
    <row r="389" spans="1:46" ht="16.5" customHeight="1">
      <c r="A389" s="212"/>
      <c r="B389" s="212"/>
      <c r="C389" s="355"/>
      <c r="D389" s="360"/>
      <c r="E389" s="360"/>
      <c r="F389" s="360"/>
      <c r="G389" s="200"/>
      <c r="H389" s="200"/>
      <c r="I389" s="200"/>
      <c r="J389" s="200"/>
      <c r="K389" s="355"/>
      <c r="L389" s="200"/>
      <c r="M389" s="200"/>
      <c r="N389" s="200"/>
      <c r="O389" s="200"/>
      <c r="P389" s="355"/>
      <c r="Q389" s="353"/>
      <c r="R389" s="353"/>
      <c r="S389" s="200"/>
      <c r="T389" s="353"/>
      <c r="U389" s="353"/>
      <c r="V389" s="353"/>
      <c r="W389" s="432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  <c r="AQ389" s="200"/>
      <c r="AR389" s="200"/>
      <c r="AS389" s="200"/>
      <c r="AT389" s="200"/>
    </row>
    <row r="390" spans="1:46" ht="16.5" customHeight="1">
      <c r="A390" s="212"/>
      <c r="B390" s="212"/>
      <c r="C390" s="45"/>
      <c r="D390" s="45"/>
      <c r="E390" s="45"/>
      <c r="F390" s="45"/>
      <c r="G390" s="217"/>
      <c r="H390" s="217"/>
      <c r="I390" s="200"/>
      <c r="J390" s="200"/>
      <c r="K390" s="355"/>
      <c r="L390" s="200"/>
      <c r="M390" s="200"/>
      <c r="N390" s="200"/>
      <c r="O390" s="200"/>
      <c r="P390" s="355"/>
      <c r="Q390" s="353"/>
      <c r="R390" s="353"/>
      <c r="S390" s="200"/>
      <c r="T390" s="353"/>
      <c r="U390" s="353"/>
      <c r="V390" s="353"/>
      <c r="W390" s="432"/>
      <c r="X390" s="200"/>
      <c r="Y390" s="200"/>
      <c r="Z390" s="200"/>
      <c r="AA390" s="200"/>
      <c r="AB390" s="45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200"/>
      <c r="AQ390" s="200"/>
      <c r="AR390" s="200"/>
      <c r="AS390" s="200"/>
      <c r="AT390" s="200"/>
    </row>
    <row r="391" spans="1:46" ht="16.5" customHeight="1">
      <c r="A391" s="212"/>
      <c r="B391" s="212"/>
      <c r="C391" s="354"/>
      <c r="D391" s="360"/>
      <c r="E391" s="360"/>
      <c r="F391" s="360"/>
      <c r="G391" s="355"/>
      <c r="H391" s="355"/>
      <c r="I391" s="200"/>
      <c r="J391" s="200"/>
      <c r="K391" s="200"/>
      <c r="L391" s="200"/>
      <c r="M391" s="200"/>
      <c r="N391" s="200"/>
      <c r="O391" s="200"/>
      <c r="P391" s="200"/>
      <c r="Q391" s="366"/>
      <c r="R391" s="366"/>
      <c r="S391" s="200"/>
      <c r="T391" s="366"/>
      <c r="U391" s="353"/>
      <c r="V391" s="353"/>
      <c r="W391" s="432"/>
      <c r="X391" s="200"/>
      <c r="Y391" s="200"/>
      <c r="Z391" s="200"/>
      <c r="AA391" s="200"/>
      <c r="AB391" s="355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  <c r="AQ391" s="200"/>
      <c r="AR391" s="200"/>
      <c r="AS391" s="200"/>
      <c r="AT391" s="200"/>
    </row>
    <row r="392" spans="1:46" ht="16.5" customHeight="1">
      <c r="A392" s="307"/>
      <c r="B392" s="307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353"/>
      <c r="R392" s="353"/>
      <c r="S392" s="200"/>
      <c r="T392" s="353"/>
      <c r="U392" s="353"/>
      <c r="V392" s="353"/>
      <c r="W392" s="432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200"/>
      <c r="AQ392" s="200"/>
      <c r="AR392" s="200"/>
      <c r="AS392" s="200"/>
      <c r="AT392" s="200"/>
    </row>
    <row r="393" spans="1:46" ht="16.5" customHeight="1">
      <c r="A393" s="307"/>
      <c r="B393" s="307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353"/>
      <c r="R393" s="353"/>
      <c r="S393" s="200"/>
      <c r="T393" s="353"/>
      <c r="U393" s="353"/>
      <c r="V393" s="353"/>
      <c r="W393" s="432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  <c r="AQ393" s="200"/>
      <c r="AR393" s="200"/>
      <c r="AS393" s="200"/>
      <c r="AT393" s="200"/>
    </row>
    <row r="394" spans="1:46" ht="16.5" customHeight="1">
      <c r="A394" s="212"/>
      <c r="B394" s="212"/>
      <c r="C394" s="355"/>
      <c r="D394" s="360"/>
      <c r="E394" s="360"/>
      <c r="F394" s="360"/>
      <c r="G394" s="200"/>
      <c r="H394" s="200"/>
      <c r="I394" s="200"/>
      <c r="J394" s="200"/>
      <c r="K394" s="355"/>
      <c r="L394" s="200"/>
      <c r="M394" s="200"/>
      <c r="N394" s="200"/>
      <c r="O394" s="200"/>
      <c r="P394" s="355"/>
      <c r="Q394" s="353"/>
      <c r="R394" s="353"/>
      <c r="S394" s="200"/>
      <c r="T394" s="353"/>
      <c r="U394" s="353"/>
      <c r="V394" s="353"/>
      <c r="W394" s="432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200"/>
      <c r="AQ394" s="200"/>
      <c r="AR394" s="200"/>
      <c r="AS394" s="200"/>
      <c r="AT394" s="200"/>
    </row>
    <row r="395" spans="1:46" ht="16.5" customHeight="1">
      <c r="A395" s="307"/>
      <c r="B395" s="307"/>
      <c r="C395" s="355"/>
      <c r="D395" s="360"/>
      <c r="E395" s="360"/>
      <c r="F395" s="360"/>
      <c r="G395" s="200"/>
      <c r="H395" s="200"/>
      <c r="I395" s="355"/>
      <c r="J395" s="355"/>
      <c r="K395" s="200"/>
      <c r="L395" s="200"/>
      <c r="M395" s="200"/>
      <c r="N395" s="200"/>
      <c r="O395" s="200"/>
      <c r="P395" s="200"/>
      <c r="Q395" s="353"/>
      <c r="R395" s="353"/>
      <c r="S395" s="355"/>
      <c r="T395" s="353"/>
      <c r="U395" s="353"/>
      <c r="V395" s="353"/>
      <c r="W395" s="432"/>
      <c r="X395" s="200"/>
      <c r="Y395" s="200"/>
      <c r="Z395" s="200"/>
      <c r="AA395" s="200"/>
      <c r="AB395" s="355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  <c r="AQ395" s="200"/>
      <c r="AR395" s="200"/>
      <c r="AS395" s="200"/>
      <c r="AT395" s="200"/>
    </row>
    <row r="396" spans="1:46" ht="16.5" customHeight="1">
      <c r="A396" s="307"/>
      <c r="B396" s="307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213"/>
      <c r="R396" s="213"/>
      <c r="S396" s="45"/>
      <c r="T396" s="213"/>
      <c r="U396" s="213"/>
      <c r="V396" s="213"/>
      <c r="W396" s="432"/>
      <c r="X396" s="45"/>
      <c r="Y396" s="45"/>
      <c r="Z396" s="45"/>
      <c r="AA396" s="45"/>
      <c r="AB396" s="45"/>
      <c r="AC396" s="45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  <c r="AQ396" s="200"/>
      <c r="AR396" s="200"/>
      <c r="AS396" s="200"/>
      <c r="AT396" s="200"/>
    </row>
    <row r="397" spans="1:46" ht="16.5" customHeight="1">
      <c r="A397" s="307"/>
      <c r="B397" s="307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353"/>
      <c r="R397" s="353"/>
      <c r="S397" s="200"/>
      <c r="T397" s="353"/>
      <c r="U397" s="353"/>
      <c r="V397" s="353"/>
      <c r="W397" s="432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200"/>
      <c r="AQ397" s="200"/>
      <c r="AR397" s="200"/>
      <c r="AS397" s="200"/>
      <c r="AT397" s="200"/>
    </row>
    <row r="398" spans="1:46" ht="16.5" customHeight="1">
      <c r="A398" s="307"/>
      <c r="B398" s="307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353"/>
      <c r="R398" s="353"/>
      <c r="S398" s="200"/>
      <c r="T398" s="353"/>
      <c r="U398" s="353"/>
      <c r="V398" s="353"/>
      <c r="W398" s="432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200"/>
      <c r="AQ398" s="200"/>
      <c r="AR398" s="200"/>
      <c r="AS398" s="200"/>
      <c r="AT398" s="200"/>
    </row>
    <row r="399" spans="1:46" ht="16.5" customHeight="1">
      <c r="A399" s="212"/>
      <c r="B399" s="212"/>
      <c r="C399" s="357"/>
      <c r="D399" s="360"/>
      <c r="E399" s="360"/>
      <c r="F399" s="360"/>
      <c r="G399" s="355"/>
      <c r="H399" s="355"/>
      <c r="I399" s="200"/>
      <c r="J399" s="200"/>
      <c r="K399" s="355"/>
      <c r="L399" s="360"/>
      <c r="M399" s="360"/>
      <c r="N399" s="200"/>
      <c r="O399" s="200"/>
      <c r="P399" s="355"/>
      <c r="Q399" s="353"/>
      <c r="R399" s="353"/>
      <c r="S399" s="200"/>
      <c r="T399" s="352"/>
      <c r="U399" s="353"/>
      <c r="V399" s="353"/>
      <c r="W399" s="432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200"/>
      <c r="AQ399" s="200"/>
      <c r="AR399" s="200"/>
      <c r="AS399" s="200"/>
      <c r="AT399" s="200"/>
    </row>
    <row r="400" spans="1:46" ht="16.5" customHeight="1">
      <c r="A400" s="212"/>
      <c r="B400" s="212"/>
      <c r="C400" s="200"/>
      <c r="D400" s="200"/>
      <c r="E400" s="200"/>
      <c r="F400" s="200"/>
      <c r="G400" s="355"/>
      <c r="H400" s="355"/>
      <c r="I400" s="200"/>
      <c r="J400" s="200"/>
      <c r="K400" s="355"/>
      <c r="L400" s="360"/>
      <c r="M400" s="360"/>
      <c r="N400" s="200"/>
      <c r="O400" s="200"/>
      <c r="P400" s="355"/>
      <c r="Q400" s="353"/>
      <c r="R400" s="353"/>
      <c r="S400" s="200"/>
      <c r="T400" s="353"/>
      <c r="U400" s="353"/>
      <c r="V400" s="353"/>
      <c r="W400" s="432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200"/>
      <c r="AQ400" s="200"/>
      <c r="AR400" s="200"/>
      <c r="AS400" s="200"/>
      <c r="AT400" s="200"/>
    </row>
    <row r="401" spans="1:46" ht="16.5" customHeight="1">
      <c r="A401" s="307"/>
      <c r="B401" s="307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353"/>
      <c r="R401" s="353"/>
      <c r="S401" s="200"/>
      <c r="T401" s="353"/>
      <c r="U401" s="353"/>
      <c r="V401" s="353"/>
      <c r="W401" s="432"/>
      <c r="X401" s="200"/>
      <c r="Y401" s="200"/>
      <c r="Z401" s="200"/>
      <c r="AA401" s="367"/>
      <c r="AB401" s="200"/>
      <c r="AC401" s="367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200"/>
      <c r="AQ401" s="200"/>
      <c r="AR401" s="200"/>
      <c r="AS401" s="200"/>
      <c r="AT401" s="200"/>
    </row>
    <row r="402" spans="1:46" ht="16.5" customHeight="1">
      <c r="A402" s="307"/>
      <c r="B402" s="307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353"/>
      <c r="R402" s="353"/>
      <c r="S402" s="200"/>
      <c r="T402" s="353"/>
      <c r="U402" s="353"/>
      <c r="V402" s="353"/>
      <c r="W402" s="432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  <c r="AT402" s="200"/>
    </row>
    <row r="403" spans="1:46" ht="16.5" customHeight="1">
      <c r="A403" s="307"/>
      <c r="B403" s="307"/>
      <c r="C403" s="357"/>
      <c r="D403" s="360"/>
      <c r="E403" s="360"/>
      <c r="F403" s="360"/>
      <c r="G403" s="368"/>
      <c r="H403" s="368"/>
      <c r="I403" s="200"/>
      <c r="J403" s="200"/>
      <c r="K403" s="355"/>
      <c r="L403" s="360"/>
      <c r="M403" s="360"/>
      <c r="N403" s="200"/>
      <c r="O403" s="200"/>
      <c r="P403" s="355"/>
      <c r="Q403" s="352"/>
      <c r="R403" s="352"/>
      <c r="S403" s="200"/>
      <c r="T403" s="352"/>
      <c r="U403" s="353"/>
      <c r="V403" s="353"/>
      <c r="W403" s="432"/>
      <c r="X403" s="200"/>
      <c r="Y403" s="200"/>
      <c r="Z403" s="200"/>
      <c r="AA403" s="200"/>
      <c r="AB403" s="357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200"/>
      <c r="AQ403" s="200"/>
      <c r="AR403" s="200"/>
      <c r="AS403" s="200"/>
      <c r="AT403" s="200"/>
    </row>
    <row r="404" spans="1:46" ht="16.5" customHeight="1">
      <c r="A404" s="307"/>
      <c r="B404" s="307"/>
      <c r="C404" s="357"/>
      <c r="D404" s="360"/>
      <c r="E404" s="360"/>
      <c r="F404" s="360"/>
      <c r="G404" s="368"/>
      <c r="H404" s="368"/>
      <c r="I404" s="200"/>
      <c r="J404" s="200"/>
      <c r="K404" s="355"/>
      <c r="L404" s="360"/>
      <c r="M404" s="360"/>
      <c r="N404" s="200"/>
      <c r="O404" s="200"/>
      <c r="P404" s="355"/>
      <c r="Q404" s="353"/>
      <c r="R404" s="353"/>
      <c r="S404" s="200"/>
      <c r="T404" s="352"/>
      <c r="U404" s="353"/>
      <c r="V404" s="353"/>
      <c r="W404" s="432"/>
      <c r="X404" s="200"/>
      <c r="Y404" s="200"/>
      <c r="Z404" s="200"/>
      <c r="AA404" s="200"/>
      <c r="AB404" s="355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200"/>
      <c r="AQ404" s="200"/>
      <c r="AR404" s="200"/>
      <c r="AS404" s="200"/>
      <c r="AT404" s="200"/>
    </row>
    <row r="405" spans="1:46" ht="16.5" customHeight="1">
      <c r="A405" s="307"/>
      <c r="B405" s="307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353"/>
      <c r="R405" s="353"/>
      <c r="S405" s="200"/>
      <c r="T405" s="353"/>
      <c r="U405" s="353"/>
      <c r="V405" s="353"/>
      <c r="W405" s="432"/>
      <c r="X405" s="200"/>
      <c r="Y405" s="200"/>
      <c r="Z405" s="200"/>
      <c r="AA405" s="367"/>
      <c r="AB405" s="200"/>
      <c r="AC405" s="367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200"/>
      <c r="AQ405" s="200"/>
      <c r="AR405" s="200"/>
      <c r="AS405" s="200"/>
      <c r="AT405" s="200"/>
    </row>
    <row r="406" spans="1:46" ht="16.5" customHeight="1">
      <c r="A406" s="307"/>
      <c r="B406" s="307"/>
      <c r="C406" s="355"/>
      <c r="D406" s="356"/>
      <c r="E406" s="356"/>
      <c r="F406" s="356"/>
      <c r="G406" s="357"/>
      <c r="H406" s="357"/>
      <c r="I406" s="200"/>
      <c r="J406" s="200"/>
      <c r="K406" s="355"/>
      <c r="L406" s="355"/>
      <c r="M406" s="355"/>
      <c r="N406" s="200"/>
      <c r="O406" s="200"/>
      <c r="P406" s="355"/>
      <c r="Q406" s="361"/>
      <c r="R406" s="361"/>
      <c r="S406" s="200"/>
      <c r="T406" s="352"/>
      <c r="U406" s="353"/>
      <c r="V406" s="353"/>
      <c r="W406" s="432"/>
      <c r="X406" s="200"/>
      <c r="Y406" s="200"/>
      <c r="Z406" s="200"/>
      <c r="AA406" s="200"/>
      <c r="AB406" s="200"/>
      <c r="AC406" s="200"/>
      <c r="AD406" s="354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200"/>
      <c r="AQ406" s="200"/>
      <c r="AR406" s="200"/>
      <c r="AS406" s="200"/>
      <c r="AT406" s="200"/>
    </row>
    <row r="407" spans="1:46" ht="16.5" customHeight="1">
      <c r="A407" s="307"/>
      <c r="B407" s="307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353"/>
      <c r="R407" s="353"/>
      <c r="S407" s="200"/>
      <c r="T407" s="353"/>
      <c r="U407" s="353"/>
      <c r="V407" s="353"/>
      <c r="W407" s="432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200"/>
      <c r="AQ407" s="200"/>
      <c r="AR407" s="200"/>
      <c r="AS407" s="200"/>
      <c r="AT407" s="200"/>
    </row>
    <row r="408" spans="1:46" ht="16.5" customHeight="1">
      <c r="A408" s="307"/>
      <c r="B408" s="307"/>
      <c r="C408" s="355"/>
      <c r="D408" s="356"/>
      <c r="E408" s="356"/>
      <c r="F408" s="356"/>
      <c r="G408" s="357"/>
      <c r="H408" s="357"/>
      <c r="I408" s="200"/>
      <c r="J408" s="200"/>
      <c r="K408" s="355"/>
      <c r="L408" s="355"/>
      <c r="M408" s="355"/>
      <c r="N408" s="200"/>
      <c r="O408" s="200"/>
      <c r="P408" s="355"/>
      <c r="Q408" s="361"/>
      <c r="R408" s="361"/>
      <c r="S408" s="200"/>
      <c r="T408" s="352"/>
      <c r="U408" s="353"/>
      <c r="V408" s="353"/>
      <c r="W408" s="432"/>
      <c r="X408" s="200"/>
      <c r="Y408" s="200"/>
      <c r="Z408" s="200"/>
      <c r="AA408" s="200"/>
      <c r="AB408" s="200"/>
      <c r="AC408" s="200"/>
      <c r="AD408" s="354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  <c r="AT408" s="200"/>
    </row>
    <row r="409" spans="1:46" ht="16.5" customHeight="1">
      <c r="A409" s="307"/>
      <c r="B409" s="307"/>
      <c r="C409" s="355"/>
      <c r="D409" s="356"/>
      <c r="E409" s="356"/>
      <c r="F409" s="356"/>
      <c r="G409" s="357"/>
      <c r="H409" s="357"/>
      <c r="I409" s="200"/>
      <c r="J409" s="200"/>
      <c r="K409" s="355"/>
      <c r="L409" s="355"/>
      <c r="M409" s="355"/>
      <c r="N409" s="200"/>
      <c r="O409" s="200"/>
      <c r="P409" s="355"/>
      <c r="Q409" s="361"/>
      <c r="R409" s="361"/>
      <c r="S409" s="200"/>
      <c r="T409" s="352"/>
      <c r="U409" s="353"/>
      <c r="V409" s="353"/>
      <c r="W409" s="432"/>
      <c r="X409" s="200"/>
      <c r="Y409" s="200"/>
      <c r="Z409" s="200"/>
      <c r="AA409" s="200"/>
      <c r="AB409" s="200"/>
      <c r="AC409" s="200"/>
      <c r="AD409" s="354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  <c r="AT409" s="200"/>
    </row>
    <row r="410" spans="1:46" ht="16.5" customHeight="1">
      <c r="A410" s="307"/>
      <c r="B410" s="307"/>
      <c r="C410" s="355"/>
      <c r="D410" s="356"/>
      <c r="E410" s="356"/>
      <c r="F410" s="356"/>
      <c r="G410" s="357"/>
      <c r="H410" s="357"/>
      <c r="I410" s="200"/>
      <c r="J410" s="200"/>
      <c r="K410" s="355"/>
      <c r="L410" s="355"/>
      <c r="M410" s="355"/>
      <c r="N410" s="200"/>
      <c r="O410" s="200"/>
      <c r="P410" s="355"/>
      <c r="Q410" s="361"/>
      <c r="R410" s="361"/>
      <c r="S410" s="200"/>
      <c r="T410" s="352"/>
      <c r="U410" s="353"/>
      <c r="V410" s="353"/>
      <c r="W410" s="432"/>
      <c r="X410" s="200"/>
      <c r="Y410" s="200"/>
      <c r="Z410" s="200"/>
      <c r="AA410" s="200"/>
      <c r="AB410" s="200"/>
      <c r="AC410" s="200"/>
      <c r="AD410" s="354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  <c r="AQ410" s="200"/>
      <c r="AR410" s="200"/>
      <c r="AS410" s="200"/>
      <c r="AT410" s="200"/>
    </row>
    <row r="411" spans="1:46" ht="16.5" customHeight="1">
      <c r="A411" s="307"/>
      <c r="B411" s="307"/>
      <c r="C411" s="355"/>
      <c r="D411" s="356"/>
      <c r="E411" s="356"/>
      <c r="F411" s="356"/>
      <c r="G411" s="357"/>
      <c r="H411" s="357"/>
      <c r="I411" s="200"/>
      <c r="J411" s="200"/>
      <c r="K411" s="355"/>
      <c r="L411" s="355"/>
      <c r="M411" s="355"/>
      <c r="N411" s="200"/>
      <c r="O411" s="200"/>
      <c r="P411" s="355"/>
      <c r="Q411" s="361"/>
      <c r="R411" s="361"/>
      <c r="S411" s="200"/>
      <c r="T411" s="352"/>
      <c r="U411" s="353"/>
      <c r="V411" s="353"/>
      <c r="W411" s="432"/>
      <c r="X411" s="200"/>
      <c r="Y411" s="200"/>
      <c r="Z411" s="200"/>
      <c r="AA411" s="200"/>
      <c r="AB411" s="200"/>
      <c r="AC411" s="200"/>
      <c r="AD411" s="354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  <c r="AQ411" s="200"/>
      <c r="AR411" s="200"/>
      <c r="AS411" s="200"/>
      <c r="AT411" s="200"/>
    </row>
    <row r="412" spans="1:46" ht="16.5" customHeight="1">
      <c r="A412" s="307"/>
      <c r="B412" s="307"/>
      <c r="C412" s="355"/>
      <c r="D412" s="356"/>
      <c r="E412" s="356"/>
      <c r="F412" s="356"/>
      <c r="G412" s="357"/>
      <c r="H412" s="357"/>
      <c r="I412" s="200"/>
      <c r="J412" s="200"/>
      <c r="K412" s="355"/>
      <c r="L412" s="355"/>
      <c r="M412" s="355"/>
      <c r="N412" s="200"/>
      <c r="O412" s="200"/>
      <c r="P412" s="355"/>
      <c r="Q412" s="361"/>
      <c r="R412" s="361"/>
      <c r="S412" s="200"/>
      <c r="T412" s="352"/>
      <c r="U412" s="353"/>
      <c r="V412" s="353"/>
      <c r="W412" s="432"/>
      <c r="X412" s="200"/>
      <c r="Y412" s="200"/>
      <c r="Z412" s="200"/>
      <c r="AA412" s="200"/>
      <c r="AB412" s="200"/>
      <c r="AC412" s="200"/>
      <c r="AD412" s="354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  <c r="AT412" s="200"/>
    </row>
    <row r="413" spans="1:46" ht="16.5" customHeight="1">
      <c r="A413" s="307"/>
      <c r="B413" s="307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353"/>
      <c r="R413" s="353"/>
      <c r="S413" s="200"/>
      <c r="T413" s="353"/>
      <c r="U413" s="353"/>
      <c r="V413" s="353"/>
      <c r="W413" s="432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  <c r="AQ413" s="200"/>
      <c r="AR413" s="200"/>
      <c r="AS413" s="200"/>
      <c r="AT413" s="200"/>
    </row>
    <row r="414" spans="1:46" ht="16.5" customHeight="1">
      <c r="A414" s="307"/>
      <c r="B414" s="307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353"/>
      <c r="R414" s="353"/>
      <c r="S414" s="200"/>
      <c r="T414" s="353"/>
      <c r="U414" s="353"/>
      <c r="V414" s="353"/>
      <c r="W414" s="432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  <c r="AQ414" s="200"/>
      <c r="AR414" s="200"/>
      <c r="AS414" s="200"/>
      <c r="AT414" s="200"/>
    </row>
    <row r="415" spans="1:46" ht="16.5" customHeight="1">
      <c r="A415" s="307"/>
      <c r="B415" s="307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353"/>
      <c r="R415" s="353"/>
      <c r="S415" s="200"/>
      <c r="T415" s="353"/>
      <c r="U415" s="353"/>
      <c r="V415" s="353"/>
      <c r="W415" s="432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  <c r="AT415" s="200"/>
    </row>
    <row r="416" spans="1:46" ht="16.5" customHeight="1">
      <c r="A416" s="307"/>
      <c r="B416" s="307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353"/>
      <c r="R416" s="353"/>
      <c r="S416" s="200"/>
      <c r="T416" s="353"/>
      <c r="U416" s="353"/>
      <c r="V416" s="353"/>
      <c r="W416" s="432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  <c r="AQ416" s="200"/>
      <c r="AR416" s="200"/>
      <c r="AS416" s="200"/>
      <c r="AT416" s="200"/>
    </row>
    <row r="417" spans="1:46" ht="16.5" customHeight="1">
      <c r="A417" s="307"/>
      <c r="B417" s="307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353"/>
      <c r="R417" s="353"/>
      <c r="S417" s="200"/>
      <c r="T417" s="353"/>
      <c r="U417" s="353"/>
      <c r="V417" s="353"/>
      <c r="W417" s="432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  <c r="AQ417" s="200"/>
      <c r="AR417" s="200"/>
      <c r="AS417" s="200"/>
      <c r="AT417" s="200"/>
    </row>
    <row r="418" spans="1:46" ht="16.5" customHeight="1">
      <c r="A418" s="307"/>
      <c r="B418" s="307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353"/>
      <c r="R418" s="353"/>
      <c r="S418" s="200"/>
      <c r="T418" s="353"/>
      <c r="U418" s="353"/>
      <c r="V418" s="353"/>
      <c r="W418" s="432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  <c r="AQ418" s="200"/>
      <c r="AR418" s="200"/>
      <c r="AS418" s="200"/>
      <c r="AT418" s="200"/>
    </row>
    <row r="419" spans="1:46" ht="16.5" customHeight="1">
      <c r="A419" s="307"/>
      <c r="B419" s="307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353"/>
      <c r="R419" s="353"/>
      <c r="S419" s="200"/>
      <c r="T419" s="353"/>
      <c r="U419" s="353"/>
      <c r="V419" s="353"/>
      <c r="W419" s="432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  <c r="AQ419" s="200"/>
      <c r="AR419" s="200"/>
      <c r="AS419" s="200"/>
      <c r="AT419" s="200"/>
    </row>
    <row r="420" spans="1:46" ht="16.5" customHeight="1">
      <c r="A420" s="307"/>
      <c r="B420" s="307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353"/>
      <c r="R420" s="353"/>
      <c r="S420" s="200"/>
      <c r="T420" s="353"/>
      <c r="U420" s="353"/>
      <c r="V420" s="353"/>
      <c r="W420" s="432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  <c r="AQ420" s="200"/>
      <c r="AR420" s="200"/>
      <c r="AS420" s="200"/>
      <c r="AT420" s="200"/>
    </row>
    <row r="421" spans="1:46" ht="16.5" customHeight="1">
      <c r="A421" s="307"/>
      <c r="B421" s="307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353"/>
      <c r="R421" s="353"/>
      <c r="S421" s="200"/>
      <c r="T421" s="353"/>
      <c r="U421" s="353"/>
      <c r="V421" s="353"/>
      <c r="W421" s="432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  <c r="AQ421" s="200"/>
      <c r="AR421" s="200"/>
      <c r="AS421" s="200"/>
      <c r="AT421" s="200"/>
    </row>
    <row r="422" spans="1:46" ht="16.5" customHeight="1">
      <c r="A422" s="307"/>
      <c r="B422" s="307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353"/>
      <c r="R422" s="353"/>
      <c r="S422" s="200"/>
      <c r="T422" s="353"/>
      <c r="U422" s="353"/>
      <c r="V422" s="353"/>
      <c r="W422" s="432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  <c r="AQ422" s="200"/>
      <c r="AR422" s="200"/>
      <c r="AS422" s="200"/>
      <c r="AT422" s="200"/>
    </row>
    <row r="423" spans="1:46" ht="16.5" customHeight="1">
      <c r="A423" s="307"/>
      <c r="B423" s="307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353"/>
      <c r="R423" s="353"/>
      <c r="S423" s="200"/>
      <c r="T423" s="353"/>
      <c r="U423" s="353"/>
      <c r="V423" s="353"/>
      <c r="W423" s="432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  <c r="AQ423" s="200"/>
      <c r="AR423" s="200"/>
      <c r="AS423" s="200"/>
      <c r="AT423" s="200"/>
    </row>
    <row r="424" spans="1:46" ht="16.5" customHeight="1">
      <c r="A424" s="307"/>
      <c r="B424" s="307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353"/>
      <c r="R424" s="353"/>
      <c r="S424" s="200"/>
      <c r="T424" s="353"/>
      <c r="U424" s="353"/>
      <c r="V424" s="353"/>
      <c r="W424" s="432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  <c r="AT424" s="200"/>
    </row>
    <row r="425" spans="1:46" ht="16.5" customHeight="1">
      <c r="A425" s="307"/>
      <c r="B425" s="307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353"/>
      <c r="R425" s="353"/>
      <c r="S425" s="200"/>
      <c r="T425" s="353"/>
      <c r="U425" s="353"/>
      <c r="V425" s="353"/>
      <c r="W425" s="432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  <c r="AQ425" s="200"/>
      <c r="AR425" s="200"/>
      <c r="AS425" s="200"/>
      <c r="AT425" s="200"/>
    </row>
    <row r="426" spans="1:46" ht="16.5" customHeight="1">
      <c r="A426" s="307"/>
      <c r="B426" s="307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353"/>
      <c r="R426" s="353"/>
      <c r="S426" s="200"/>
      <c r="T426" s="353"/>
      <c r="U426" s="353"/>
      <c r="V426" s="353"/>
      <c r="W426" s="432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  <c r="AT426" s="200"/>
    </row>
    <row r="427" spans="1:46" ht="16.5" customHeight="1">
      <c r="A427" s="307"/>
      <c r="B427" s="307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353"/>
      <c r="R427" s="353"/>
      <c r="S427" s="200"/>
      <c r="T427" s="353"/>
      <c r="U427" s="353"/>
      <c r="V427" s="353"/>
      <c r="W427" s="432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  <c r="AQ427" s="200"/>
      <c r="AR427" s="200"/>
      <c r="AS427" s="200"/>
      <c r="AT427" s="200"/>
    </row>
    <row r="428" spans="1:46" ht="16.5" customHeight="1">
      <c r="A428" s="307"/>
      <c r="B428" s="307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353"/>
      <c r="R428" s="353"/>
      <c r="S428" s="200"/>
      <c r="T428" s="353"/>
      <c r="U428" s="353"/>
      <c r="V428" s="353"/>
      <c r="W428" s="432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  <c r="AQ428" s="200"/>
      <c r="AR428" s="200"/>
      <c r="AS428" s="200"/>
      <c r="AT428" s="200"/>
    </row>
    <row r="429" spans="1:46" ht="16.5" customHeight="1">
      <c r="A429" s="307"/>
      <c r="B429" s="307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353"/>
      <c r="R429" s="353"/>
      <c r="S429" s="200"/>
      <c r="T429" s="353"/>
      <c r="U429" s="353"/>
      <c r="V429" s="353"/>
      <c r="W429" s="432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  <c r="AQ429" s="200"/>
      <c r="AR429" s="200"/>
      <c r="AS429" s="200"/>
      <c r="AT429" s="200"/>
    </row>
    <row r="430" spans="1:46" ht="16.5" customHeight="1">
      <c r="A430" s="307"/>
      <c r="B430" s="307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353"/>
      <c r="R430" s="353"/>
      <c r="S430" s="200"/>
      <c r="T430" s="353"/>
      <c r="U430" s="353"/>
      <c r="V430" s="353"/>
      <c r="W430" s="432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  <c r="AQ430" s="200"/>
      <c r="AR430" s="200"/>
      <c r="AS430" s="200"/>
      <c r="AT430" s="200"/>
    </row>
    <row r="431" spans="1:46" ht="16.5" customHeight="1">
      <c r="A431" s="307"/>
      <c r="B431" s="307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353"/>
      <c r="R431" s="353"/>
      <c r="S431" s="200"/>
      <c r="T431" s="353"/>
      <c r="U431" s="353"/>
      <c r="V431" s="353"/>
      <c r="W431" s="432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  <c r="AQ431" s="200"/>
      <c r="AR431" s="200"/>
      <c r="AS431" s="200"/>
      <c r="AT431" s="200"/>
    </row>
    <row r="432" spans="1:46" ht="16.5" customHeight="1">
      <c r="A432" s="307"/>
      <c r="B432" s="307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353"/>
      <c r="R432" s="353"/>
      <c r="S432" s="200"/>
      <c r="T432" s="353"/>
      <c r="U432" s="353"/>
      <c r="V432" s="353"/>
      <c r="W432" s="432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  <c r="AQ432" s="200"/>
      <c r="AR432" s="200"/>
      <c r="AS432" s="200"/>
      <c r="AT432" s="200"/>
    </row>
    <row r="433" spans="1:46" ht="16.5" customHeight="1">
      <c r="A433" s="307"/>
      <c r="B433" s="307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353"/>
      <c r="R433" s="353"/>
      <c r="S433" s="200"/>
      <c r="T433" s="353"/>
      <c r="U433" s="353"/>
      <c r="V433" s="353"/>
      <c r="W433" s="432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  <c r="AT433" s="200"/>
    </row>
    <row r="434" spans="1:46" ht="16.5" customHeight="1">
      <c r="A434" s="307"/>
      <c r="B434" s="307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353"/>
      <c r="R434" s="353"/>
      <c r="S434" s="200"/>
      <c r="T434" s="353"/>
      <c r="U434" s="353"/>
      <c r="V434" s="353"/>
      <c r="W434" s="432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  <c r="AT434" s="200"/>
    </row>
    <row r="435" spans="1:46" ht="16.5" customHeight="1">
      <c r="A435" s="307"/>
      <c r="B435" s="307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353"/>
      <c r="R435" s="353"/>
      <c r="S435" s="200"/>
      <c r="T435" s="353"/>
      <c r="U435" s="353"/>
      <c r="V435" s="353"/>
      <c r="W435" s="432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  <c r="AQ435" s="200"/>
      <c r="AR435" s="200"/>
      <c r="AS435" s="200"/>
      <c r="AT435" s="200"/>
    </row>
    <row r="436" spans="1:46" ht="16.5" customHeight="1">
      <c r="A436" s="307"/>
      <c r="B436" s="307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353"/>
      <c r="R436" s="353"/>
      <c r="S436" s="200"/>
      <c r="T436" s="353"/>
      <c r="U436" s="353"/>
      <c r="V436" s="353"/>
      <c r="W436" s="432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  <c r="AQ436" s="200"/>
      <c r="AR436" s="200"/>
      <c r="AS436" s="200"/>
      <c r="AT436" s="200"/>
    </row>
    <row r="437" spans="1:46" ht="16.5" customHeight="1">
      <c r="A437" s="307"/>
      <c r="B437" s="307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353"/>
      <c r="R437" s="353"/>
      <c r="S437" s="200"/>
      <c r="T437" s="353"/>
      <c r="U437" s="353"/>
      <c r="V437" s="353"/>
      <c r="W437" s="432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  <c r="AQ437" s="200"/>
      <c r="AR437" s="200"/>
      <c r="AS437" s="200"/>
      <c r="AT437" s="200"/>
    </row>
    <row r="438" spans="1:46" ht="16.5" customHeight="1">
      <c r="A438" s="307"/>
      <c r="B438" s="307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353"/>
      <c r="R438" s="353"/>
      <c r="S438" s="200"/>
      <c r="T438" s="353"/>
      <c r="U438" s="353"/>
      <c r="V438" s="353"/>
      <c r="W438" s="432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  <c r="AT438" s="200"/>
    </row>
    <row r="439" spans="1:46" ht="16.5" customHeight="1">
      <c r="A439" s="307"/>
      <c r="B439" s="307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353"/>
      <c r="R439" s="353"/>
      <c r="S439" s="200"/>
      <c r="T439" s="353"/>
      <c r="U439" s="353"/>
      <c r="V439" s="353"/>
      <c r="W439" s="432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  <c r="AQ439" s="200"/>
      <c r="AR439" s="200"/>
      <c r="AS439" s="200"/>
      <c r="AT439" s="200"/>
    </row>
    <row r="440" spans="1:46" ht="16.5" customHeight="1">
      <c r="A440" s="307"/>
      <c r="B440" s="307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353"/>
      <c r="R440" s="353"/>
      <c r="S440" s="200"/>
      <c r="T440" s="353"/>
      <c r="U440" s="353"/>
      <c r="V440" s="353"/>
      <c r="W440" s="432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  <c r="AQ440" s="200"/>
      <c r="AR440" s="200"/>
      <c r="AS440" s="200"/>
      <c r="AT440" s="200"/>
    </row>
    <row r="441" spans="1:46" ht="16.5" customHeight="1">
      <c r="A441" s="307"/>
      <c r="B441" s="307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353"/>
      <c r="R441" s="353"/>
      <c r="S441" s="200"/>
      <c r="T441" s="353"/>
      <c r="U441" s="353"/>
      <c r="V441" s="353"/>
      <c r="W441" s="432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</row>
    <row r="442" spans="1:46" ht="16.5" customHeight="1">
      <c r="A442" s="307"/>
      <c r="B442" s="307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353"/>
      <c r="R442" s="353"/>
      <c r="S442" s="200"/>
      <c r="T442" s="353"/>
      <c r="U442" s="353"/>
      <c r="V442" s="353"/>
      <c r="W442" s="432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  <c r="AQ442" s="200"/>
      <c r="AR442" s="200"/>
      <c r="AS442" s="200"/>
      <c r="AT442" s="200"/>
    </row>
    <row r="443" spans="1:46" ht="16.5" customHeight="1">
      <c r="A443" s="307"/>
      <c r="B443" s="307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353"/>
      <c r="R443" s="353"/>
      <c r="S443" s="200"/>
      <c r="T443" s="353"/>
      <c r="U443" s="353"/>
      <c r="V443" s="353"/>
      <c r="W443" s="432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  <c r="AQ443" s="200"/>
      <c r="AR443" s="200"/>
      <c r="AS443" s="200"/>
      <c r="AT443" s="200"/>
    </row>
    <row r="444" spans="1:46" ht="16.5" customHeight="1">
      <c r="A444" s="307"/>
      <c r="B444" s="307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353"/>
      <c r="R444" s="353"/>
      <c r="S444" s="200"/>
      <c r="T444" s="353"/>
      <c r="U444" s="353"/>
      <c r="V444" s="353"/>
      <c r="W444" s="432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  <c r="AT444" s="200"/>
    </row>
    <row r="445" spans="1:46" ht="16.5" customHeight="1">
      <c r="A445" s="307"/>
      <c r="B445" s="307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353"/>
      <c r="R445" s="353"/>
      <c r="S445" s="200"/>
      <c r="T445" s="353"/>
      <c r="U445" s="353"/>
      <c r="V445" s="353"/>
      <c r="W445" s="432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  <c r="AQ445" s="200"/>
      <c r="AR445" s="200"/>
      <c r="AS445" s="200"/>
      <c r="AT445" s="200"/>
    </row>
    <row r="446" spans="1:46" ht="16.5" customHeight="1">
      <c r="A446" s="307"/>
      <c r="B446" s="307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353"/>
      <c r="R446" s="353"/>
      <c r="S446" s="200"/>
      <c r="T446" s="353"/>
      <c r="U446" s="353"/>
      <c r="V446" s="353"/>
      <c r="W446" s="432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  <c r="AT446" s="200"/>
    </row>
    <row r="447" spans="1:46" ht="16.5" customHeight="1">
      <c r="A447" s="307"/>
      <c r="B447" s="307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353"/>
      <c r="R447" s="353"/>
      <c r="S447" s="200"/>
      <c r="T447" s="353"/>
      <c r="U447" s="353"/>
      <c r="V447" s="353"/>
      <c r="W447" s="432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  <c r="AT447" s="200"/>
    </row>
    <row r="448" spans="1:46" ht="16.5" customHeight="1">
      <c r="A448" s="307"/>
      <c r="B448" s="307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353"/>
      <c r="R448" s="353"/>
      <c r="S448" s="200"/>
      <c r="T448" s="353"/>
      <c r="U448" s="353"/>
      <c r="V448" s="353"/>
      <c r="W448" s="432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  <c r="AQ448" s="200"/>
      <c r="AR448" s="200"/>
      <c r="AS448" s="200"/>
      <c r="AT448" s="200"/>
    </row>
    <row r="449" spans="1:46" ht="16.5" customHeight="1">
      <c r="A449" s="307"/>
      <c r="B449" s="307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353"/>
      <c r="R449" s="353"/>
      <c r="S449" s="200"/>
      <c r="T449" s="353"/>
      <c r="U449" s="353"/>
      <c r="V449" s="353"/>
      <c r="W449" s="432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  <c r="AQ449" s="200"/>
      <c r="AR449" s="200"/>
      <c r="AS449" s="200"/>
      <c r="AT449" s="200"/>
    </row>
    <row r="450" spans="1:46" ht="16.5" customHeight="1">
      <c r="A450" s="307"/>
      <c r="B450" s="307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353"/>
      <c r="R450" s="353"/>
      <c r="S450" s="200"/>
      <c r="T450" s="353"/>
      <c r="U450" s="353"/>
      <c r="V450" s="353"/>
      <c r="W450" s="432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  <c r="AQ450" s="200"/>
      <c r="AR450" s="200"/>
      <c r="AS450" s="200"/>
      <c r="AT450" s="200"/>
    </row>
    <row r="451" spans="1:46" ht="16.5" customHeight="1">
      <c r="A451" s="307"/>
      <c r="B451" s="307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353"/>
      <c r="R451" s="353"/>
      <c r="S451" s="200"/>
      <c r="T451" s="353"/>
      <c r="U451" s="353"/>
      <c r="V451" s="353"/>
      <c r="W451" s="432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  <c r="AQ451" s="200"/>
      <c r="AR451" s="200"/>
      <c r="AS451" s="200"/>
      <c r="AT451" s="200"/>
    </row>
    <row r="452" spans="1:46" ht="16.5" customHeight="1">
      <c r="A452" s="307"/>
      <c r="B452" s="307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353"/>
      <c r="R452" s="353"/>
      <c r="S452" s="200"/>
      <c r="T452" s="353"/>
      <c r="U452" s="353"/>
      <c r="V452" s="353"/>
      <c r="W452" s="432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  <c r="AQ452" s="200"/>
      <c r="AR452" s="200"/>
      <c r="AS452" s="200"/>
      <c r="AT452" s="200"/>
    </row>
    <row r="453" spans="1:46" ht="16.5" customHeight="1">
      <c r="A453" s="307"/>
      <c r="B453" s="307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353"/>
      <c r="R453" s="353"/>
      <c r="S453" s="200"/>
      <c r="T453" s="353"/>
      <c r="U453" s="353"/>
      <c r="V453" s="353"/>
      <c r="W453" s="432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  <c r="AT453" s="200"/>
    </row>
    <row r="454" spans="1:46" ht="16.5" customHeight="1">
      <c r="A454" s="307"/>
      <c r="B454" s="307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353"/>
      <c r="R454" s="353"/>
      <c r="S454" s="200"/>
      <c r="T454" s="353"/>
      <c r="U454" s="353"/>
      <c r="V454" s="353"/>
      <c r="W454" s="432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  <c r="AQ454" s="200"/>
      <c r="AR454" s="200"/>
      <c r="AS454" s="200"/>
      <c r="AT454" s="200"/>
    </row>
    <row r="455" spans="1:46" ht="16.5" customHeight="1">
      <c r="A455" s="307"/>
      <c r="B455" s="307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353"/>
      <c r="R455" s="353"/>
      <c r="S455" s="200"/>
      <c r="T455" s="353"/>
      <c r="U455" s="353"/>
      <c r="V455" s="353"/>
      <c r="W455" s="432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  <c r="AQ455" s="200"/>
      <c r="AR455" s="200"/>
      <c r="AS455" s="200"/>
      <c r="AT455" s="200"/>
    </row>
    <row r="456" spans="1:46" ht="16.5" customHeight="1">
      <c r="A456" s="307"/>
      <c r="B456" s="307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353"/>
      <c r="R456" s="353"/>
      <c r="S456" s="200"/>
      <c r="T456" s="353"/>
      <c r="U456" s="353"/>
      <c r="V456" s="353"/>
      <c r="W456" s="432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  <c r="AQ456" s="200"/>
      <c r="AR456" s="200"/>
      <c r="AS456" s="200"/>
      <c r="AT456" s="200"/>
    </row>
    <row r="457" spans="1:46" ht="16.5" customHeight="1">
      <c r="A457" s="307"/>
      <c r="B457" s="307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353"/>
      <c r="R457" s="353"/>
      <c r="S457" s="200"/>
      <c r="T457" s="353"/>
      <c r="U457" s="353"/>
      <c r="V457" s="353"/>
      <c r="W457" s="432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  <c r="AQ457" s="200"/>
      <c r="AR457" s="200"/>
      <c r="AS457" s="200"/>
      <c r="AT457" s="200"/>
    </row>
    <row r="458" spans="1:46" ht="16.5" customHeight="1">
      <c r="A458" s="307"/>
      <c r="B458" s="307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353"/>
      <c r="R458" s="353"/>
      <c r="S458" s="200"/>
      <c r="T458" s="353"/>
      <c r="U458" s="353"/>
      <c r="V458" s="353"/>
      <c r="W458" s="432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  <c r="AQ458" s="200"/>
      <c r="AR458" s="200"/>
      <c r="AS458" s="200"/>
      <c r="AT458" s="200"/>
    </row>
    <row r="459" spans="1:46" ht="16.5" customHeight="1">
      <c r="A459" s="307"/>
      <c r="B459" s="307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353"/>
      <c r="R459" s="353"/>
      <c r="S459" s="200"/>
      <c r="T459" s="353"/>
      <c r="U459" s="353"/>
      <c r="V459" s="353"/>
      <c r="W459" s="432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  <c r="AQ459" s="200"/>
      <c r="AR459" s="200"/>
      <c r="AS459" s="200"/>
      <c r="AT459" s="200"/>
    </row>
    <row r="460" spans="1:46" ht="16.5" customHeight="1">
      <c r="A460" s="307"/>
      <c r="B460" s="307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353"/>
      <c r="R460" s="353"/>
      <c r="S460" s="200"/>
      <c r="T460" s="353"/>
      <c r="U460" s="353"/>
      <c r="V460" s="353"/>
      <c r="W460" s="432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  <c r="AT460" s="200"/>
    </row>
    <row r="461" spans="1:46" ht="16.5" customHeight="1">
      <c r="A461" s="307"/>
      <c r="B461" s="307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353"/>
      <c r="R461" s="353"/>
      <c r="S461" s="200"/>
      <c r="T461" s="353"/>
      <c r="U461" s="353"/>
      <c r="V461" s="353"/>
      <c r="W461" s="432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  <c r="AQ461" s="200"/>
      <c r="AR461" s="200"/>
      <c r="AS461" s="200"/>
      <c r="AT461" s="200"/>
    </row>
    <row r="462" spans="1:46" ht="16.5" customHeight="1">
      <c r="A462" s="307"/>
      <c r="B462" s="307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353"/>
      <c r="R462" s="353"/>
      <c r="S462" s="200"/>
      <c r="T462" s="353"/>
      <c r="U462" s="353"/>
      <c r="V462" s="353"/>
      <c r="W462" s="432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  <c r="AT462" s="200"/>
    </row>
    <row r="463" spans="1:46" ht="16.5" customHeight="1">
      <c r="A463" s="307"/>
      <c r="B463" s="307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353"/>
      <c r="R463" s="353"/>
      <c r="S463" s="200"/>
      <c r="T463" s="353"/>
      <c r="U463" s="353"/>
      <c r="V463" s="353"/>
      <c r="W463" s="432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  <c r="AQ463" s="200"/>
      <c r="AR463" s="200"/>
      <c r="AS463" s="200"/>
      <c r="AT463" s="200"/>
    </row>
    <row r="464" spans="1:46" ht="16.5" customHeight="1">
      <c r="A464" s="307"/>
      <c r="B464" s="307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353"/>
      <c r="R464" s="353"/>
      <c r="S464" s="200"/>
      <c r="T464" s="353"/>
      <c r="U464" s="353"/>
      <c r="V464" s="353"/>
      <c r="W464" s="432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  <c r="AQ464" s="200"/>
      <c r="AR464" s="200"/>
      <c r="AS464" s="200"/>
      <c r="AT464" s="200"/>
    </row>
    <row r="465" spans="1:46" ht="16.5" customHeight="1">
      <c r="A465" s="307"/>
      <c r="B465" s="307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353"/>
      <c r="R465" s="353"/>
      <c r="S465" s="200"/>
      <c r="T465" s="353"/>
      <c r="U465" s="353"/>
      <c r="V465" s="353"/>
      <c r="W465" s="432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  <c r="AQ465" s="200"/>
      <c r="AR465" s="200"/>
      <c r="AS465" s="200"/>
      <c r="AT465" s="200"/>
    </row>
    <row r="466" spans="1:46" ht="16.5" customHeight="1">
      <c r="A466" s="307"/>
      <c r="B466" s="307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353"/>
      <c r="R466" s="353"/>
      <c r="S466" s="200"/>
      <c r="T466" s="353"/>
      <c r="U466" s="353"/>
      <c r="V466" s="353"/>
      <c r="W466" s="432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  <c r="AT466" s="200"/>
    </row>
    <row r="467" spans="1:46" ht="16.5" customHeight="1">
      <c r="A467" s="307"/>
      <c r="B467" s="307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353"/>
      <c r="R467" s="353"/>
      <c r="S467" s="200"/>
      <c r="T467" s="353"/>
      <c r="U467" s="353"/>
      <c r="V467" s="353"/>
      <c r="W467" s="432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  <c r="AQ467" s="200"/>
      <c r="AR467" s="200"/>
      <c r="AS467" s="200"/>
      <c r="AT467" s="200"/>
    </row>
    <row r="468" spans="1:46" ht="16.5" customHeight="1">
      <c r="A468" s="307"/>
      <c r="B468" s="307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353"/>
      <c r="R468" s="353"/>
      <c r="S468" s="200"/>
      <c r="T468" s="353"/>
      <c r="U468" s="353"/>
      <c r="V468" s="353"/>
      <c r="W468" s="432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  <c r="AQ468" s="200"/>
      <c r="AR468" s="200"/>
      <c r="AS468" s="200"/>
      <c r="AT468" s="200"/>
    </row>
    <row r="469" spans="1:46" ht="16.5" customHeight="1">
      <c r="A469" s="307"/>
      <c r="B469" s="307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353"/>
      <c r="R469" s="353"/>
      <c r="S469" s="200"/>
      <c r="T469" s="353"/>
      <c r="U469" s="353"/>
      <c r="V469" s="353"/>
      <c r="W469" s="432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  <c r="AT469" s="200"/>
    </row>
    <row r="470" spans="1:46" ht="16.5" customHeight="1">
      <c r="A470" s="307"/>
      <c r="B470" s="307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353"/>
      <c r="R470" s="353"/>
      <c r="S470" s="200"/>
      <c r="T470" s="353"/>
      <c r="U470" s="353"/>
      <c r="V470" s="353"/>
      <c r="W470" s="432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  <c r="AQ470" s="200"/>
      <c r="AR470" s="200"/>
      <c r="AS470" s="200"/>
      <c r="AT470" s="200"/>
    </row>
    <row r="471" spans="1:46" ht="16.5" customHeight="1">
      <c r="A471" s="307"/>
      <c r="B471" s="307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353"/>
      <c r="R471" s="353"/>
      <c r="S471" s="200"/>
      <c r="T471" s="353"/>
      <c r="U471" s="353"/>
      <c r="V471" s="353"/>
      <c r="W471" s="432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  <c r="AQ471" s="200"/>
      <c r="AR471" s="200"/>
      <c r="AS471" s="200"/>
      <c r="AT471" s="200"/>
    </row>
    <row r="472" spans="1:46" ht="16.5" customHeight="1">
      <c r="A472" s="307"/>
      <c r="B472" s="307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353"/>
      <c r="R472" s="353"/>
      <c r="S472" s="200"/>
      <c r="T472" s="353"/>
      <c r="U472" s="353"/>
      <c r="V472" s="353"/>
      <c r="W472" s="432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  <c r="AT472" s="200"/>
    </row>
    <row r="473" spans="1:46" ht="16.5" customHeight="1">
      <c r="A473" s="307"/>
      <c r="B473" s="307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353"/>
      <c r="R473" s="353"/>
      <c r="S473" s="200"/>
      <c r="T473" s="353"/>
      <c r="U473" s="353"/>
      <c r="V473" s="353"/>
      <c r="W473" s="432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  <c r="AT473" s="200"/>
    </row>
    <row r="474" spans="1:46" ht="16.5" customHeight="1">
      <c r="A474" s="307"/>
      <c r="B474" s="307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353"/>
      <c r="R474" s="353"/>
      <c r="S474" s="200"/>
      <c r="T474" s="353"/>
      <c r="U474" s="353"/>
      <c r="V474" s="353"/>
      <c r="W474" s="432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  <c r="AQ474" s="200"/>
      <c r="AR474" s="200"/>
      <c r="AS474" s="200"/>
      <c r="AT474" s="200"/>
    </row>
    <row r="475" spans="1:46" ht="16.5" customHeight="1">
      <c r="A475" s="307"/>
      <c r="B475" s="307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353"/>
      <c r="R475" s="353"/>
      <c r="S475" s="200"/>
      <c r="T475" s="353"/>
      <c r="U475" s="353"/>
      <c r="V475" s="353"/>
      <c r="W475" s="432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  <c r="AT475" s="200"/>
    </row>
    <row r="476" spans="1:46" ht="16.5" customHeight="1">
      <c r="A476" s="307"/>
      <c r="B476" s="307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353"/>
      <c r="R476" s="353"/>
      <c r="S476" s="200"/>
      <c r="T476" s="353"/>
      <c r="U476" s="353"/>
      <c r="V476" s="353"/>
      <c r="W476" s="432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  <c r="AQ476" s="200"/>
      <c r="AR476" s="200"/>
      <c r="AS476" s="200"/>
      <c r="AT476" s="200"/>
    </row>
    <row r="477" spans="1:46" ht="16.5" customHeight="1">
      <c r="A477" s="307"/>
      <c r="B477" s="307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353"/>
      <c r="R477" s="353"/>
      <c r="S477" s="200"/>
      <c r="T477" s="353"/>
      <c r="U477" s="353"/>
      <c r="V477" s="353"/>
      <c r="W477" s="432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  <c r="AT477" s="200"/>
    </row>
    <row r="478" spans="1:46" ht="16.5" customHeight="1">
      <c r="A478" s="307"/>
      <c r="B478" s="307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353"/>
      <c r="R478" s="353"/>
      <c r="S478" s="200"/>
      <c r="T478" s="353"/>
      <c r="U478" s="353"/>
      <c r="V478" s="353"/>
      <c r="W478" s="432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  <c r="AT478" s="200"/>
    </row>
    <row r="479" spans="1:46" ht="16.5" customHeight="1">
      <c r="A479" s="307"/>
      <c r="B479" s="307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353"/>
      <c r="R479" s="353"/>
      <c r="S479" s="200"/>
      <c r="T479" s="353"/>
      <c r="U479" s="353"/>
      <c r="V479" s="353"/>
      <c r="W479" s="432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  <c r="AQ479" s="200"/>
      <c r="AR479" s="200"/>
      <c r="AS479" s="200"/>
      <c r="AT479" s="200"/>
    </row>
    <row r="480" spans="1:46" ht="16.5" customHeight="1">
      <c r="A480" s="307"/>
      <c r="B480" s="307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353"/>
      <c r="R480" s="353"/>
      <c r="S480" s="200"/>
      <c r="T480" s="353"/>
      <c r="U480" s="353"/>
      <c r="V480" s="353"/>
      <c r="W480" s="432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  <c r="AQ480" s="200"/>
      <c r="AR480" s="200"/>
      <c r="AS480" s="200"/>
      <c r="AT480" s="200"/>
    </row>
    <row r="481" spans="1:46" ht="16.5" customHeight="1">
      <c r="A481" s="307"/>
      <c r="B481" s="307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353"/>
      <c r="R481" s="353"/>
      <c r="S481" s="200"/>
      <c r="T481" s="353"/>
      <c r="U481" s="353"/>
      <c r="V481" s="353"/>
      <c r="W481" s="432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  <c r="AQ481" s="200"/>
      <c r="AR481" s="200"/>
      <c r="AS481" s="200"/>
      <c r="AT481" s="200"/>
    </row>
    <row r="482" spans="1:46" ht="16.5" customHeight="1">
      <c r="A482" s="307"/>
      <c r="B482" s="307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353"/>
      <c r="R482" s="353"/>
      <c r="S482" s="200"/>
      <c r="T482" s="353"/>
      <c r="U482" s="353"/>
      <c r="V482" s="353"/>
      <c r="W482" s="432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  <c r="AQ482" s="200"/>
      <c r="AR482" s="200"/>
      <c r="AS482" s="200"/>
      <c r="AT482" s="200"/>
    </row>
    <row r="483" spans="1:46" ht="16.5" customHeight="1">
      <c r="A483" s="307"/>
      <c r="B483" s="307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353"/>
      <c r="R483" s="353"/>
      <c r="S483" s="200"/>
      <c r="T483" s="353"/>
      <c r="U483" s="353"/>
      <c r="V483" s="353"/>
      <c r="W483" s="432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  <c r="AQ483" s="200"/>
      <c r="AR483" s="200"/>
      <c r="AS483" s="200"/>
      <c r="AT483" s="200"/>
    </row>
    <row r="484" spans="1:46" ht="16.5" customHeight="1">
      <c r="A484" s="307"/>
      <c r="B484" s="307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353"/>
      <c r="R484" s="353"/>
      <c r="S484" s="200"/>
      <c r="T484" s="353"/>
      <c r="U484" s="353"/>
      <c r="V484" s="353"/>
      <c r="W484" s="432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  <c r="AT484" s="200"/>
    </row>
    <row r="485" spans="1:46" ht="16.5" customHeight="1">
      <c r="A485" s="307"/>
      <c r="B485" s="307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353"/>
      <c r="R485" s="353"/>
      <c r="S485" s="200"/>
      <c r="T485" s="353"/>
      <c r="U485" s="353"/>
      <c r="V485" s="353"/>
      <c r="W485" s="432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  <c r="AQ485" s="200"/>
      <c r="AR485" s="200"/>
      <c r="AS485" s="200"/>
      <c r="AT485" s="200"/>
    </row>
    <row r="486" spans="1:46" ht="16.5" customHeight="1">
      <c r="A486" s="307"/>
      <c r="B486" s="307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353"/>
      <c r="R486" s="353"/>
      <c r="S486" s="200"/>
      <c r="T486" s="353"/>
      <c r="U486" s="353"/>
      <c r="V486" s="353"/>
      <c r="W486" s="432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  <c r="AQ486" s="200"/>
      <c r="AR486" s="200"/>
      <c r="AS486" s="200"/>
      <c r="AT486" s="200"/>
    </row>
    <row r="487" spans="1:46" ht="16.5" customHeight="1">
      <c r="A487" s="307"/>
      <c r="B487" s="307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353"/>
      <c r="R487" s="353"/>
      <c r="S487" s="200"/>
      <c r="T487" s="353"/>
      <c r="U487" s="353"/>
      <c r="V487" s="353"/>
      <c r="W487" s="432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  <c r="AQ487" s="200"/>
      <c r="AR487" s="200"/>
      <c r="AS487" s="200"/>
      <c r="AT487" s="200"/>
    </row>
    <row r="488" spans="1:46" ht="16.5" customHeight="1">
      <c r="A488" s="307"/>
      <c r="B488" s="307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353"/>
      <c r="R488" s="353"/>
      <c r="S488" s="200"/>
      <c r="T488" s="353"/>
      <c r="U488" s="353"/>
      <c r="V488" s="353"/>
      <c r="W488" s="432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  <c r="AQ488" s="200"/>
      <c r="AR488" s="200"/>
      <c r="AS488" s="200"/>
      <c r="AT488" s="200"/>
    </row>
    <row r="489" spans="1:46" ht="16.5" customHeight="1">
      <c r="A489" s="307"/>
      <c r="B489" s="307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353"/>
      <c r="R489" s="353"/>
      <c r="S489" s="200"/>
      <c r="T489" s="353"/>
      <c r="U489" s="353"/>
      <c r="V489" s="353"/>
      <c r="W489" s="432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  <c r="AQ489" s="200"/>
      <c r="AR489" s="200"/>
      <c r="AS489" s="200"/>
      <c r="AT489" s="200"/>
    </row>
    <row r="490" spans="1:46" ht="16.5" customHeight="1">
      <c r="A490" s="307"/>
      <c r="B490" s="307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353"/>
      <c r="R490" s="353"/>
      <c r="S490" s="200"/>
      <c r="T490" s="353"/>
      <c r="U490" s="353"/>
      <c r="V490" s="353"/>
      <c r="W490" s="432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  <c r="AT490" s="200"/>
    </row>
    <row r="491" spans="1:46" ht="16.5" customHeight="1">
      <c r="A491" s="307"/>
      <c r="B491" s="307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353"/>
      <c r="R491" s="353"/>
      <c r="S491" s="200"/>
      <c r="T491" s="353"/>
      <c r="U491" s="353"/>
      <c r="V491" s="353"/>
      <c r="W491" s="432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  <c r="AQ491" s="200"/>
      <c r="AR491" s="200"/>
      <c r="AS491" s="200"/>
      <c r="AT491" s="200"/>
    </row>
    <row r="492" spans="1:46" ht="16.5" customHeight="1">
      <c r="A492" s="307"/>
      <c r="B492" s="307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353"/>
      <c r="R492" s="353"/>
      <c r="S492" s="200"/>
      <c r="T492" s="353"/>
      <c r="U492" s="353"/>
      <c r="V492" s="353"/>
      <c r="W492" s="432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  <c r="AQ492" s="200"/>
      <c r="AR492" s="200"/>
      <c r="AS492" s="200"/>
      <c r="AT492" s="200"/>
    </row>
    <row r="493" spans="1:46" ht="16.5" customHeight="1">
      <c r="A493" s="307"/>
      <c r="B493" s="307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353"/>
      <c r="R493" s="353"/>
      <c r="S493" s="200"/>
      <c r="T493" s="353"/>
      <c r="U493" s="353"/>
      <c r="V493" s="353"/>
      <c r="W493" s="432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  <c r="AQ493" s="200"/>
      <c r="AR493" s="200"/>
      <c r="AS493" s="200"/>
      <c r="AT493" s="200"/>
    </row>
    <row r="494" spans="1:46" ht="16.5" customHeight="1">
      <c r="A494" s="307"/>
      <c r="B494" s="307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353"/>
      <c r="R494" s="353"/>
      <c r="S494" s="200"/>
      <c r="T494" s="353"/>
      <c r="U494" s="353"/>
      <c r="V494" s="353"/>
      <c r="W494" s="432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</row>
    <row r="495" spans="1:46" ht="16.5" customHeight="1">
      <c r="A495" s="307"/>
      <c r="B495" s="307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353"/>
      <c r="R495" s="353"/>
      <c r="S495" s="200"/>
      <c r="T495" s="353"/>
      <c r="U495" s="353"/>
      <c r="V495" s="353"/>
      <c r="W495" s="432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  <c r="AQ495" s="200"/>
      <c r="AR495" s="200"/>
      <c r="AS495" s="200"/>
      <c r="AT495" s="200"/>
    </row>
    <row r="496" spans="1:46" ht="16.5" customHeight="1">
      <c r="A496" s="307"/>
      <c r="B496" s="307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353"/>
      <c r="R496" s="353"/>
      <c r="S496" s="200"/>
      <c r="T496" s="353"/>
      <c r="U496" s="353"/>
      <c r="V496" s="353"/>
      <c r="W496" s="432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  <c r="AQ496" s="200"/>
      <c r="AR496" s="200"/>
      <c r="AS496" s="200"/>
      <c r="AT496" s="200"/>
    </row>
    <row r="497" spans="1:46" ht="16.5" customHeight="1">
      <c r="A497" s="307"/>
      <c r="B497" s="307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353"/>
      <c r="R497" s="353"/>
      <c r="S497" s="200"/>
      <c r="T497" s="353"/>
      <c r="U497" s="353"/>
      <c r="V497" s="353"/>
      <c r="W497" s="432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</row>
    <row r="498" spans="1:46" ht="16.5" customHeight="1">
      <c r="A498" s="307"/>
      <c r="B498" s="307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353"/>
      <c r="R498" s="353"/>
      <c r="S498" s="200"/>
      <c r="T498" s="353"/>
      <c r="U498" s="353"/>
      <c r="V498" s="353"/>
      <c r="W498" s="432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  <c r="AQ498" s="200"/>
      <c r="AR498" s="200"/>
      <c r="AS498" s="200"/>
      <c r="AT498" s="200"/>
    </row>
    <row r="499" spans="1:46" ht="16.5" customHeight="1">
      <c r="A499" s="307"/>
      <c r="B499" s="307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353"/>
      <c r="R499" s="353"/>
      <c r="S499" s="200"/>
      <c r="T499" s="353"/>
      <c r="U499" s="353"/>
      <c r="V499" s="353"/>
      <c r="W499" s="432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  <c r="AQ499" s="200"/>
      <c r="AR499" s="200"/>
      <c r="AS499" s="200"/>
      <c r="AT499" s="200"/>
    </row>
    <row r="500" spans="1:46" ht="16.5" customHeight="1">
      <c r="A500" s="307"/>
      <c r="B500" s="307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353"/>
      <c r="R500" s="353"/>
      <c r="S500" s="200"/>
      <c r="T500" s="353"/>
      <c r="U500" s="353"/>
      <c r="V500" s="353"/>
      <c r="W500" s="432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  <c r="AQ500" s="200"/>
      <c r="AR500" s="200"/>
      <c r="AS500" s="200"/>
      <c r="AT500" s="200"/>
    </row>
    <row r="501" spans="1:46" ht="16.5" customHeight="1">
      <c r="A501" s="307"/>
      <c r="B501" s="307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353"/>
      <c r="R501" s="353"/>
      <c r="S501" s="200"/>
      <c r="T501" s="353"/>
      <c r="U501" s="353"/>
      <c r="V501" s="353"/>
      <c r="W501" s="432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  <c r="AQ501" s="200"/>
      <c r="AR501" s="200"/>
      <c r="AS501" s="200"/>
      <c r="AT501" s="200"/>
    </row>
    <row r="502" spans="1:46" ht="16.5" customHeight="1">
      <c r="A502" s="307"/>
      <c r="B502" s="307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353"/>
      <c r="R502" s="353"/>
      <c r="S502" s="200"/>
      <c r="T502" s="353"/>
      <c r="U502" s="353"/>
      <c r="V502" s="353"/>
      <c r="W502" s="432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  <c r="AQ502" s="200"/>
      <c r="AR502" s="200"/>
      <c r="AS502" s="200"/>
      <c r="AT502" s="200"/>
    </row>
    <row r="503" spans="1:46" ht="16.5" customHeight="1">
      <c r="A503" s="307"/>
      <c r="B503" s="307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353"/>
      <c r="R503" s="353"/>
      <c r="S503" s="200"/>
      <c r="T503" s="353"/>
      <c r="U503" s="353"/>
      <c r="V503" s="353"/>
      <c r="W503" s="432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  <c r="AT503" s="200"/>
    </row>
    <row r="504" spans="1:46" ht="16.5" customHeight="1">
      <c r="A504" s="307"/>
      <c r="B504" s="307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353"/>
      <c r="R504" s="353"/>
      <c r="S504" s="200"/>
      <c r="T504" s="353"/>
      <c r="U504" s="353"/>
      <c r="V504" s="353"/>
      <c r="W504" s="432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  <c r="AT504" s="200"/>
    </row>
    <row r="505" spans="1:46" ht="16.5" customHeight="1">
      <c r="A505" s="307"/>
      <c r="B505" s="307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353"/>
      <c r="R505" s="353"/>
      <c r="S505" s="200"/>
      <c r="T505" s="353"/>
      <c r="U505" s="353"/>
      <c r="V505" s="353"/>
      <c r="W505" s="432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  <c r="AQ505" s="200"/>
      <c r="AR505" s="200"/>
      <c r="AS505" s="200"/>
      <c r="AT505" s="200"/>
    </row>
    <row r="506" spans="1:46" ht="16.5" customHeight="1">
      <c r="A506" s="307"/>
      <c r="B506" s="307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353"/>
      <c r="R506" s="353"/>
      <c r="S506" s="200"/>
      <c r="T506" s="353"/>
      <c r="U506" s="353"/>
      <c r="V506" s="353"/>
      <c r="W506" s="432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  <c r="AQ506" s="200"/>
      <c r="AR506" s="200"/>
      <c r="AS506" s="200"/>
      <c r="AT506" s="200"/>
    </row>
    <row r="507" spans="1:46" ht="16.5" customHeight="1">
      <c r="A507" s="307"/>
      <c r="B507" s="307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353"/>
      <c r="R507" s="353"/>
      <c r="S507" s="200"/>
      <c r="T507" s="353"/>
      <c r="U507" s="353"/>
      <c r="V507" s="353"/>
      <c r="W507" s="432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  <c r="AQ507" s="200"/>
      <c r="AR507" s="200"/>
      <c r="AS507" s="200"/>
      <c r="AT507" s="200"/>
    </row>
    <row r="508" spans="1:46" ht="16.5" customHeight="1">
      <c r="A508" s="307"/>
      <c r="B508" s="307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353"/>
      <c r="R508" s="353"/>
      <c r="S508" s="200"/>
      <c r="T508" s="353"/>
      <c r="U508" s="353"/>
      <c r="V508" s="353"/>
      <c r="W508" s="432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  <c r="AQ508" s="200"/>
      <c r="AR508" s="200"/>
      <c r="AS508" s="200"/>
      <c r="AT508" s="200"/>
    </row>
    <row r="509" spans="1:46" ht="16.5" customHeight="1">
      <c r="A509" s="307"/>
      <c r="B509" s="307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353"/>
      <c r="R509" s="353"/>
      <c r="S509" s="200"/>
      <c r="T509" s="353"/>
      <c r="U509" s="353"/>
      <c r="V509" s="353"/>
      <c r="W509" s="432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  <c r="AQ509" s="200"/>
      <c r="AR509" s="200"/>
      <c r="AS509" s="200"/>
      <c r="AT509" s="200"/>
    </row>
    <row r="510" spans="1:46" ht="16.5" customHeight="1">
      <c r="A510" s="307"/>
      <c r="B510" s="307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353"/>
      <c r="R510" s="353"/>
      <c r="S510" s="200"/>
      <c r="T510" s="353"/>
      <c r="U510" s="353"/>
      <c r="V510" s="353"/>
      <c r="W510" s="432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  <c r="AT510" s="200"/>
    </row>
    <row r="511" spans="1:46" ht="16.5" customHeight="1">
      <c r="A511" s="307"/>
      <c r="B511" s="307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353"/>
      <c r="R511" s="353"/>
      <c r="S511" s="200"/>
      <c r="T511" s="353"/>
      <c r="U511" s="353"/>
      <c r="V511" s="353"/>
      <c r="W511" s="432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  <c r="AQ511" s="200"/>
      <c r="AR511" s="200"/>
      <c r="AS511" s="200"/>
      <c r="AT511" s="200"/>
    </row>
    <row r="512" spans="1:46" ht="16.5" customHeight="1">
      <c r="A512" s="307"/>
      <c r="B512" s="307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353"/>
      <c r="R512" s="353"/>
      <c r="S512" s="200"/>
      <c r="T512" s="353"/>
      <c r="U512" s="353"/>
      <c r="V512" s="353"/>
      <c r="W512" s="432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  <c r="AQ512" s="200"/>
      <c r="AR512" s="200"/>
      <c r="AS512" s="200"/>
      <c r="AT512" s="200"/>
    </row>
    <row r="513" spans="1:46" ht="16.5" customHeight="1">
      <c r="A513" s="307"/>
      <c r="B513" s="307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353"/>
      <c r="R513" s="353"/>
      <c r="S513" s="200"/>
      <c r="T513" s="353"/>
      <c r="U513" s="353"/>
      <c r="V513" s="353"/>
      <c r="W513" s="432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  <c r="AQ513" s="200"/>
      <c r="AR513" s="200"/>
      <c r="AS513" s="200"/>
      <c r="AT513" s="200"/>
    </row>
    <row r="514" spans="1:46" ht="16.5" customHeight="1">
      <c r="A514" s="307"/>
      <c r="B514" s="307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353"/>
      <c r="R514" s="353"/>
      <c r="S514" s="200"/>
      <c r="T514" s="353"/>
      <c r="U514" s="353"/>
      <c r="V514" s="353"/>
      <c r="W514" s="432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  <c r="AQ514" s="200"/>
      <c r="AR514" s="200"/>
      <c r="AS514" s="200"/>
      <c r="AT514" s="200"/>
    </row>
    <row r="515" spans="1:46" ht="16.5" customHeight="1">
      <c r="A515" s="307"/>
      <c r="B515" s="307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353"/>
      <c r="R515" s="353"/>
      <c r="S515" s="200"/>
      <c r="T515" s="353"/>
      <c r="U515" s="353"/>
      <c r="V515" s="353"/>
      <c r="W515" s="432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  <c r="AQ515" s="200"/>
      <c r="AR515" s="200"/>
      <c r="AS515" s="200"/>
      <c r="AT515" s="200"/>
    </row>
    <row r="516" spans="1:46" ht="16.5" customHeight="1">
      <c r="A516" s="307"/>
      <c r="B516" s="307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353"/>
      <c r="R516" s="353"/>
      <c r="S516" s="200"/>
      <c r="T516" s="353"/>
      <c r="U516" s="353"/>
      <c r="V516" s="353"/>
      <c r="W516" s="432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  <c r="AQ516" s="200"/>
      <c r="AR516" s="200"/>
      <c r="AS516" s="200"/>
      <c r="AT516" s="200"/>
    </row>
    <row r="517" spans="1:46" ht="16.5" customHeight="1">
      <c r="A517" s="307"/>
      <c r="B517" s="307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353"/>
      <c r="R517" s="353"/>
      <c r="S517" s="200"/>
      <c r="T517" s="353"/>
      <c r="U517" s="353"/>
      <c r="V517" s="353"/>
      <c r="W517" s="432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  <c r="AQ517" s="200"/>
      <c r="AR517" s="200"/>
      <c r="AS517" s="200"/>
      <c r="AT517" s="200"/>
    </row>
    <row r="518" spans="1:46" ht="16.5" customHeight="1">
      <c r="A518" s="307"/>
      <c r="B518" s="307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353"/>
      <c r="R518" s="353"/>
      <c r="S518" s="200"/>
      <c r="T518" s="353"/>
      <c r="U518" s="353"/>
      <c r="V518" s="353"/>
      <c r="W518" s="432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  <c r="AT518" s="200"/>
    </row>
    <row r="519" spans="1:46" ht="16.5" customHeight="1">
      <c r="A519" s="307"/>
      <c r="B519" s="307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353"/>
      <c r="R519" s="353"/>
      <c r="S519" s="200"/>
      <c r="T519" s="353"/>
      <c r="U519" s="353"/>
      <c r="V519" s="353"/>
      <c r="W519" s="432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  <c r="AT519" s="200"/>
    </row>
    <row r="520" spans="1:46" ht="16.5" customHeight="1">
      <c r="A520" s="307"/>
      <c r="B520" s="307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353"/>
      <c r="R520" s="353"/>
      <c r="S520" s="200"/>
      <c r="T520" s="353"/>
      <c r="U520" s="353"/>
      <c r="V520" s="353"/>
      <c r="W520" s="432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  <c r="AQ520" s="200"/>
      <c r="AR520" s="200"/>
      <c r="AS520" s="200"/>
      <c r="AT520" s="200"/>
    </row>
    <row r="521" spans="1:46" ht="16.5" customHeight="1">
      <c r="A521" s="307"/>
      <c r="B521" s="307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353"/>
      <c r="R521" s="353"/>
      <c r="S521" s="200"/>
      <c r="T521" s="353"/>
      <c r="U521" s="353"/>
      <c r="V521" s="353"/>
      <c r="W521" s="432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  <c r="AQ521" s="200"/>
      <c r="AR521" s="200"/>
      <c r="AS521" s="200"/>
      <c r="AT521" s="200"/>
    </row>
    <row r="522" spans="1:46" ht="16.5" customHeight="1">
      <c r="A522" s="307"/>
      <c r="B522" s="307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353"/>
      <c r="R522" s="353"/>
      <c r="S522" s="200"/>
      <c r="T522" s="353"/>
      <c r="U522" s="353"/>
      <c r="V522" s="353"/>
      <c r="W522" s="432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  <c r="AT522" s="200"/>
    </row>
    <row r="523" spans="1:46" ht="16.5" customHeight="1">
      <c r="A523" s="307"/>
      <c r="B523" s="307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353"/>
      <c r="R523" s="353"/>
      <c r="S523" s="200"/>
      <c r="T523" s="353"/>
      <c r="U523" s="353"/>
      <c r="V523" s="353"/>
      <c r="W523" s="432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  <c r="AQ523" s="200"/>
      <c r="AR523" s="200"/>
      <c r="AS523" s="200"/>
      <c r="AT523" s="200"/>
    </row>
    <row r="524" spans="1:46" ht="16.5" customHeight="1">
      <c r="A524" s="307"/>
      <c r="B524" s="307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353"/>
      <c r="R524" s="353"/>
      <c r="S524" s="200"/>
      <c r="T524" s="353"/>
      <c r="U524" s="353"/>
      <c r="V524" s="353"/>
      <c r="W524" s="432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  <c r="AQ524" s="200"/>
      <c r="AR524" s="200"/>
      <c r="AS524" s="200"/>
      <c r="AT524" s="200"/>
    </row>
    <row r="525" spans="1:46" ht="16.5" customHeight="1">
      <c r="A525" s="307"/>
      <c r="B525" s="307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353"/>
      <c r="R525" s="353"/>
      <c r="S525" s="200"/>
      <c r="T525" s="353"/>
      <c r="U525" s="353"/>
      <c r="V525" s="353"/>
      <c r="W525" s="432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  <c r="AT525" s="200"/>
    </row>
    <row r="526" spans="1:46" ht="16.5" customHeight="1">
      <c r="A526" s="307"/>
      <c r="B526" s="307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353"/>
      <c r="R526" s="353"/>
      <c r="S526" s="200"/>
      <c r="T526" s="353"/>
      <c r="U526" s="353"/>
      <c r="V526" s="353"/>
      <c r="W526" s="432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  <c r="AQ526" s="200"/>
      <c r="AR526" s="200"/>
      <c r="AS526" s="200"/>
      <c r="AT526" s="200"/>
    </row>
    <row r="527" spans="1:46" ht="16.5" customHeight="1">
      <c r="A527" s="307"/>
      <c r="B527" s="307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353"/>
      <c r="R527" s="353"/>
      <c r="S527" s="200"/>
      <c r="T527" s="353"/>
      <c r="U527" s="353"/>
      <c r="V527" s="353"/>
      <c r="W527" s="432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  <c r="AQ527" s="200"/>
      <c r="AR527" s="200"/>
      <c r="AS527" s="200"/>
      <c r="AT527" s="200"/>
    </row>
    <row r="528" spans="1:46" ht="16.5" customHeight="1">
      <c r="A528" s="307"/>
      <c r="B528" s="307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353"/>
      <c r="R528" s="353"/>
      <c r="S528" s="200"/>
      <c r="T528" s="353"/>
      <c r="U528" s="353"/>
      <c r="V528" s="353"/>
      <c r="W528" s="432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  <c r="AQ528" s="200"/>
      <c r="AR528" s="200"/>
      <c r="AS528" s="200"/>
      <c r="AT528" s="200"/>
    </row>
    <row r="529" spans="1:46" ht="16.5" customHeight="1">
      <c r="A529" s="307"/>
      <c r="B529" s="307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353"/>
      <c r="R529" s="353"/>
      <c r="S529" s="200"/>
      <c r="T529" s="353"/>
      <c r="U529" s="353"/>
      <c r="V529" s="353"/>
      <c r="W529" s="432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  <c r="AQ529" s="200"/>
      <c r="AR529" s="200"/>
      <c r="AS529" s="200"/>
      <c r="AT529" s="200"/>
    </row>
    <row r="530" spans="1:46" ht="16.5" customHeight="1">
      <c r="A530" s="307"/>
      <c r="B530" s="307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353"/>
      <c r="R530" s="353"/>
      <c r="S530" s="200"/>
      <c r="T530" s="353"/>
      <c r="U530" s="353"/>
      <c r="V530" s="353"/>
      <c r="W530" s="432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  <c r="AQ530" s="200"/>
      <c r="AR530" s="200"/>
      <c r="AS530" s="200"/>
      <c r="AT530" s="200"/>
    </row>
    <row r="531" spans="1:46" ht="16.5" customHeight="1">
      <c r="A531" s="307"/>
      <c r="B531" s="307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353"/>
      <c r="R531" s="353"/>
      <c r="S531" s="200"/>
      <c r="T531" s="353"/>
      <c r="U531" s="353"/>
      <c r="V531" s="353"/>
      <c r="W531" s="432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  <c r="AQ531" s="200"/>
      <c r="AR531" s="200"/>
      <c r="AS531" s="200"/>
      <c r="AT531" s="200"/>
    </row>
    <row r="532" spans="1:46" ht="16.5" customHeight="1">
      <c r="A532" s="307"/>
      <c r="B532" s="307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353"/>
      <c r="R532" s="353"/>
      <c r="S532" s="200"/>
      <c r="T532" s="353"/>
      <c r="U532" s="353"/>
      <c r="V532" s="353"/>
      <c r="W532" s="432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  <c r="AQ532" s="200"/>
      <c r="AR532" s="200"/>
      <c r="AS532" s="200"/>
      <c r="AT532" s="200"/>
    </row>
    <row r="533" spans="1:46" ht="16.5" customHeight="1">
      <c r="A533" s="307"/>
      <c r="B533" s="307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353"/>
      <c r="R533" s="353"/>
      <c r="S533" s="200"/>
      <c r="T533" s="353"/>
      <c r="U533" s="353"/>
      <c r="V533" s="353"/>
      <c r="W533" s="432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  <c r="AT533" s="200"/>
    </row>
    <row r="534" spans="1:46" ht="16.5" customHeight="1">
      <c r="A534" s="307"/>
      <c r="B534" s="307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353"/>
      <c r="R534" s="353"/>
      <c r="S534" s="200"/>
      <c r="T534" s="353"/>
      <c r="U534" s="353"/>
      <c r="V534" s="353"/>
      <c r="W534" s="432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  <c r="AQ534" s="200"/>
      <c r="AR534" s="200"/>
      <c r="AS534" s="200"/>
      <c r="AT534" s="200"/>
    </row>
    <row r="535" spans="1:46" ht="16.5" customHeight="1">
      <c r="A535" s="307"/>
      <c r="B535" s="307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353"/>
      <c r="R535" s="353"/>
      <c r="S535" s="200"/>
      <c r="T535" s="353"/>
      <c r="U535" s="353"/>
      <c r="V535" s="353"/>
      <c r="W535" s="432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  <c r="AQ535" s="200"/>
      <c r="AR535" s="200"/>
      <c r="AS535" s="200"/>
      <c r="AT535" s="200"/>
    </row>
    <row r="536" spans="1:46" ht="16.5" customHeight="1">
      <c r="A536" s="307"/>
      <c r="B536" s="307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353"/>
      <c r="R536" s="353"/>
      <c r="S536" s="200"/>
      <c r="T536" s="353"/>
      <c r="U536" s="353"/>
      <c r="V536" s="353"/>
      <c r="W536" s="432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  <c r="AQ536" s="200"/>
      <c r="AR536" s="200"/>
      <c r="AS536" s="200"/>
      <c r="AT536" s="200"/>
    </row>
    <row r="537" spans="1:46" ht="16.5" customHeight="1">
      <c r="A537" s="307"/>
      <c r="B537" s="307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353"/>
      <c r="R537" s="353"/>
      <c r="S537" s="200"/>
      <c r="T537" s="353"/>
      <c r="U537" s="353"/>
      <c r="V537" s="353"/>
      <c r="W537" s="432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  <c r="AQ537" s="200"/>
      <c r="AR537" s="200"/>
      <c r="AS537" s="200"/>
      <c r="AT537" s="200"/>
    </row>
    <row r="538" spans="1:46" ht="16.5" customHeight="1">
      <c r="A538" s="307"/>
      <c r="B538" s="307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353"/>
      <c r="R538" s="353"/>
      <c r="S538" s="200"/>
      <c r="T538" s="353"/>
      <c r="U538" s="353"/>
      <c r="V538" s="353"/>
      <c r="W538" s="432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  <c r="AQ538" s="200"/>
      <c r="AR538" s="200"/>
      <c r="AS538" s="200"/>
      <c r="AT538" s="200"/>
    </row>
    <row r="539" spans="1:46" ht="16.5" customHeight="1">
      <c r="A539" s="307"/>
      <c r="B539" s="307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353"/>
      <c r="R539" s="353"/>
      <c r="S539" s="200"/>
      <c r="T539" s="353"/>
      <c r="U539" s="353"/>
      <c r="V539" s="353"/>
      <c r="W539" s="432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  <c r="AT539" s="200"/>
    </row>
    <row r="540" spans="1:46" ht="16.5" customHeight="1">
      <c r="A540" s="307"/>
      <c r="B540" s="307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353"/>
      <c r="R540" s="353"/>
      <c r="S540" s="200"/>
      <c r="T540" s="353"/>
      <c r="U540" s="353"/>
      <c r="V540" s="353"/>
      <c r="W540" s="432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  <c r="AQ540" s="200"/>
      <c r="AR540" s="200"/>
      <c r="AS540" s="200"/>
      <c r="AT540" s="200"/>
    </row>
    <row r="541" spans="1:46" ht="16.5" customHeight="1">
      <c r="A541" s="307"/>
      <c r="B541" s="307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353"/>
      <c r="R541" s="353"/>
      <c r="S541" s="200"/>
      <c r="T541" s="353"/>
      <c r="U541" s="353"/>
      <c r="V541" s="353"/>
      <c r="W541" s="432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  <c r="AQ541" s="200"/>
      <c r="AR541" s="200"/>
      <c r="AS541" s="200"/>
      <c r="AT541" s="200"/>
    </row>
    <row r="542" spans="1:46" ht="16.5" customHeight="1">
      <c r="A542" s="307"/>
      <c r="B542" s="307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353"/>
      <c r="R542" s="353"/>
      <c r="S542" s="200"/>
      <c r="T542" s="353"/>
      <c r="U542" s="353"/>
      <c r="V542" s="353"/>
      <c r="W542" s="432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  <c r="AQ542" s="200"/>
      <c r="AR542" s="200"/>
      <c r="AS542" s="200"/>
      <c r="AT542" s="200"/>
    </row>
    <row r="543" spans="1:46" ht="16.5" customHeight="1">
      <c r="A543" s="307"/>
      <c r="B543" s="307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353"/>
      <c r="R543" s="353"/>
      <c r="S543" s="200"/>
      <c r="T543" s="353"/>
      <c r="U543" s="353"/>
      <c r="V543" s="353"/>
      <c r="W543" s="432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  <c r="AQ543" s="200"/>
      <c r="AR543" s="200"/>
      <c r="AS543" s="200"/>
      <c r="AT543" s="200"/>
    </row>
    <row r="544" spans="1:46" ht="16.5" customHeight="1">
      <c r="A544" s="307"/>
      <c r="B544" s="307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353"/>
      <c r="R544" s="353"/>
      <c r="S544" s="200"/>
      <c r="T544" s="353"/>
      <c r="U544" s="353"/>
      <c r="V544" s="353"/>
      <c r="W544" s="432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  <c r="AQ544" s="200"/>
      <c r="AR544" s="200"/>
      <c r="AS544" s="200"/>
      <c r="AT544" s="200"/>
    </row>
    <row r="545" spans="1:46" ht="16.5" customHeight="1">
      <c r="A545" s="307"/>
      <c r="B545" s="307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353"/>
      <c r="R545" s="353"/>
      <c r="S545" s="200"/>
      <c r="T545" s="353"/>
      <c r="U545" s="353"/>
      <c r="V545" s="353"/>
      <c r="W545" s="432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  <c r="AQ545" s="200"/>
      <c r="AR545" s="200"/>
      <c r="AS545" s="200"/>
      <c r="AT545" s="200"/>
    </row>
    <row r="546" spans="1:46" ht="16.5" customHeight="1">
      <c r="A546" s="307"/>
      <c r="B546" s="307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353"/>
      <c r="R546" s="353"/>
      <c r="S546" s="200"/>
      <c r="T546" s="353"/>
      <c r="U546" s="353"/>
      <c r="V546" s="353"/>
      <c r="W546" s="432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</row>
    <row r="547" spans="1:46" ht="16.5" customHeight="1">
      <c r="A547" s="307"/>
      <c r="B547" s="307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353"/>
      <c r="R547" s="353"/>
      <c r="S547" s="200"/>
      <c r="T547" s="353"/>
      <c r="U547" s="353"/>
      <c r="V547" s="353"/>
      <c r="W547" s="432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  <c r="AQ547" s="200"/>
      <c r="AR547" s="200"/>
      <c r="AS547" s="200"/>
      <c r="AT547" s="200"/>
    </row>
    <row r="548" spans="1:46" ht="16.5" customHeight="1">
      <c r="A548" s="307"/>
      <c r="B548" s="307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353"/>
      <c r="R548" s="353"/>
      <c r="S548" s="200"/>
      <c r="T548" s="353"/>
      <c r="U548" s="353"/>
      <c r="V548" s="353"/>
      <c r="W548" s="432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  <c r="AQ548" s="200"/>
      <c r="AR548" s="200"/>
      <c r="AS548" s="200"/>
      <c r="AT548" s="200"/>
    </row>
    <row r="549" spans="1:46" ht="16.5" customHeight="1">
      <c r="A549" s="307"/>
      <c r="B549" s="307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353"/>
      <c r="R549" s="353"/>
      <c r="S549" s="200"/>
      <c r="T549" s="353"/>
      <c r="U549" s="353"/>
      <c r="V549" s="353"/>
      <c r="W549" s="432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  <c r="AQ549" s="200"/>
      <c r="AR549" s="200"/>
      <c r="AS549" s="200"/>
      <c r="AT549" s="200"/>
    </row>
    <row r="550" spans="1:46" ht="16.5" customHeight="1">
      <c r="A550" s="307"/>
      <c r="B550" s="307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353"/>
      <c r="R550" s="353"/>
      <c r="S550" s="200"/>
      <c r="T550" s="353"/>
      <c r="U550" s="353"/>
      <c r="V550" s="353"/>
      <c r="W550" s="432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  <c r="AT550" s="200"/>
    </row>
    <row r="551" spans="1:46" ht="16.5" customHeight="1">
      <c r="A551" s="307"/>
      <c r="B551" s="307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353"/>
      <c r="R551" s="353"/>
      <c r="S551" s="200"/>
      <c r="T551" s="353"/>
      <c r="U551" s="353"/>
      <c r="V551" s="353"/>
      <c r="W551" s="432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  <c r="AQ551" s="200"/>
      <c r="AR551" s="200"/>
      <c r="AS551" s="200"/>
      <c r="AT551" s="200"/>
    </row>
    <row r="552" spans="1:46" ht="16.5" customHeight="1">
      <c r="A552" s="307"/>
      <c r="B552" s="307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353"/>
      <c r="R552" s="353"/>
      <c r="S552" s="200"/>
      <c r="T552" s="353"/>
      <c r="U552" s="353"/>
      <c r="V552" s="353"/>
      <c r="W552" s="432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  <c r="AQ552" s="200"/>
      <c r="AR552" s="200"/>
      <c r="AS552" s="200"/>
      <c r="AT552" s="200"/>
    </row>
    <row r="553" spans="1:46" ht="16.5" customHeight="1">
      <c r="A553" s="307"/>
      <c r="B553" s="307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353"/>
      <c r="R553" s="353"/>
      <c r="S553" s="200"/>
      <c r="T553" s="353"/>
      <c r="U553" s="353"/>
      <c r="V553" s="353"/>
      <c r="W553" s="432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  <c r="AT553" s="200"/>
    </row>
    <row r="554" spans="1:46" ht="16.5" customHeight="1">
      <c r="A554" s="307"/>
      <c r="B554" s="307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353"/>
      <c r="R554" s="353"/>
      <c r="S554" s="200"/>
      <c r="T554" s="353"/>
      <c r="U554" s="353"/>
      <c r="V554" s="353"/>
      <c r="W554" s="432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</row>
    <row r="555" spans="1:46" ht="16.5" customHeight="1">
      <c r="A555" s="307"/>
      <c r="B555" s="307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353"/>
      <c r="R555" s="353"/>
      <c r="S555" s="200"/>
      <c r="T555" s="353"/>
      <c r="U555" s="353"/>
      <c r="V555" s="353"/>
      <c r="W555" s="432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  <c r="AQ555" s="200"/>
      <c r="AR555" s="200"/>
      <c r="AS555" s="200"/>
      <c r="AT555" s="200"/>
    </row>
    <row r="556" spans="1:46" ht="16.5" customHeight="1">
      <c r="A556" s="307"/>
      <c r="B556" s="307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353"/>
      <c r="R556" s="353"/>
      <c r="S556" s="200"/>
      <c r="T556" s="353"/>
      <c r="U556" s="353"/>
      <c r="V556" s="353"/>
      <c r="W556" s="432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  <c r="AQ556" s="200"/>
      <c r="AR556" s="200"/>
      <c r="AS556" s="200"/>
      <c r="AT556" s="200"/>
    </row>
    <row r="557" spans="1:46" ht="16.5" customHeight="1">
      <c r="A557" s="307"/>
      <c r="B557" s="307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353"/>
      <c r="R557" s="353"/>
      <c r="S557" s="200"/>
      <c r="T557" s="353"/>
      <c r="U557" s="353"/>
      <c r="V557" s="353"/>
      <c r="W557" s="432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  <c r="AT557" s="200"/>
    </row>
    <row r="558" spans="1:46" ht="16.5" customHeight="1">
      <c r="A558" s="307"/>
      <c r="B558" s="307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353"/>
      <c r="R558" s="353"/>
      <c r="S558" s="200"/>
      <c r="T558" s="353"/>
      <c r="U558" s="353"/>
      <c r="V558" s="353"/>
      <c r="W558" s="432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  <c r="AQ558" s="200"/>
      <c r="AR558" s="200"/>
      <c r="AS558" s="200"/>
      <c r="AT558" s="200"/>
    </row>
    <row r="559" spans="1:46" ht="16.5" customHeight="1">
      <c r="A559" s="307"/>
      <c r="B559" s="307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353"/>
      <c r="R559" s="353"/>
      <c r="S559" s="200"/>
      <c r="T559" s="353"/>
      <c r="U559" s="353"/>
      <c r="V559" s="353"/>
      <c r="W559" s="432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  <c r="AQ559" s="200"/>
      <c r="AR559" s="200"/>
      <c r="AS559" s="200"/>
      <c r="AT559" s="200"/>
    </row>
    <row r="560" spans="1:46" ht="16.5" customHeight="1">
      <c r="A560" s="307"/>
      <c r="B560" s="307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353"/>
      <c r="R560" s="353"/>
      <c r="S560" s="200"/>
      <c r="T560" s="353"/>
      <c r="U560" s="353"/>
      <c r="V560" s="353"/>
      <c r="W560" s="432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  <c r="AT560" s="200"/>
    </row>
    <row r="561" spans="1:46" ht="16.5" customHeight="1">
      <c r="A561" s="307"/>
      <c r="B561" s="307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353"/>
      <c r="R561" s="353"/>
      <c r="S561" s="200"/>
      <c r="T561" s="353"/>
      <c r="U561" s="353"/>
      <c r="V561" s="353"/>
      <c r="W561" s="432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  <c r="AQ561" s="200"/>
      <c r="AR561" s="200"/>
      <c r="AS561" s="200"/>
      <c r="AT561" s="200"/>
    </row>
    <row r="562" spans="1:46" ht="16.5" customHeight="1">
      <c r="A562" s="307"/>
      <c r="B562" s="307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353"/>
      <c r="R562" s="353"/>
      <c r="S562" s="200"/>
      <c r="T562" s="353"/>
      <c r="U562" s="353"/>
      <c r="V562" s="353"/>
      <c r="W562" s="432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  <c r="AQ562" s="200"/>
      <c r="AR562" s="200"/>
      <c r="AS562" s="200"/>
      <c r="AT562" s="200"/>
    </row>
    <row r="563" spans="1:46" ht="16.5" customHeight="1">
      <c r="A563" s="307"/>
      <c r="B563" s="307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353"/>
      <c r="R563" s="353"/>
      <c r="S563" s="200"/>
      <c r="T563" s="353"/>
      <c r="U563" s="353"/>
      <c r="V563" s="353"/>
      <c r="W563" s="432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  <c r="AQ563" s="200"/>
      <c r="AR563" s="200"/>
      <c r="AS563" s="200"/>
      <c r="AT563" s="200"/>
    </row>
    <row r="564" spans="1:46" ht="16.5" customHeight="1">
      <c r="A564" s="307"/>
      <c r="B564" s="307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353"/>
      <c r="R564" s="353"/>
      <c r="S564" s="200"/>
      <c r="T564" s="353"/>
      <c r="U564" s="353"/>
      <c r="V564" s="353"/>
      <c r="W564" s="432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  <c r="AQ564" s="200"/>
      <c r="AR564" s="200"/>
      <c r="AS564" s="200"/>
      <c r="AT564" s="200"/>
    </row>
    <row r="565" spans="1:46" ht="16.5" customHeight="1">
      <c r="A565" s="307"/>
      <c r="B565" s="307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353"/>
      <c r="R565" s="353"/>
      <c r="S565" s="200"/>
      <c r="T565" s="353"/>
      <c r="U565" s="353"/>
      <c r="V565" s="353"/>
      <c r="W565" s="432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  <c r="AQ565" s="200"/>
      <c r="AR565" s="200"/>
      <c r="AS565" s="200"/>
      <c r="AT565" s="200"/>
    </row>
    <row r="566" spans="1:46" ht="16.5" customHeight="1">
      <c r="A566" s="307"/>
      <c r="B566" s="307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353"/>
      <c r="R566" s="353"/>
      <c r="S566" s="200"/>
      <c r="T566" s="353"/>
      <c r="U566" s="353"/>
      <c r="V566" s="353"/>
      <c r="W566" s="432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  <c r="AT566" s="200"/>
    </row>
    <row r="567" spans="1:46" ht="16.5" customHeight="1">
      <c r="A567" s="307"/>
      <c r="B567" s="307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353"/>
      <c r="R567" s="353"/>
      <c r="S567" s="200"/>
      <c r="T567" s="353"/>
      <c r="U567" s="353"/>
      <c r="V567" s="353"/>
      <c r="W567" s="432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  <c r="AQ567" s="200"/>
      <c r="AR567" s="200"/>
      <c r="AS567" s="200"/>
      <c r="AT567" s="200"/>
    </row>
    <row r="568" spans="1:46" ht="16.5" customHeight="1">
      <c r="A568" s="307"/>
      <c r="B568" s="307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353"/>
      <c r="R568" s="353"/>
      <c r="S568" s="200"/>
      <c r="T568" s="353"/>
      <c r="U568" s="353"/>
      <c r="V568" s="353"/>
      <c r="W568" s="432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  <c r="AQ568" s="200"/>
      <c r="AR568" s="200"/>
      <c r="AS568" s="200"/>
      <c r="AT568" s="200"/>
    </row>
    <row r="569" spans="1:46" ht="16.5" customHeight="1">
      <c r="A569" s="307"/>
      <c r="B569" s="307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353"/>
      <c r="R569" s="353"/>
      <c r="S569" s="200"/>
      <c r="T569" s="353"/>
      <c r="U569" s="353"/>
      <c r="V569" s="353"/>
      <c r="W569" s="432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  <c r="AQ569" s="200"/>
      <c r="AR569" s="200"/>
      <c r="AS569" s="200"/>
      <c r="AT569" s="200"/>
    </row>
    <row r="570" spans="1:46" ht="16.5" customHeight="1">
      <c r="A570" s="307"/>
      <c r="B570" s="307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353"/>
      <c r="R570" s="353"/>
      <c r="S570" s="200"/>
      <c r="T570" s="353"/>
      <c r="U570" s="353"/>
      <c r="V570" s="353"/>
      <c r="W570" s="432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  <c r="AQ570" s="200"/>
      <c r="AR570" s="200"/>
      <c r="AS570" s="200"/>
      <c r="AT570" s="200"/>
    </row>
    <row r="571" spans="1:46" ht="16.5" customHeight="1">
      <c r="A571" s="307"/>
      <c r="B571" s="307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353"/>
      <c r="R571" s="353"/>
      <c r="S571" s="200"/>
      <c r="T571" s="353"/>
      <c r="U571" s="353"/>
      <c r="V571" s="353"/>
      <c r="W571" s="432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  <c r="AQ571" s="200"/>
      <c r="AR571" s="200"/>
      <c r="AS571" s="200"/>
      <c r="AT571" s="200"/>
    </row>
    <row r="572" spans="1:46" ht="16.5" customHeight="1">
      <c r="A572" s="307"/>
      <c r="B572" s="307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353"/>
      <c r="R572" s="353"/>
      <c r="S572" s="200"/>
      <c r="T572" s="353"/>
      <c r="U572" s="353"/>
      <c r="V572" s="353"/>
      <c r="W572" s="432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  <c r="AQ572" s="200"/>
      <c r="AR572" s="200"/>
      <c r="AS572" s="200"/>
      <c r="AT572" s="200"/>
    </row>
    <row r="573" spans="1:46" ht="16.5" customHeight="1">
      <c r="A573" s="307"/>
      <c r="B573" s="307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353"/>
      <c r="R573" s="353"/>
      <c r="S573" s="200"/>
      <c r="T573" s="353"/>
      <c r="U573" s="353"/>
      <c r="V573" s="353"/>
      <c r="W573" s="432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  <c r="AT573" s="200"/>
    </row>
    <row r="574" spans="1:46" ht="16.5" customHeight="1">
      <c r="A574" s="307"/>
      <c r="B574" s="307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353"/>
      <c r="R574" s="353"/>
      <c r="S574" s="200"/>
      <c r="T574" s="353"/>
      <c r="U574" s="353"/>
      <c r="V574" s="353"/>
      <c r="W574" s="432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  <c r="AQ574" s="200"/>
      <c r="AR574" s="200"/>
      <c r="AS574" s="200"/>
      <c r="AT574" s="200"/>
    </row>
    <row r="575" spans="1:46" ht="16.5" customHeight="1">
      <c r="A575" s="307"/>
      <c r="B575" s="307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353"/>
      <c r="R575" s="353"/>
      <c r="S575" s="200"/>
      <c r="T575" s="353"/>
      <c r="U575" s="353"/>
      <c r="V575" s="353"/>
      <c r="W575" s="432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  <c r="AQ575" s="200"/>
      <c r="AR575" s="200"/>
      <c r="AS575" s="200"/>
      <c r="AT575" s="200"/>
    </row>
    <row r="576" spans="1:46" ht="16.5" customHeight="1">
      <c r="A576" s="307"/>
      <c r="B576" s="307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353"/>
      <c r="R576" s="353"/>
      <c r="S576" s="200"/>
      <c r="T576" s="353"/>
      <c r="U576" s="353"/>
      <c r="V576" s="353"/>
      <c r="W576" s="432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  <c r="AQ576" s="200"/>
      <c r="AR576" s="200"/>
      <c r="AS576" s="200"/>
      <c r="AT576" s="200"/>
    </row>
    <row r="577" spans="1:46" ht="16.5" customHeight="1">
      <c r="A577" s="307"/>
      <c r="B577" s="307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353"/>
      <c r="R577" s="353"/>
      <c r="S577" s="200"/>
      <c r="T577" s="353"/>
      <c r="U577" s="353"/>
      <c r="V577" s="353"/>
      <c r="W577" s="432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  <c r="AQ577" s="200"/>
      <c r="AR577" s="200"/>
      <c r="AS577" s="200"/>
      <c r="AT577" s="200"/>
    </row>
    <row r="578" spans="1:46" ht="16.5" customHeight="1">
      <c r="A578" s="307"/>
      <c r="B578" s="307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353"/>
      <c r="R578" s="353"/>
      <c r="S578" s="200"/>
      <c r="T578" s="353"/>
      <c r="U578" s="353"/>
      <c r="V578" s="353"/>
      <c r="W578" s="432"/>
      <c r="X578" s="200"/>
      <c r="Y578" s="200"/>
      <c r="Z578" s="200"/>
      <c r="AA578" s="200"/>
      <c r="AB578" s="200"/>
      <c r="AC578" s="200"/>
      <c r="AD578" s="200"/>
      <c r="AE578" s="200"/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  <c r="AQ578" s="200"/>
      <c r="AR578" s="200"/>
      <c r="AS578" s="200"/>
      <c r="AT578" s="200"/>
    </row>
    <row r="579" spans="1:46" ht="16.5" customHeight="1">
      <c r="A579" s="307"/>
      <c r="B579" s="307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353"/>
      <c r="R579" s="353"/>
      <c r="S579" s="200"/>
      <c r="T579" s="353"/>
      <c r="U579" s="353"/>
      <c r="V579" s="353"/>
      <c r="W579" s="432"/>
      <c r="X579" s="200"/>
      <c r="Y579" s="200"/>
      <c r="Z579" s="200"/>
      <c r="AA579" s="200"/>
      <c r="AB579" s="200"/>
      <c r="AC579" s="200"/>
      <c r="AD579" s="200"/>
      <c r="AE579" s="200"/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  <c r="AQ579" s="200"/>
      <c r="AR579" s="200"/>
      <c r="AS579" s="200"/>
      <c r="AT579" s="200"/>
    </row>
    <row r="580" spans="1:46" ht="16.5" customHeight="1">
      <c r="A580" s="307"/>
      <c r="B580" s="307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353"/>
      <c r="R580" s="353"/>
      <c r="S580" s="200"/>
      <c r="T580" s="353"/>
      <c r="U580" s="353"/>
      <c r="V580" s="353"/>
      <c r="W580" s="432"/>
      <c r="X580" s="200"/>
      <c r="Y580" s="200"/>
      <c r="Z580" s="200"/>
      <c r="AA580" s="200"/>
      <c r="AB580" s="200"/>
      <c r="AC580" s="200"/>
      <c r="AD580" s="200"/>
      <c r="AE580" s="200"/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  <c r="AQ580" s="200"/>
      <c r="AR580" s="200"/>
      <c r="AS580" s="200"/>
      <c r="AT580" s="200"/>
    </row>
    <row r="581" spans="1:46" ht="16.5" customHeight="1">
      <c r="A581" s="307"/>
      <c r="B581" s="307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353"/>
      <c r="R581" s="353"/>
      <c r="S581" s="200"/>
      <c r="T581" s="353"/>
      <c r="U581" s="353"/>
      <c r="V581" s="353"/>
      <c r="W581" s="432"/>
      <c r="X581" s="200"/>
      <c r="Y581" s="200"/>
      <c r="Z581" s="200"/>
      <c r="AA581" s="200"/>
      <c r="AB581" s="200"/>
      <c r="AC581" s="200"/>
      <c r="AD581" s="200"/>
      <c r="AE581" s="200"/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  <c r="AQ581" s="200"/>
      <c r="AR581" s="200"/>
      <c r="AS581" s="200"/>
      <c r="AT581" s="200"/>
    </row>
    <row r="582" spans="1:46" ht="16.5" customHeight="1">
      <c r="A582" s="307"/>
      <c r="B582" s="307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353"/>
      <c r="R582" s="353"/>
      <c r="S582" s="200"/>
      <c r="T582" s="353"/>
      <c r="U582" s="353"/>
      <c r="V582" s="353"/>
      <c r="W582" s="432"/>
      <c r="X582" s="200"/>
      <c r="Y582" s="200"/>
      <c r="Z582" s="200"/>
      <c r="AA582" s="200"/>
      <c r="AB582" s="200"/>
      <c r="AC582" s="200"/>
      <c r="AD582" s="200"/>
      <c r="AE582" s="200"/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  <c r="AQ582" s="200"/>
      <c r="AR582" s="200"/>
      <c r="AS582" s="200"/>
      <c r="AT582" s="200"/>
    </row>
    <row r="583" spans="1:46" ht="16.5" customHeight="1">
      <c r="A583" s="307"/>
      <c r="B583" s="307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353"/>
      <c r="R583" s="353"/>
      <c r="S583" s="200"/>
      <c r="T583" s="353"/>
      <c r="U583" s="353"/>
      <c r="V583" s="353"/>
      <c r="W583" s="432"/>
      <c r="X583" s="200"/>
      <c r="Y583" s="200"/>
      <c r="Z583" s="200"/>
      <c r="AA583" s="200"/>
      <c r="AB583" s="200"/>
      <c r="AC583" s="200"/>
      <c r="AD583" s="200"/>
      <c r="AE583" s="200"/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  <c r="AQ583" s="200"/>
      <c r="AR583" s="200"/>
      <c r="AS583" s="200"/>
      <c r="AT583" s="200"/>
    </row>
    <row r="584" spans="1:46" ht="16.5" customHeight="1">
      <c r="A584" s="307"/>
      <c r="B584" s="307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353"/>
      <c r="R584" s="353"/>
      <c r="S584" s="200"/>
      <c r="T584" s="353"/>
      <c r="U584" s="353"/>
      <c r="V584" s="353"/>
      <c r="W584" s="432"/>
      <c r="X584" s="200"/>
      <c r="Y584" s="200"/>
      <c r="Z584" s="200"/>
      <c r="AA584" s="200"/>
      <c r="AB584" s="200"/>
      <c r="AC584" s="200"/>
      <c r="AD584" s="200"/>
      <c r="AE584" s="200"/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  <c r="AQ584" s="200"/>
      <c r="AR584" s="200"/>
      <c r="AS584" s="200"/>
      <c r="AT584" s="200"/>
    </row>
    <row r="585" spans="1:46" ht="16.5" customHeight="1">
      <c r="A585" s="307"/>
      <c r="B585" s="307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353"/>
      <c r="R585" s="353"/>
      <c r="S585" s="200"/>
      <c r="T585" s="353"/>
      <c r="U585" s="353"/>
      <c r="V585" s="353"/>
      <c r="W585" s="432"/>
      <c r="X585" s="200"/>
      <c r="Y585" s="200"/>
      <c r="Z585" s="200"/>
      <c r="AA585" s="200"/>
      <c r="AB585" s="200"/>
      <c r="AC585" s="200"/>
      <c r="AD585" s="200"/>
      <c r="AE585" s="200"/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  <c r="AQ585" s="200"/>
      <c r="AR585" s="200"/>
      <c r="AS585" s="200"/>
      <c r="AT585" s="200"/>
    </row>
    <row r="586" spans="1:46" ht="16.5" customHeight="1">
      <c r="A586" s="307"/>
      <c r="B586" s="307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353"/>
      <c r="R586" s="353"/>
      <c r="S586" s="200"/>
      <c r="T586" s="353"/>
      <c r="U586" s="353"/>
      <c r="V586" s="353"/>
      <c r="W586" s="432"/>
      <c r="X586" s="200"/>
      <c r="Y586" s="200"/>
      <c r="Z586" s="200"/>
      <c r="AA586" s="200"/>
      <c r="AB586" s="200"/>
      <c r="AC586" s="200"/>
      <c r="AD586" s="200"/>
      <c r="AE586" s="200"/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  <c r="AQ586" s="200"/>
      <c r="AR586" s="200"/>
      <c r="AS586" s="200"/>
      <c r="AT586" s="200"/>
    </row>
    <row r="587" spans="1:46" ht="16.5" customHeight="1">
      <c r="A587" s="307"/>
      <c r="B587" s="307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353"/>
      <c r="R587" s="353"/>
      <c r="S587" s="200"/>
      <c r="T587" s="353"/>
      <c r="U587" s="353"/>
      <c r="V587" s="353"/>
      <c r="W587" s="432"/>
      <c r="X587" s="200"/>
      <c r="Y587" s="200"/>
      <c r="Z587" s="200"/>
      <c r="AA587" s="200"/>
      <c r="AB587" s="200"/>
      <c r="AC587" s="200"/>
      <c r="AD587" s="200"/>
      <c r="AE587" s="200"/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  <c r="AQ587" s="200"/>
      <c r="AR587" s="200"/>
      <c r="AS587" s="200"/>
      <c r="AT587" s="200"/>
    </row>
    <row r="588" spans="1:46" ht="16.5" customHeight="1">
      <c r="A588" s="307"/>
      <c r="B588" s="307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353"/>
      <c r="R588" s="353"/>
      <c r="S588" s="200"/>
      <c r="T588" s="353"/>
      <c r="U588" s="353"/>
      <c r="V588" s="353"/>
      <c r="W588" s="432"/>
      <c r="X588" s="200"/>
      <c r="Y588" s="200"/>
      <c r="Z588" s="200"/>
      <c r="AA588" s="200"/>
      <c r="AB588" s="200"/>
      <c r="AC588" s="200"/>
      <c r="AD588" s="200"/>
      <c r="AE588" s="200"/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  <c r="AQ588" s="200"/>
      <c r="AR588" s="200"/>
      <c r="AS588" s="200"/>
      <c r="AT588" s="200"/>
    </row>
    <row r="589" spans="1:46" ht="16.5" customHeight="1">
      <c r="A589" s="307"/>
      <c r="B589" s="307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353"/>
      <c r="R589" s="353"/>
      <c r="S589" s="200"/>
      <c r="T589" s="353"/>
      <c r="U589" s="353"/>
      <c r="V589" s="353"/>
      <c r="W589" s="432"/>
      <c r="X589" s="200"/>
      <c r="Y589" s="200"/>
      <c r="Z589" s="200"/>
      <c r="AA589" s="200"/>
      <c r="AB589" s="200"/>
      <c r="AC589" s="200"/>
      <c r="AD589" s="200"/>
      <c r="AE589" s="200"/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  <c r="AQ589" s="200"/>
      <c r="AR589" s="200"/>
      <c r="AS589" s="200"/>
      <c r="AT589" s="200"/>
    </row>
    <row r="590" spans="1:46" ht="16.5" customHeight="1">
      <c r="A590" s="307"/>
      <c r="B590" s="307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353"/>
      <c r="R590" s="353"/>
      <c r="S590" s="200"/>
      <c r="T590" s="353"/>
      <c r="U590" s="353"/>
      <c r="V590" s="353"/>
      <c r="W590" s="432"/>
      <c r="X590" s="200"/>
      <c r="Y590" s="200"/>
      <c r="Z590" s="200"/>
      <c r="AA590" s="200"/>
      <c r="AB590" s="200"/>
      <c r="AC590" s="200"/>
      <c r="AD590" s="200"/>
      <c r="AE590" s="200"/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  <c r="AQ590" s="200"/>
      <c r="AR590" s="200"/>
      <c r="AS590" s="200"/>
      <c r="AT590" s="200"/>
    </row>
    <row r="591" spans="1:46" ht="16.5" customHeight="1">
      <c r="A591" s="307"/>
      <c r="B591" s="307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353"/>
      <c r="R591" s="353"/>
      <c r="S591" s="200"/>
      <c r="T591" s="353"/>
      <c r="U591" s="353"/>
      <c r="V591" s="353"/>
      <c r="W591" s="432"/>
      <c r="X591" s="200"/>
      <c r="Y591" s="200"/>
      <c r="Z591" s="200"/>
      <c r="AA591" s="200"/>
      <c r="AB591" s="200"/>
      <c r="AC591" s="200"/>
      <c r="AD591" s="200"/>
      <c r="AE591" s="200"/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  <c r="AQ591" s="200"/>
      <c r="AR591" s="200"/>
      <c r="AS591" s="200"/>
      <c r="AT591" s="200"/>
    </row>
    <row r="592" spans="1:46" ht="16.5" customHeight="1">
      <c r="A592" s="307"/>
      <c r="B592" s="307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353"/>
      <c r="R592" s="353"/>
      <c r="S592" s="200"/>
      <c r="T592" s="353"/>
      <c r="U592" s="353"/>
      <c r="V592" s="353"/>
      <c r="W592" s="432"/>
      <c r="X592" s="200"/>
      <c r="Y592" s="200"/>
      <c r="Z592" s="200"/>
      <c r="AA592" s="200"/>
      <c r="AB592" s="200"/>
      <c r="AC592" s="200"/>
      <c r="AD592" s="200"/>
      <c r="AE592" s="200"/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  <c r="AQ592" s="200"/>
      <c r="AR592" s="200"/>
      <c r="AS592" s="200"/>
      <c r="AT592" s="200"/>
    </row>
    <row r="593" spans="1:46" ht="16.5" customHeight="1">
      <c r="A593" s="307"/>
      <c r="B593" s="307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353"/>
      <c r="R593" s="353"/>
      <c r="S593" s="200"/>
      <c r="T593" s="353"/>
      <c r="U593" s="353"/>
      <c r="V593" s="353"/>
      <c r="W593" s="432"/>
      <c r="X593" s="200"/>
      <c r="Y593" s="200"/>
      <c r="Z593" s="200"/>
      <c r="AA593" s="200"/>
      <c r="AB593" s="200"/>
      <c r="AC593" s="200"/>
      <c r="AD593" s="200"/>
      <c r="AE593" s="200"/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  <c r="AQ593" s="200"/>
      <c r="AR593" s="200"/>
      <c r="AS593" s="200"/>
      <c r="AT593" s="200"/>
    </row>
    <row r="594" spans="1:46" ht="16.5" customHeight="1">
      <c r="A594" s="307"/>
      <c r="B594" s="307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353"/>
      <c r="R594" s="353"/>
      <c r="S594" s="200"/>
      <c r="T594" s="353"/>
      <c r="U594" s="353"/>
      <c r="V594" s="353"/>
      <c r="W594" s="432"/>
      <c r="X594" s="200"/>
      <c r="Y594" s="200"/>
      <c r="Z594" s="200"/>
      <c r="AA594" s="200"/>
      <c r="AB594" s="200"/>
      <c r="AC594" s="200"/>
      <c r="AD594" s="200"/>
      <c r="AE594" s="200"/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  <c r="AQ594" s="200"/>
      <c r="AR594" s="200"/>
      <c r="AS594" s="200"/>
      <c r="AT594" s="200"/>
    </row>
    <row r="595" spans="1:46" ht="16.5" customHeight="1">
      <c r="A595" s="307"/>
      <c r="B595" s="307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353"/>
      <c r="R595" s="353"/>
      <c r="S595" s="200"/>
      <c r="T595" s="353"/>
      <c r="U595" s="353"/>
      <c r="V595" s="353"/>
      <c r="W595" s="432"/>
      <c r="X595" s="200"/>
      <c r="Y595" s="200"/>
      <c r="Z595" s="200"/>
      <c r="AA595" s="200"/>
      <c r="AB595" s="200"/>
      <c r="AC595" s="200"/>
      <c r="AD595" s="200"/>
      <c r="AE595" s="200"/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  <c r="AQ595" s="200"/>
      <c r="AR595" s="200"/>
      <c r="AS595" s="200"/>
      <c r="AT595" s="200"/>
    </row>
    <row r="596" spans="1:46" ht="16.5" customHeight="1">
      <c r="A596" s="307"/>
      <c r="B596" s="307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353"/>
      <c r="R596" s="353"/>
      <c r="S596" s="200"/>
      <c r="T596" s="353"/>
      <c r="U596" s="353"/>
      <c r="V596" s="353"/>
      <c r="W596" s="432"/>
      <c r="X596" s="200"/>
      <c r="Y596" s="200"/>
      <c r="Z596" s="200"/>
      <c r="AA596" s="200"/>
      <c r="AB596" s="200"/>
      <c r="AC596" s="200"/>
      <c r="AD596" s="200"/>
      <c r="AE596" s="200"/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  <c r="AQ596" s="200"/>
      <c r="AR596" s="200"/>
      <c r="AS596" s="200"/>
      <c r="AT596" s="200"/>
    </row>
    <row r="597" spans="1:46" ht="16.5" customHeight="1">
      <c r="A597" s="307"/>
      <c r="B597" s="307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353"/>
      <c r="R597" s="353"/>
      <c r="S597" s="200"/>
      <c r="T597" s="353"/>
      <c r="U597" s="353"/>
      <c r="V597" s="353"/>
      <c r="W597" s="432"/>
      <c r="X597" s="200"/>
      <c r="Y597" s="200"/>
      <c r="Z597" s="200"/>
      <c r="AA597" s="200"/>
      <c r="AB597" s="200"/>
      <c r="AC597" s="200"/>
      <c r="AD597" s="200"/>
      <c r="AE597" s="200"/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  <c r="AQ597" s="200"/>
      <c r="AR597" s="200"/>
      <c r="AS597" s="200"/>
      <c r="AT597" s="200"/>
    </row>
    <row r="598" spans="1:46" ht="16.5" customHeight="1">
      <c r="A598" s="307"/>
      <c r="B598" s="307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353"/>
      <c r="R598" s="353"/>
      <c r="S598" s="200"/>
      <c r="T598" s="353"/>
      <c r="U598" s="353"/>
      <c r="V598" s="353"/>
      <c r="W598" s="432"/>
      <c r="X598" s="200"/>
      <c r="Y598" s="200"/>
      <c r="Z598" s="200"/>
      <c r="AA598" s="200"/>
      <c r="AB598" s="200"/>
      <c r="AC598" s="200"/>
      <c r="AD598" s="200"/>
      <c r="AE598" s="200"/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  <c r="AQ598" s="200"/>
      <c r="AR598" s="200"/>
      <c r="AS598" s="200"/>
      <c r="AT598" s="200"/>
    </row>
    <row r="599" spans="1:46" ht="16.5" customHeight="1">
      <c r="A599" s="307"/>
      <c r="B599" s="307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353"/>
      <c r="R599" s="353"/>
      <c r="S599" s="200"/>
      <c r="T599" s="353"/>
      <c r="U599" s="353"/>
      <c r="V599" s="353"/>
      <c r="W599" s="432"/>
      <c r="X599" s="200"/>
      <c r="Y599" s="200"/>
      <c r="Z599" s="200"/>
      <c r="AA599" s="200"/>
      <c r="AB599" s="200"/>
      <c r="AC599" s="200"/>
      <c r="AD599" s="200"/>
      <c r="AE599" s="200"/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  <c r="AQ599" s="200"/>
      <c r="AR599" s="200"/>
      <c r="AS599" s="200"/>
      <c r="AT599" s="200"/>
    </row>
    <row r="600" spans="1:46" ht="16.5" customHeight="1">
      <c r="A600" s="307"/>
      <c r="B600" s="307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353"/>
      <c r="R600" s="353"/>
      <c r="S600" s="200"/>
      <c r="T600" s="353"/>
      <c r="U600" s="353"/>
      <c r="V600" s="353"/>
      <c r="W600" s="432"/>
      <c r="X600" s="200"/>
      <c r="Y600" s="200"/>
      <c r="Z600" s="200"/>
      <c r="AA600" s="200"/>
      <c r="AB600" s="200"/>
      <c r="AC600" s="200"/>
      <c r="AD600" s="200"/>
      <c r="AE600" s="200"/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  <c r="AQ600" s="200"/>
      <c r="AR600" s="200"/>
      <c r="AS600" s="200"/>
      <c r="AT600" s="200"/>
    </row>
    <row r="601" spans="1:46" ht="16.5" customHeight="1">
      <c r="A601" s="307"/>
      <c r="B601" s="307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353"/>
      <c r="R601" s="353"/>
      <c r="S601" s="200"/>
      <c r="T601" s="353"/>
      <c r="U601" s="353"/>
      <c r="V601" s="353"/>
      <c r="W601" s="432"/>
      <c r="X601" s="200"/>
      <c r="Y601" s="200"/>
      <c r="Z601" s="200"/>
      <c r="AA601" s="200"/>
      <c r="AB601" s="200"/>
      <c r="AC601" s="200"/>
      <c r="AD601" s="200"/>
      <c r="AE601" s="200"/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  <c r="AQ601" s="200"/>
      <c r="AR601" s="200"/>
      <c r="AS601" s="200"/>
      <c r="AT601" s="200"/>
    </row>
    <row r="602" spans="1:46" ht="16.5" customHeight="1">
      <c r="A602" s="307"/>
      <c r="B602" s="307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353"/>
      <c r="R602" s="353"/>
      <c r="S602" s="200"/>
      <c r="T602" s="353"/>
      <c r="U602" s="353"/>
      <c r="V602" s="353"/>
      <c r="W602" s="432"/>
      <c r="X602" s="200"/>
      <c r="Y602" s="200"/>
      <c r="Z602" s="200"/>
      <c r="AA602" s="200"/>
      <c r="AB602" s="200"/>
      <c r="AC602" s="200"/>
      <c r="AD602" s="200"/>
      <c r="AE602" s="200"/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  <c r="AQ602" s="200"/>
      <c r="AR602" s="200"/>
      <c r="AS602" s="200"/>
      <c r="AT602" s="200"/>
    </row>
    <row r="603" spans="1:46" ht="16.5" customHeight="1">
      <c r="A603" s="307"/>
      <c r="B603" s="307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353"/>
      <c r="R603" s="353"/>
      <c r="S603" s="200"/>
      <c r="T603" s="353"/>
      <c r="U603" s="353"/>
      <c r="V603" s="353"/>
      <c r="W603" s="432"/>
      <c r="X603" s="200"/>
      <c r="Y603" s="200"/>
      <c r="Z603" s="200"/>
      <c r="AA603" s="200"/>
      <c r="AB603" s="200"/>
      <c r="AC603" s="200"/>
      <c r="AD603" s="200"/>
      <c r="AE603" s="200"/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  <c r="AQ603" s="200"/>
      <c r="AR603" s="200"/>
      <c r="AS603" s="200"/>
      <c r="AT603" s="200"/>
    </row>
    <row r="604" spans="1:46" ht="16.5" customHeight="1">
      <c r="A604" s="307"/>
      <c r="B604" s="307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353"/>
      <c r="R604" s="353"/>
      <c r="S604" s="200"/>
      <c r="T604" s="353"/>
      <c r="U604" s="353"/>
      <c r="V604" s="353"/>
      <c r="W604" s="432"/>
      <c r="X604" s="200"/>
      <c r="Y604" s="200"/>
      <c r="Z604" s="200"/>
      <c r="AA604" s="200"/>
      <c r="AB604" s="200"/>
      <c r="AC604" s="200"/>
      <c r="AD604" s="200"/>
      <c r="AE604" s="200"/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  <c r="AQ604" s="200"/>
      <c r="AR604" s="200"/>
      <c r="AS604" s="200"/>
      <c r="AT604" s="200"/>
    </row>
    <row r="605" spans="1:46" ht="16.5" customHeight="1">
      <c r="A605" s="307"/>
      <c r="B605" s="307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353"/>
      <c r="R605" s="353"/>
      <c r="S605" s="200"/>
      <c r="T605" s="353"/>
      <c r="U605" s="353"/>
      <c r="V605" s="353"/>
      <c r="W605" s="432"/>
      <c r="X605" s="200"/>
      <c r="Y605" s="200"/>
      <c r="Z605" s="200"/>
      <c r="AA605" s="200"/>
      <c r="AB605" s="200"/>
      <c r="AC605" s="200"/>
      <c r="AD605" s="200"/>
      <c r="AE605" s="200"/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  <c r="AQ605" s="200"/>
      <c r="AR605" s="200"/>
      <c r="AS605" s="200"/>
      <c r="AT605" s="200"/>
    </row>
    <row r="606" spans="1:46" ht="16.5" customHeight="1">
      <c r="A606" s="307"/>
      <c r="B606" s="307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353"/>
      <c r="R606" s="353"/>
      <c r="S606" s="200"/>
      <c r="T606" s="353"/>
      <c r="U606" s="353"/>
      <c r="V606" s="353"/>
      <c r="W606" s="432"/>
      <c r="X606" s="200"/>
      <c r="Y606" s="200"/>
      <c r="Z606" s="200"/>
      <c r="AA606" s="200"/>
      <c r="AB606" s="200"/>
      <c r="AC606" s="200"/>
      <c r="AD606" s="200"/>
      <c r="AE606" s="200"/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  <c r="AQ606" s="200"/>
      <c r="AR606" s="200"/>
      <c r="AS606" s="200"/>
      <c r="AT606" s="200"/>
    </row>
    <row r="607" spans="1:46" ht="16.5" customHeight="1">
      <c r="A607" s="307"/>
      <c r="B607" s="307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353"/>
      <c r="R607" s="353"/>
      <c r="S607" s="200"/>
      <c r="T607" s="353"/>
      <c r="U607" s="353"/>
      <c r="V607" s="353"/>
      <c r="W607" s="432"/>
      <c r="X607" s="200"/>
      <c r="Y607" s="200"/>
      <c r="Z607" s="200"/>
      <c r="AA607" s="200"/>
      <c r="AB607" s="200"/>
      <c r="AC607" s="200"/>
      <c r="AD607" s="200"/>
      <c r="AE607" s="200"/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  <c r="AQ607" s="200"/>
      <c r="AR607" s="200"/>
      <c r="AS607" s="200"/>
      <c r="AT607" s="200"/>
    </row>
    <row r="608" spans="1:46" ht="16.5" customHeight="1">
      <c r="A608" s="307"/>
      <c r="B608" s="307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353"/>
      <c r="R608" s="353"/>
      <c r="S608" s="200"/>
      <c r="T608" s="353"/>
      <c r="U608" s="353"/>
      <c r="V608" s="353"/>
      <c r="W608" s="432"/>
      <c r="X608" s="200"/>
      <c r="Y608" s="200"/>
      <c r="Z608" s="200"/>
      <c r="AA608" s="200"/>
      <c r="AB608" s="200"/>
      <c r="AC608" s="200"/>
      <c r="AD608" s="200"/>
      <c r="AE608" s="200"/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  <c r="AQ608" s="200"/>
      <c r="AR608" s="200"/>
      <c r="AS608" s="200"/>
      <c r="AT608" s="200"/>
    </row>
    <row r="609" spans="1:46" ht="16.5" customHeight="1">
      <c r="A609" s="307"/>
      <c r="B609" s="307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353"/>
      <c r="R609" s="353"/>
      <c r="S609" s="200"/>
      <c r="T609" s="353"/>
      <c r="U609" s="353"/>
      <c r="V609" s="353"/>
      <c r="W609" s="432"/>
      <c r="X609" s="200"/>
      <c r="Y609" s="200"/>
      <c r="Z609" s="200"/>
      <c r="AA609" s="200"/>
      <c r="AB609" s="200"/>
      <c r="AC609" s="200"/>
      <c r="AD609" s="200"/>
      <c r="AE609" s="200"/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  <c r="AQ609" s="200"/>
      <c r="AR609" s="200"/>
      <c r="AS609" s="200"/>
      <c r="AT609" s="200"/>
    </row>
    <row r="610" spans="1:46" ht="16.5" customHeight="1">
      <c r="A610" s="307"/>
      <c r="B610" s="307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353"/>
      <c r="R610" s="353"/>
      <c r="S610" s="200"/>
      <c r="T610" s="353"/>
      <c r="U610" s="353"/>
      <c r="V610" s="353"/>
      <c r="W610" s="432"/>
      <c r="X610" s="200"/>
      <c r="Y610" s="200"/>
      <c r="Z610" s="200"/>
      <c r="AA610" s="200"/>
      <c r="AB610" s="200"/>
      <c r="AC610" s="200"/>
      <c r="AD610" s="200"/>
      <c r="AE610" s="200"/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  <c r="AQ610" s="200"/>
      <c r="AR610" s="200"/>
      <c r="AS610" s="200"/>
      <c r="AT610" s="200"/>
    </row>
    <row r="611" spans="1:46" ht="16.5" customHeight="1">
      <c r="A611" s="307"/>
      <c r="B611" s="307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353"/>
      <c r="R611" s="353"/>
      <c r="S611" s="200"/>
      <c r="T611" s="353"/>
      <c r="U611" s="353"/>
      <c r="V611" s="353"/>
      <c r="W611" s="432"/>
      <c r="X611" s="200"/>
      <c r="Y611" s="200"/>
      <c r="Z611" s="200"/>
      <c r="AA611" s="200"/>
      <c r="AB611" s="200"/>
      <c r="AC611" s="200"/>
      <c r="AD611" s="200"/>
      <c r="AE611" s="200"/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  <c r="AQ611" s="200"/>
      <c r="AR611" s="200"/>
      <c r="AS611" s="200"/>
      <c r="AT611" s="200"/>
    </row>
    <row r="612" spans="1:46" ht="16.5" customHeight="1">
      <c r="A612" s="307"/>
      <c r="B612" s="307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353"/>
      <c r="R612" s="353"/>
      <c r="S612" s="200"/>
      <c r="T612" s="353"/>
      <c r="U612" s="353"/>
      <c r="V612" s="353"/>
      <c r="W612" s="432"/>
      <c r="X612" s="200"/>
      <c r="Y612" s="200"/>
      <c r="Z612" s="200"/>
      <c r="AA612" s="200"/>
      <c r="AB612" s="200"/>
      <c r="AC612" s="200"/>
      <c r="AD612" s="200"/>
      <c r="AE612" s="200"/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  <c r="AQ612" s="200"/>
      <c r="AR612" s="200"/>
      <c r="AS612" s="200"/>
      <c r="AT612" s="200"/>
    </row>
    <row r="613" spans="1:46" ht="16.5" customHeight="1">
      <c r="A613" s="307"/>
      <c r="B613" s="307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353"/>
      <c r="R613" s="353"/>
      <c r="S613" s="200"/>
      <c r="T613" s="353"/>
      <c r="U613" s="353"/>
      <c r="V613" s="353"/>
      <c r="W613" s="432"/>
      <c r="X613" s="200"/>
      <c r="Y613" s="200"/>
      <c r="Z613" s="200"/>
      <c r="AA613" s="200"/>
      <c r="AB613" s="200"/>
      <c r="AC613" s="200"/>
      <c r="AD613" s="200"/>
      <c r="AE613" s="200"/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  <c r="AQ613" s="200"/>
      <c r="AR613" s="200"/>
      <c r="AS613" s="200"/>
      <c r="AT613" s="200"/>
    </row>
    <row r="614" spans="1:46" ht="16.5" customHeight="1">
      <c r="A614" s="307"/>
      <c r="B614" s="307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353"/>
      <c r="R614" s="353"/>
      <c r="S614" s="200"/>
      <c r="T614" s="353"/>
      <c r="U614" s="353"/>
      <c r="V614" s="353"/>
      <c r="W614" s="432"/>
      <c r="X614" s="200"/>
      <c r="Y614" s="200"/>
      <c r="Z614" s="200"/>
      <c r="AA614" s="200"/>
      <c r="AB614" s="200"/>
      <c r="AC614" s="200"/>
      <c r="AD614" s="200"/>
      <c r="AE614" s="200"/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  <c r="AQ614" s="200"/>
      <c r="AR614" s="200"/>
      <c r="AS614" s="200"/>
      <c r="AT614" s="200"/>
    </row>
    <row r="615" spans="1:46" ht="16.5" customHeight="1">
      <c r="A615" s="307"/>
      <c r="B615" s="307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353"/>
      <c r="R615" s="353"/>
      <c r="S615" s="200"/>
      <c r="T615" s="353"/>
      <c r="U615" s="353"/>
      <c r="V615" s="353"/>
      <c r="W615" s="432"/>
      <c r="X615" s="200"/>
      <c r="Y615" s="200"/>
      <c r="Z615" s="200"/>
      <c r="AA615" s="200"/>
      <c r="AB615" s="200"/>
      <c r="AC615" s="200"/>
      <c r="AD615" s="200"/>
      <c r="AE615" s="200"/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  <c r="AQ615" s="200"/>
      <c r="AR615" s="200"/>
      <c r="AS615" s="200"/>
      <c r="AT615" s="200"/>
    </row>
    <row r="616" spans="1:46" ht="16.5" customHeight="1">
      <c r="A616" s="307"/>
      <c r="B616" s="307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353"/>
      <c r="R616" s="353"/>
      <c r="S616" s="200"/>
      <c r="T616" s="353"/>
      <c r="U616" s="353"/>
      <c r="V616" s="353"/>
      <c r="W616" s="432"/>
      <c r="X616" s="200"/>
      <c r="Y616" s="200"/>
      <c r="Z616" s="200"/>
      <c r="AA616" s="200"/>
      <c r="AB616" s="200"/>
      <c r="AC616" s="200"/>
      <c r="AD616" s="200"/>
      <c r="AE616" s="200"/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  <c r="AQ616" s="200"/>
      <c r="AR616" s="200"/>
      <c r="AS616" s="200"/>
      <c r="AT616" s="200"/>
    </row>
    <row r="617" spans="1:46" ht="16.5" customHeight="1">
      <c r="A617" s="307"/>
      <c r="B617" s="307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353"/>
      <c r="R617" s="353"/>
      <c r="S617" s="200"/>
      <c r="T617" s="353"/>
      <c r="U617" s="353"/>
      <c r="V617" s="353"/>
      <c r="W617" s="432"/>
      <c r="X617" s="200"/>
      <c r="Y617" s="200"/>
      <c r="Z617" s="200"/>
      <c r="AA617" s="200"/>
      <c r="AB617" s="200"/>
      <c r="AC617" s="200"/>
      <c r="AD617" s="200"/>
      <c r="AE617" s="200"/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  <c r="AQ617" s="200"/>
      <c r="AR617" s="200"/>
      <c r="AS617" s="200"/>
      <c r="AT617" s="200"/>
    </row>
    <row r="618" spans="1:46" ht="16.5" customHeight="1">
      <c r="A618" s="307"/>
      <c r="B618" s="307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353"/>
      <c r="R618" s="353"/>
      <c r="S618" s="200"/>
      <c r="T618" s="353"/>
      <c r="U618" s="353"/>
      <c r="V618" s="353"/>
      <c r="W618" s="432"/>
      <c r="X618" s="200"/>
      <c r="Y618" s="200"/>
      <c r="Z618" s="200"/>
      <c r="AA618" s="200"/>
      <c r="AB618" s="200"/>
      <c r="AC618" s="200"/>
      <c r="AD618" s="200"/>
      <c r="AE618" s="200"/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  <c r="AQ618" s="200"/>
      <c r="AR618" s="200"/>
      <c r="AS618" s="200"/>
      <c r="AT618" s="200"/>
    </row>
    <row r="619" spans="1:46" ht="16.5" customHeight="1">
      <c r="A619" s="307"/>
      <c r="B619" s="307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353"/>
      <c r="R619" s="353"/>
      <c r="S619" s="200"/>
      <c r="T619" s="353"/>
      <c r="U619" s="353"/>
      <c r="V619" s="353"/>
      <c r="W619" s="432"/>
      <c r="X619" s="200"/>
      <c r="Y619" s="200"/>
      <c r="Z619" s="200"/>
      <c r="AA619" s="200"/>
      <c r="AB619" s="200"/>
      <c r="AC619" s="200"/>
      <c r="AD619" s="200"/>
      <c r="AE619" s="200"/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  <c r="AQ619" s="200"/>
      <c r="AR619" s="200"/>
      <c r="AS619" s="200"/>
      <c r="AT619" s="200"/>
    </row>
    <row r="620" spans="1:46" ht="16.5" customHeight="1">
      <c r="A620" s="307"/>
      <c r="B620" s="307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353"/>
      <c r="R620" s="353"/>
      <c r="S620" s="200"/>
      <c r="T620" s="353"/>
      <c r="U620" s="353"/>
      <c r="V620" s="353"/>
      <c r="W620" s="432"/>
      <c r="X620" s="200"/>
      <c r="Y620" s="200"/>
      <c r="Z620" s="200"/>
      <c r="AA620" s="200"/>
      <c r="AB620" s="200"/>
      <c r="AC620" s="200"/>
      <c r="AD620" s="200"/>
      <c r="AE620" s="200"/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  <c r="AQ620" s="200"/>
      <c r="AR620" s="200"/>
      <c r="AS620" s="200"/>
      <c r="AT620" s="200"/>
    </row>
    <row r="621" spans="1:46" ht="16.5" customHeight="1">
      <c r="A621" s="307"/>
      <c r="B621" s="307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353"/>
      <c r="R621" s="353"/>
      <c r="S621" s="200"/>
      <c r="T621" s="353"/>
      <c r="U621" s="353"/>
      <c r="V621" s="353"/>
      <c r="W621" s="432"/>
      <c r="X621" s="200"/>
      <c r="Y621" s="200"/>
      <c r="Z621" s="200"/>
      <c r="AA621" s="200"/>
      <c r="AB621" s="200"/>
      <c r="AC621" s="200"/>
      <c r="AD621" s="200"/>
      <c r="AE621" s="200"/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  <c r="AQ621" s="200"/>
      <c r="AR621" s="200"/>
      <c r="AS621" s="200"/>
      <c r="AT621" s="200"/>
    </row>
    <row r="622" spans="1:46" ht="16.5" customHeight="1">
      <c r="A622" s="307"/>
      <c r="B622" s="307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353"/>
      <c r="R622" s="353"/>
      <c r="S622" s="200"/>
      <c r="T622" s="353"/>
      <c r="U622" s="353"/>
      <c r="V622" s="353"/>
      <c r="W622" s="432"/>
      <c r="X622" s="200"/>
      <c r="Y622" s="200"/>
      <c r="Z622" s="200"/>
      <c r="AA622" s="200"/>
      <c r="AB622" s="200"/>
      <c r="AC622" s="200"/>
      <c r="AD622" s="200"/>
      <c r="AE622" s="200"/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  <c r="AQ622" s="200"/>
      <c r="AR622" s="200"/>
      <c r="AS622" s="200"/>
      <c r="AT622" s="200"/>
    </row>
    <row r="623" spans="1:46" ht="16.5" customHeight="1">
      <c r="A623" s="307"/>
      <c r="B623" s="307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353"/>
      <c r="R623" s="353"/>
      <c r="S623" s="200"/>
      <c r="T623" s="353"/>
      <c r="U623" s="353"/>
      <c r="V623" s="353"/>
      <c r="W623" s="432"/>
      <c r="X623" s="200"/>
      <c r="Y623" s="200"/>
      <c r="Z623" s="200"/>
      <c r="AA623" s="200"/>
      <c r="AB623" s="200"/>
      <c r="AC623" s="200"/>
      <c r="AD623" s="200"/>
      <c r="AE623" s="200"/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  <c r="AQ623" s="200"/>
      <c r="AR623" s="200"/>
      <c r="AS623" s="200"/>
      <c r="AT623" s="200"/>
    </row>
    <row r="624" spans="1:46" ht="16.5" customHeight="1">
      <c r="A624" s="307"/>
      <c r="B624" s="307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353"/>
      <c r="R624" s="353"/>
      <c r="S624" s="200"/>
      <c r="T624" s="353"/>
      <c r="U624" s="353"/>
      <c r="V624" s="353"/>
      <c r="W624" s="432"/>
      <c r="X624" s="200"/>
      <c r="Y624" s="200"/>
      <c r="Z624" s="200"/>
      <c r="AA624" s="200"/>
      <c r="AB624" s="200"/>
      <c r="AC624" s="200"/>
      <c r="AD624" s="200"/>
      <c r="AE624" s="200"/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  <c r="AQ624" s="200"/>
      <c r="AR624" s="200"/>
      <c r="AS624" s="200"/>
      <c r="AT624" s="200"/>
    </row>
    <row r="625" spans="1:46" ht="16.5" customHeight="1">
      <c r="A625" s="307"/>
      <c r="B625" s="307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353"/>
      <c r="R625" s="353"/>
      <c r="S625" s="200"/>
      <c r="T625" s="353"/>
      <c r="U625" s="353"/>
      <c r="V625" s="353"/>
      <c r="W625" s="432"/>
      <c r="X625" s="200"/>
      <c r="Y625" s="200"/>
      <c r="Z625" s="200"/>
      <c r="AA625" s="200"/>
      <c r="AB625" s="200"/>
      <c r="AC625" s="200"/>
      <c r="AD625" s="200"/>
      <c r="AE625" s="200"/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  <c r="AQ625" s="200"/>
      <c r="AR625" s="200"/>
      <c r="AS625" s="200"/>
      <c r="AT625" s="200"/>
    </row>
    <row r="626" spans="1:46" ht="16.5" customHeight="1">
      <c r="A626" s="307"/>
      <c r="B626" s="307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353"/>
      <c r="R626" s="353"/>
      <c r="S626" s="200"/>
      <c r="T626" s="353"/>
      <c r="U626" s="353"/>
      <c r="V626" s="353"/>
      <c r="W626" s="432"/>
      <c r="X626" s="200"/>
      <c r="Y626" s="200"/>
      <c r="Z626" s="200"/>
      <c r="AA626" s="200"/>
      <c r="AB626" s="200"/>
      <c r="AC626" s="200"/>
      <c r="AD626" s="200"/>
      <c r="AE626" s="200"/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  <c r="AQ626" s="200"/>
      <c r="AR626" s="200"/>
      <c r="AS626" s="200"/>
      <c r="AT626" s="200"/>
    </row>
    <row r="627" spans="1:46" ht="16.5" customHeight="1">
      <c r="A627" s="307"/>
      <c r="B627" s="307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353"/>
      <c r="R627" s="353"/>
      <c r="S627" s="200"/>
      <c r="T627" s="353"/>
      <c r="U627" s="353"/>
      <c r="V627" s="353"/>
      <c r="W627" s="432"/>
      <c r="X627" s="200"/>
      <c r="Y627" s="200"/>
      <c r="Z627" s="200"/>
      <c r="AA627" s="200"/>
      <c r="AB627" s="200"/>
      <c r="AC627" s="200"/>
      <c r="AD627" s="200"/>
      <c r="AE627" s="200"/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  <c r="AQ627" s="200"/>
      <c r="AR627" s="200"/>
      <c r="AS627" s="200"/>
      <c r="AT627" s="200"/>
    </row>
    <row r="628" spans="1:46" ht="16.5" customHeight="1">
      <c r="A628" s="307"/>
      <c r="B628" s="307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353"/>
      <c r="R628" s="353"/>
      <c r="S628" s="200"/>
      <c r="T628" s="353"/>
      <c r="U628" s="353"/>
      <c r="V628" s="353"/>
      <c r="W628" s="432"/>
      <c r="X628" s="200"/>
      <c r="Y628" s="200"/>
      <c r="Z628" s="200"/>
      <c r="AA628" s="200"/>
      <c r="AB628" s="200"/>
      <c r="AC628" s="200"/>
      <c r="AD628" s="200"/>
      <c r="AE628" s="200"/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  <c r="AQ628" s="200"/>
      <c r="AR628" s="200"/>
      <c r="AS628" s="200"/>
      <c r="AT628" s="200"/>
    </row>
    <row r="629" spans="1:46" ht="16.5" customHeight="1">
      <c r="A629" s="307"/>
      <c r="B629" s="307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353"/>
      <c r="R629" s="353"/>
      <c r="S629" s="200"/>
      <c r="T629" s="353"/>
      <c r="U629" s="353"/>
      <c r="V629" s="353"/>
      <c r="W629" s="432"/>
      <c r="X629" s="200"/>
      <c r="Y629" s="200"/>
      <c r="Z629" s="200"/>
      <c r="AA629" s="200"/>
      <c r="AB629" s="200"/>
      <c r="AC629" s="200"/>
      <c r="AD629" s="200"/>
      <c r="AE629" s="200"/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  <c r="AQ629" s="200"/>
      <c r="AR629" s="200"/>
      <c r="AS629" s="200"/>
      <c r="AT629" s="200"/>
    </row>
    <row r="630" spans="1:46" ht="16.5" customHeight="1">
      <c r="A630" s="307"/>
      <c r="B630" s="307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353"/>
      <c r="R630" s="353"/>
      <c r="S630" s="200"/>
      <c r="T630" s="353"/>
      <c r="U630" s="353"/>
      <c r="V630" s="353"/>
      <c r="W630" s="432"/>
      <c r="X630" s="200"/>
      <c r="Y630" s="200"/>
      <c r="Z630" s="200"/>
      <c r="AA630" s="200"/>
      <c r="AB630" s="200"/>
      <c r="AC630" s="200"/>
      <c r="AD630" s="200"/>
      <c r="AE630" s="200"/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  <c r="AQ630" s="200"/>
      <c r="AR630" s="200"/>
      <c r="AS630" s="200"/>
      <c r="AT630" s="200"/>
    </row>
    <row r="631" spans="1:46" ht="16.5" customHeight="1">
      <c r="A631" s="307"/>
      <c r="B631" s="307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353"/>
      <c r="R631" s="353"/>
      <c r="S631" s="200"/>
      <c r="T631" s="353"/>
      <c r="U631" s="353"/>
      <c r="V631" s="353"/>
      <c r="W631" s="432"/>
      <c r="X631" s="200"/>
      <c r="Y631" s="200"/>
      <c r="Z631" s="200"/>
      <c r="AA631" s="200"/>
      <c r="AB631" s="200"/>
      <c r="AC631" s="200"/>
      <c r="AD631" s="200"/>
      <c r="AE631" s="200"/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  <c r="AQ631" s="200"/>
      <c r="AR631" s="200"/>
      <c r="AS631" s="200"/>
      <c r="AT631" s="200"/>
    </row>
    <row r="632" spans="1:46" ht="16.5" customHeight="1">
      <c r="A632" s="307"/>
      <c r="B632" s="307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353"/>
      <c r="R632" s="353"/>
      <c r="S632" s="200"/>
      <c r="T632" s="353"/>
      <c r="U632" s="353"/>
      <c r="V632" s="353"/>
      <c r="W632" s="432"/>
      <c r="X632" s="200"/>
      <c r="Y632" s="200"/>
      <c r="Z632" s="200"/>
      <c r="AA632" s="200"/>
      <c r="AB632" s="200"/>
      <c r="AC632" s="200"/>
      <c r="AD632" s="200"/>
      <c r="AE632" s="200"/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  <c r="AQ632" s="200"/>
      <c r="AR632" s="200"/>
      <c r="AS632" s="200"/>
      <c r="AT632" s="200"/>
    </row>
    <row r="633" spans="1:46" ht="16.5" customHeight="1">
      <c r="A633" s="307"/>
      <c r="B633" s="307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353"/>
      <c r="R633" s="353"/>
      <c r="S633" s="200"/>
      <c r="T633" s="353"/>
      <c r="U633" s="353"/>
      <c r="V633" s="353"/>
      <c r="W633" s="432"/>
      <c r="X633" s="200"/>
      <c r="Y633" s="200"/>
      <c r="Z633" s="200"/>
      <c r="AA633" s="200"/>
      <c r="AB633" s="200"/>
      <c r="AC633" s="200"/>
      <c r="AD633" s="200"/>
      <c r="AE633" s="200"/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  <c r="AQ633" s="200"/>
      <c r="AR633" s="200"/>
      <c r="AS633" s="200"/>
      <c r="AT633" s="200"/>
    </row>
    <row r="634" spans="1:46" ht="16.5" customHeight="1">
      <c r="A634" s="307"/>
      <c r="B634" s="307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353"/>
      <c r="R634" s="353"/>
      <c r="S634" s="200"/>
      <c r="T634" s="353"/>
      <c r="U634" s="353"/>
      <c r="V634" s="353"/>
      <c r="W634" s="432"/>
      <c r="X634" s="200"/>
      <c r="Y634" s="200"/>
      <c r="Z634" s="200"/>
      <c r="AA634" s="200"/>
      <c r="AB634" s="200"/>
      <c r="AC634" s="200"/>
      <c r="AD634" s="200"/>
      <c r="AE634" s="200"/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  <c r="AQ634" s="200"/>
      <c r="AR634" s="200"/>
      <c r="AS634" s="200"/>
      <c r="AT634" s="200"/>
    </row>
    <row r="635" spans="1:46" ht="16.5" customHeight="1">
      <c r="A635" s="307"/>
      <c r="B635" s="307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353"/>
      <c r="R635" s="353"/>
      <c r="S635" s="200"/>
      <c r="T635" s="353"/>
      <c r="U635" s="353"/>
      <c r="V635" s="353"/>
      <c r="W635" s="432"/>
      <c r="X635" s="200"/>
      <c r="Y635" s="200"/>
      <c r="Z635" s="200"/>
      <c r="AA635" s="200"/>
      <c r="AB635" s="200"/>
      <c r="AC635" s="200"/>
      <c r="AD635" s="200"/>
      <c r="AE635" s="200"/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  <c r="AQ635" s="200"/>
      <c r="AR635" s="200"/>
      <c r="AS635" s="200"/>
      <c r="AT635" s="200"/>
    </row>
    <row r="636" spans="1:46" ht="16.5" customHeight="1">
      <c r="A636" s="307"/>
      <c r="B636" s="307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353"/>
      <c r="R636" s="353"/>
      <c r="S636" s="200"/>
      <c r="T636" s="353"/>
      <c r="U636" s="353"/>
      <c r="V636" s="353"/>
      <c r="W636" s="432"/>
      <c r="X636" s="200"/>
      <c r="Y636" s="200"/>
      <c r="Z636" s="200"/>
      <c r="AA636" s="200"/>
      <c r="AB636" s="200"/>
      <c r="AC636" s="200"/>
      <c r="AD636" s="200"/>
      <c r="AE636" s="200"/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  <c r="AQ636" s="200"/>
      <c r="AR636" s="200"/>
      <c r="AS636" s="200"/>
      <c r="AT636" s="200"/>
    </row>
    <row r="637" spans="1:46" ht="16.5" customHeight="1">
      <c r="A637" s="307"/>
      <c r="B637" s="307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353"/>
      <c r="R637" s="353"/>
      <c r="S637" s="200"/>
      <c r="T637" s="353"/>
      <c r="U637" s="353"/>
      <c r="V637" s="353"/>
      <c r="W637" s="432"/>
      <c r="X637" s="200"/>
      <c r="Y637" s="200"/>
      <c r="Z637" s="200"/>
      <c r="AA637" s="200"/>
      <c r="AB637" s="200"/>
      <c r="AC637" s="200"/>
      <c r="AD637" s="200"/>
      <c r="AE637" s="200"/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  <c r="AQ637" s="200"/>
      <c r="AR637" s="200"/>
      <c r="AS637" s="200"/>
      <c r="AT637" s="200"/>
    </row>
    <row r="638" spans="1:46" ht="16.5" customHeight="1">
      <c r="A638" s="307"/>
      <c r="B638" s="307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353"/>
      <c r="R638" s="353"/>
      <c r="S638" s="200"/>
      <c r="T638" s="353"/>
      <c r="U638" s="353"/>
      <c r="V638" s="353"/>
      <c r="W638" s="432"/>
      <c r="X638" s="200"/>
      <c r="Y638" s="200"/>
      <c r="Z638" s="200"/>
      <c r="AA638" s="200"/>
      <c r="AB638" s="200"/>
      <c r="AC638" s="200"/>
      <c r="AD638" s="200"/>
      <c r="AE638" s="200"/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  <c r="AQ638" s="200"/>
      <c r="AR638" s="200"/>
      <c r="AS638" s="200"/>
      <c r="AT638" s="200"/>
    </row>
    <row r="639" spans="1:46" ht="16.5" customHeight="1">
      <c r="A639" s="307"/>
      <c r="B639" s="307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353"/>
      <c r="R639" s="353"/>
      <c r="S639" s="200"/>
      <c r="T639" s="353"/>
      <c r="U639" s="353"/>
      <c r="V639" s="353"/>
      <c r="W639" s="432"/>
      <c r="X639" s="200"/>
      <c r="Y639" s="200"/>
      <c r="Z639" s="200"/>
      <c r="AA639" s="200"/>
      <c r="AB639" s="200"/>
      <c r="AC639" s="200"/>
      <c r="AD639" s="200"/>
      <c r="AE639" s="200"/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  <c r="AQ639" s="200"/>
      <c r="AR639" s="200"/>
      <c r="AS639" s="200"/>
      <c r="AT639" s="200"/>
    </row>
    <row r="640" spans="1:46" ht="16.5" customHeight="1">
      <c r="A640" s="307"/>
      <c r="B640" s="307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353"/>
      <c r="R640" s="353"/>
      <c r="S640" s="200"/>
      <c r="T640" s="353"/>
      <c r="U640" s="353"/>
      <c r="V640" s="353"/>
      <c r="W640" s="432"/>
      <c r="X640" s="200"/>
      <c r="Y640" s="200"/>
      <c r="Z640" s="200"/>
      <c r="AA640" s="200"/>
      <c r="AB640" s="200"/>
      <c r="AC640" s="200"/>
      <c r="AD640" s="200"/>
      <c r="AE640" s="200"/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  <c r="AQ640" s="200"/>
      <c r="AR640" s="200"/>
      <c r="AS640" s="200"/>
      <c r="AT640" s="200"/>
    </row>
    <row r="641" spans="1:46" ht="16.5" customHeight="1">
      <c r="A641" s="307"/>
      <c r="B641" s="307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353"/>
      <c r="R641" s="353"/>
      <c r="S641" s="200"/>
      <c r="T641" s="353"/>
      <c r="U641" s="353"/>
      <c r="V641" s="353"/>
      <c r="W641" s="432"/>
      <c r="X641" s="200"/>
      <c r="Y641" s="200"/>
      <c r="Z641" s="200"/>
      <c r="AA641" s="200"/>
      <c r="AB641" s="200"/>
      <c r="AC641" s="200"/>
      <c r="AD641" s="200"/>
      <c r="AE641" s="200"/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  <c r="AQ641" s="200"/>
      <c r="AR641" s="200"/>
      <c r="AS641" s="200"/>
      <c r="AT641" s="200"/>
    </row>
    <row r="642" spans="1:46" ht="16.5" customHeight="1">
      <c r="A642" s="307"/>
      <c r="B642" s="307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353"/>
      <c r="R642" s="353"/>
      <c r="S642" s="200"/>
      <c r="T642" s="353"/>
      <c r="U642" s="353"/>
      <c r="V642" s="353"/>
      <c r="W642" s="432"/>
      <c r="X642" s="200"/>
      <c r="Y642" s="200"/>
      <c r="Z642" s="200"/>
      <c r="AA642" s="200"/>
      <c r="AB642" s="200"/>
      <c r="AC642" s="200"/>
      <c r="AD642" s="200"/>
      <c r="AE642" s="200"/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  <c r="AQ642" s="200"/>
      <c r="AR642" s="200"/>
      <c r="AS642" s="200"/>
      <c r="AT642" s="200"/>
    </row>
    <row r="643" spans="1:46" ht="16.5" customHeight="1">
      <c r="A643" s="307"/>
      <c r="B643" s="307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353"/>
      <c r="R643" s="353"/>
      <c r="S643" s="200"/>
      <c r="T643" s="353"/>
      <c r="U643" s="353"/>
      <c r="V643" s="353"/>
      <c r="W643" s="432"/>
      <c r="X643" s="200"/>
      <c r="Y643" s="200"/>
      <c r="Z643" s="200"/>
      <c r="AA643" s="200"/>
      <c r="AB643" s="200"/>
      <c r="AC643" s="200"/>
      <c r="AD643" s="200"/>
      <c r="AE643" s="200"/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  <c r="AQ643" s="200"/>
      <c r="AR643" s="200"/>
      <c r="AS643" s="200"/>
      <c r="AT643" s="200"/>
    </row>
    <row r="644" spans="1:46" ht="16.5" customHeight="1">
      <c r="A644" s="307"/>
      <c r="B644" s="307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353"/>
      <c r="R644" s="353"/>
      <c r="S644" s="200"/>
      <c r="T644" s="353"/>
      <c r="U644" s="353"/>
      <c r="V644" s="353"/>
      <c r="W644" s="432"/>
      <c r="X644" s="200"/>
      <c r="Y644" s="200"/>
      <c r="Z644" s="200"/>
      <c r="AA644" s="200"/>
      <c r="AB644" s="200"/>
      <c r="AC644" s="200"/>
      <c r="AD644" s="200"/>
      <c r="AE644" s="200"/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  <c r="AT644" s="200"/>
    </row>
    <row r="645" spans="1:46" ht="16.5" customHeight="1">
      <c r="A645" s="307"/>
      <c r="B645" s="307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353"/>
      <c r="R645" s="353"/>
      <c r="S645" s="200"/>
      <c r="T645" s="353"/>
      <c r="U645" s="353"/>
      <c r="V645" s="353"/>
      <c r="W645" s="432"/>
      <c r="X645" s="200"/>
      <c r="Y645" s="200"/>
      <c r="Z645" s="200"/>
      <c r="AA645" s="200"/>
      <c r="AB645" s="200"/>
      <c r="AC645" s="200"/>
      <c r="AD645" s="200"/>
      <c r="AE645" s="200"/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  <c r="AQ645" s="200"/>
      <c r="AR645" s="200"/>
      <c r="AS645" s="200"/>
      <c r="AT645" s="200"/>
    </row>
    <row r="646" spans="1:46" ht="16.5" customHeight="1">
      <c r="A646" s="307"/>
      <c r="B646" s="307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353"/>
      <c r="R646" s="353"/>
      <c r="S646" s="200"/>
      <c r="T646" s="353"/>
      <c r="U646" s="353"/>
      <c r="V646" s="353"/>
      <c r="W646" s="432"/>
      <c r="X646" s="200"/>
      <c r="Y646" s="200"/>
      <c r="Z646" s="200"/>
      <c r="AA646" s="200"/>
      <c r="AB646" s="200"/>
      <c r="AC646" s="200"/>
      <c r="AD646" s="200"/>
      <c r="AE646" s="200"/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  <c r="AQ646" s="200"/>
      <c r="AR646" s="200"/>
      <c r="AS646" s="200"/>
      <c r="AT646" s="200"/>
    </row>
    <row r="647" spans="1:46" ht="16.5" customHeight="1">
      <c r="A647" s="307"/>
      <c r="B647" s="307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353"/>
      <c r="R647" s="353"/>
      <c r="S647" s="200"/>
      <c r="T647" s="353"/>
      <c r="U647" s="353"/>
      <c r="V647" s="353"/>
      <c r="W647" s="432"/>
      <c r="X647" s="200"/>
      <c r="Y647" s="200"/>
      <c r="Z647" s="200"/>
      <c r="AA647" s="200"/>
      <c r="AB647" s="200"/>
      <c r="AC647" s="200"/>
      <c r="AD647" s="200"/>
      <c r="AE647" s="200"/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  <c r="AQ647" s="200"/>
      <c r="AR647" s="200"/>
      <c r="AS647" s="200"/>
      <c r="AT647" s="200"/>
    </row>
    <row r="648" spans="1:46" ht="16.5" customHeight="1">
      <c r="A648" s="307"/>
      <c r="B648" s="307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353"/>
      <c r="R648" s="353"/>
      <c r="S648" s="200"/>
      <c r="T648" s="353"/>
      <c r="U648" s="353"/>
      <c r="V648" s="353"/>
      <c r="W648" s="432"/>
      <c r="X648" s="200"/>
      <c r="Y648" s="200"/>
      <c r="Z648" s="200"/>
      <c r="AA648" s="200"/>
      <c r="AB648" s="200"/>
      <c r="AC648" s="200"/>
      <c r="AD648" s="200"/>
      <c r="AE648" s="200"/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  <c r="AQ648" s="200"/>
      <c r="AR648" s="200"/>
      <c r="AS648" s="200"/>
      <c r="AT648" s="200"/>
    </row>
    <row r="649" spans="1:46" ht="16.5" customHeight="1">
      <c r="A649" s="307"/>
      <c r="B649" s="307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353"/>
      <c r="R649" s="353"/>
      <c r="S649" s="200"/>
      <c r="T649" s="353"/>
      <c r="U649" s="353"/>
      <c r="V649" s="353"/>
      <c r="W649" s="432"/>
      <c r="X649" s="200"/>
      <c r="Y649" s="200"/>
      <c r="Z649" s="200"/>
      <c r="AA649" s="200"/>
      <c r="AB649" s="200"/>
      <c r="AC649" s="200"/>
      <c r="AD649" s="200"/>
      <c r="AE649" s="200"/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  <c r="AQ649" s="200"/>
      <c r="AR649" s="200"/>
      <c r="AS649" s="200"/>
      <c r="AT649" s="200"/>
    </row>
    <row r="650" spans="1:46" ht="16.5" customHeight="1">
      <c r="A650" s="307"/>
      <c r="B650" s="307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353"/>
      <c r="R650" s="353"/>
      <c r="S650" s="200"/>
      <c r="T650" s="353"/>
      <c r="U650" s="353"/>
      <c r="V650" s="353"/>
      <c r="W650" s="432"/>
      <c r="X650" s="200"/>
      <c r="Y650" s="200"/>
      <c r="Z650" s="200"/>
      <c r="AA650" s="200"/>
      <c r="AB650" s="200"/>
      <c r="AC650" s="200"/>
      <c r="AD650" s="200"/>
      <c r="AE650" s="200"/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  <c r="AQ650" s="200"/>
      <c r="AR650" s="200"/>
      <c r="AS650" s="200"/>
      <c r="AT650" s="200"/>
    </row>
    <row r="651" spans="1:46" ht="16.5" customHeight="1">
      <c r="A651" s="307"/>
      <c r="B651" s="307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353"/>
      <c r="R651" s="353"/>
      <c r="S651" s="200"/>
      <c r="T651" s="353"/>
      <c r="U651" s="353"/>
      <c r="V651" s="353"/>
      <c r="W651" s="432"/>
      <c r="X651" s="200"/>
      <c r="Y651" s="200"/>
      <c r="Z651" s="200"/>
      <c r="AA651" s="200"/>
      <c r="AB651" s="200"/>
      <c r="AC651" s="200"/>
      <c r="AD651" s="200"/>
      <c r="AE651" s="200"/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  <c r="AT651" s="200"/>
    </row>
    <row r="652" spans="1:46" ht="16.5" customHeight="1">
      <c r="A652" s="307"/>
      <c r="B652" s="307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353"/>
      <c r="R652" s="353"/>
      <c r="S652" s="200"/>
      <c r="T652" s="353"/>
      <c r="U652" s="353"/>
      <c r="V652" s="353"/>
      <c r="W652" s="432"/>
      <c r="X652" s="200"/>
      <c r="Y652" s="200"/>
      <c r="Z652" s="200"/>
      <c r="AA652" s="200"/>
      <c r="AB652" s="200"/>
      <c r="AC652" s="200"/>
      <c r="AD652" s="200"/>
      <c r="AE652" s="200"/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  <c r="AQ652" s="200"/>
      <c r="AR652" s="200"/>
      <c r="AS652" s="200"/>
      <c r="AT652" s="200"/>
    </row>
    <row r="653" spans="1:46" ht="16.5" customHeight="1">
      <c r="A653" s="307"/>
      <c r="B653" s="307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353"/>
      <c r="R653" s="353"/>
      <c r="S653" s="200"/>
      <c r="T653" s="353"/>
      <c r="U653" s="353"/>
      <c r="V653" s="353"/>
      <c r="W653" s="432"/>
      <c r="X653" s="200"/>
      <c r="Y653" s="200"/>
      <c r="Z653" s="200"/>
      <c r="AA653" s="200"/>
      <c r="AB653" s="200"/>
      <c r="AC653" s="200"/>
      <c r="AD653" s="200"/>
      <c r="AE653" s="200"/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  <c r="AQ653" s="200"/>
      <c r="AR653" s="200"/>
      <c r="AS653" s="200"/>
      <c r="AT653" s="200"/>
    </row>
    <row r="654" spans="1:46" ht="16.5" customHeight="1">
      <c r="A654" s="307"/>
      <c r="B654" s="307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353"/>
      <c r="R654" s="353"/>
      <c r="S654" s="200"/>
      <c r="T654" s="353"/>
      <c r="U654" s="353"/>
      <c r="V654" s="353"/>
      <c r="W654" s="432"/>
      <c r="X654" s="200"/>
      <c r="Y654" s="200"/>
      <c r="Z654" s="200"/>
      <c r="AA654" s="200"/>
      <c r="AB654" s="200"/>
      <c r="AC654" s="200"/>
      <c r="AD654" s="200"/>
      <c r="AE654" s="200"/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  <c r="AQ654" s="200"/>
      <c r="AR654" s="200"/>
      <c r="AS654" s="200"/>
      <c r="AT654" s="200"/>
    </row>
    <row r="655" spans="1:46" ht="16.5" customHeight="1">
      <c r="A655" s="307"/>
      <c r="B655" s="307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353"/>
      <c r="R655" s="353"/>
      <c r="S655" s="200"/>
      <c r="T655" s="353"/>
      <c r="U655" s="353"/>
      <c r="V655" s="353"/>
      <c r="W655" s="432"/>
      <c r="X655" s="200"/>
      <c r="Y655" s="200"/>
      <c r="Z655" s="200"/>
      <c r="AA655" s="200"/>
      <c r="AB655" s="200"/>
      <c r="AC655" s="200"/>
      <c r="AD655" s="200"/>
      <c r="AE655" s="200"/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  <c r="AQ655" s="200"/>
      <c r="AR655" s="200"/>
      <c r="AS655" s="200"/>
      <c r="AT655" s="200"/>
    </row>
    <row r="656" spans="1:46" ht="16.5" customHeight="1">
      <c r="A656" s="307"/>
      <c r="B656" s="307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353"/>
      <c r="R656" s="353"/>
      <c r="S656" s="200"/>
      <c r="T656" s="353"/>
      <c r="U656" s="353"/>
      <c r="V656" s="353"/>
      <c r="W656" s="432"/>
      <c r="X656" s="200"/>
      <c r="Y656" s="200"/>
      <c r="Z656" s="200"/>
      <c r="AA656" s="200"/>
      <c r="AB656" s="200"/>
      <c r="AC656" s="200"/>
      <c r="AD656" s="200"/>
      <c r="AE656" s="200"/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  <c r="AQ656" s="200"/>
      <c r="AR656" s="200"/>
      <c r="AS656" s="200"/>
      <c r="AT656" s="200"/>
    </row>
    <row r="657" spans="1:46" ht="16.5" customHeight="1">
      <c r="A657" s="307"/>
      <c r="B657" s="307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353"/>
      <c r="R657" s="353"/>
      <c r="S657" s="200"/>
      <c r="T657" s="353"/>
      <c r="U657" s="353"/>
      <c r="V657" s="353"/>
      <c r="W657" s="432"/>
      <c r="X657" s="200"/>
      <c r="Y657" s="200"/>
      <c r="Z657" s="200"/>
      <c r="AA657" s="200"/>
      <c r="AB657" s="200"/>
      <c r="AC657" s="200"/>
      <c r="AD657" s="200"/>
      <c r="AE657" s="200"/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  <c r="AQ657" s="200"/>
      <c r="AR657" s="200"/>
      <c r="AS657" s="200"/>
      <c r="AT657" s="200"/>
    </row>
    <row r="658" spans="1:46" ht="16.5" customHeight="1">
      <c r="A658" s="307"/>
      <c r="B658" s="307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353"/>
      <c r="R658" s="353"/>
      <c r="S658" s="200"/>
      <c r="T658" s="353"/>
      <c r="U658" s="353"/>
      <c r="V658" s="353"/>
      <c r="W658" s="432"/>
      <c r="X658" s="200"/>
      <c r="Y658" s="200"/>
      <c r="Z658" s="200"/>
      <c r="AA658" s="200"/>
      <c r="AB658" s="200"/>
      <c r="AC658" s="200"/>
      <c r="AD658" s="200"/>
      <c r="AE658" s="200"/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  <c r="AQ658" s="200"/>
      <c r="AR658" s="200"/>
      <c r="AS658" s="200"/>
      <c r="AT658" s="200"/>
    </row>
    <row r="659" spans="1:46" ht="16.5" customHeight="1">
      <c r="A659" s="307"/>
      <c r="B659" s="307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353"/>
      <c r="R659" s="353"/>
      <c r="S659" s="200"/>
      <c r="T659" s="353"/>
      <c r="U659" s="353"/>
      <c r="V659" s="353"/>
      <c r="W659" s="432"/>
      <c r="X659" s="200"/>
      <c r="Y659" s="200"/>
      <c r="Z659" s="200"/>
      <c r="AA659" s="200"/>
      <c r="AB659" s="200"/>
      <c r="AC659" s="200"/>
      <c r="AD659" s="200"/>
      <c r="AE659" s="200"/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  <c r="AT659" s="200"/>
    </row>
    <row r="660" spans="1:46" ht="16.5" customHeight="1">
      <c r="A660" s="307"/>
      <c r="B660" s="307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353"/>
      <c r="R660" s="353"/>
      <c r="S660" s="200"/>
      <c r="T660" s="353"/>
      <c r="U660" s="353"/>
      <c r="V660" s="353"/>
      <c r="W660" s="432"/>
      <c r="X660" s="200"/>
      <c r="Y660" s="200"/>
      <c r="Z660" s="200"/>
      <c r="AA660" s="200"/>
      <c r="AB660" s="200"/>
      <c r="AC660" s="200"/>
      <c r="AD660" s="200"/>
      <c r="AE660" s="200"/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  <c r="AQ660" s="200"/>
      <c r="AR660" s="200"/>
      <c r="AS660" s="200"/>
      <c r="AT660" s="200"/>
    </row>
    <row r="661" spans="1:46" ht="16.5" customHeight="1">
      <c r="A661" s="307"/>
      <c r="B661" s="307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353"/>
      <c r="R661" s="353"/>
      <c r="S661" s="200"/>
      <c r="T661" s="353"/>
      <c r="U661" s="353"/>
      <c r="V661" s="353"/>
      <c r="W661" s="432"/>
      <c r="X661" s="200"/>
      <c r="Y661" s="200"/>
      <c r="Z661" s="200"/>
      <c r="AA661" s="200"/>
      <c r="AB661" s="200"/>
      <c r="AC661" s="200"/>
      <c r="AD661" s="200"/>
      <c r="AE661" s="200"/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  <c r="AQ661" s="200"/>
      <c r="AR661" s="200"/>
      <c r="AS661" s="200"/>
      <c r="AT661" s="200"/>
    </row>
    <row r="662" spans="1:46" ht="16.5" customHeight="1">
      <c r="A662" s="307"/>
      <c r="B662" s="307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353"/>
      <c r="R662" s="353"/>
      <c r="S662" s="200"/>
      <c r="T662" s="353"/>
      <c r="U662" s="353"/>
      <c r="V662" s="353"/>
      <c r="W662" s="432"/>
      <c r="X662" s="200"/>
      <c r="Y662" s="200"/>
      <c r="Z662" s="200"/>
      <c r="AA662" s="200"/>
      <c r="AB662" s="200"/>
      <c r="AC662" s="200"/>
      <c r="AD662" s="200"/>
      <c r="AE662" s="200"/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  <c r="AT662" s="200"/>
    </row>
    <row r="663" spans="1:46" ht="16.5" customHeight="1">
      <c r="A663" s="307"/>
      <c r="B663" s="307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353"/>
      <c r="R663" s="353"/>
      <c r="S663" s="200"/>
      <c r="T663" s="353"/>
      <c r="U663" s="353"/>
      <c r="V663" s="353"/>
      <c r="W663" s="432"/>
      <c r="X663" s="200"/>
      <c r="Y663" s="200"/>
      <c r="Z663" s="200"/>
      <c r="AA663" s="200"/>
      <c r="AB663" s="200"/>
      <c r="AC663" s="200"/>
      <c r="AD663" s="200"/>
      <c r="AE663" s="200"/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  <c r="AQ663" s="200"/>
      <c r="AR663" s="200"/>
      <c r="AS663" s="200"/>
      <c r="AT663" s="200"/>
    </row>
    <row r="664" spans="1:46" ht="16.5" customHeight="1">
      <c r="A664" s="307"/>
      <c r="B664" s="307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353"/>
      <c r="R664" s="353"/>
      <c r="S664" s="200"/>
      <c r="T664" s="353"/>
      <c r="U664" s="353"/>
      <c r="V664" s="353"/>
      <c r="W664" s="432"/>
      <c r="X664" s="200"/>
      <c r="Y664" s="200"/>
      <c r="Z664" s="200"/>
      <c r="AA664" s="200"/>
      <c r="AB664" s="200"/>
      <c r="AC664" s="200"/>
      <c r="AD664" s="200"/>
      <c r="AE664" s="200"/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  <c r="AQ664" s="200"/>
      <c r="AR664" s="200"/>
      <c r="AS664" s="200"/>
      <c r="AT664" s="200"/>
    </row>
    <row r="665" spans="1:46" ht="16.5" customHeight="1">
      <c r="A665" s="307"/>
      <c r="B665" s="307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353"/>
      <c r="R665" s="353"/>
      <c r="S665" s="200"/>
      <c r="T665" s="353"/>
      <c r="U665" s="353"/>
      <c r="V665" s="353"/>
      <c r="W665" s="432"/>
      <c r="X665" s="200"/>
      <c r="Y665" s="200"/>
      <c r="Z665" s="200"/>
      <c r="AA665" s="200"/>
      <c r="AB665" s="200"/>
      <c r="AC665" s="200"/>
      <c r="AD665" s="200"/>
      <c r="AE665" s="200"/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  <c r="AT665" s="200"/>
    </row>
    <row r="666" spans="1:46" ht="16.5" customHeight="1">
      <c r="A666" s="307"/>
      <c r="B666" s="307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353"/>
      <c r="R666" s="353"/>
      <c r="S666" s="200"/>
      <c r="T666" s="353"/>
      <c r="U666" s="353"/>
      <c r="V666" s="353"/>
      <c r="W666" s="432"/>
      <c r="X666" s="200"/>
      <c r="Y666" s="200"/>
      <c r="Z666" s="200"/>
      <c r="AA666" s="200"/>
      <c r="AB666" s="200"/>
      <c r="AC666" s="200"/>
      <c r="AD666" s="200"/>
      <c r="AE666" s="200"/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  <c r="AQ666" s="200"/>
      <c r="AR666" s="200"/>
      <c r="AS666" s="200"/>
      <c r="AT666" s="200"/>
    </row>
    <row r="667" spans="1:46" ht="16.5" customHeight="1">
      <c r="A667" s="307"/>
      <c r="B667" s="307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353"/>
      <c r="R667" s="353"/>
      <c r="S667" s="200"/>
      <c r="T667" s="353"/>
      <c r="U667" s="353"/>
      <c r="V667" s="353"/>
      <c r="W667" s="432"/>
      <c r="X667" s="200"/>
      <c r="Y667" s="200"/>
      <c r="Z667" s="200"/>
      <c r="AA667" s="200"/>
      <c r="AB667" s="200"/>
      <c r="AC667" s="200"/>
      <c r="AD667" s="200"/>
      <c r="AE667" s="200"/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  <c r="AQ667" s="200"/>
      <c r="AR667" s="200"/>
      <c r="AS667" s="200"/>
      <c r="AT667" s="200"/>
    </row>
    <row r="668" spans="1:46" ht="16.5" customHeight="1">
      <c r="A668" s="307"/>
      <c r="B668" s="307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353"/>
      <c r="R668" s="353"/>
      <c r="S668" s="200"/>
      <c r="T668" s="353"/>
      <c r="U668" s="353"/>
      <c r="V668" s="353"/>
      <c r="W668" s="432"/>
      <c r="X668" s="200"/>
      <c r="Y668" s="200"/>
      <c r="Z668" s="200"/>
      <c r="AA668" s="200"/>
      <c r="AB668" s="200"/>
      <c r="AC668" s="200"/>
      <c r="AD668" s="200"/>
      <c r="AE668" s="200"/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  <c r="AQ668" s="200"/>
      <c r="AR668" s="200"/>
      <c r="AS668" s="200"/>
      <c r="AT668" s="200"/>
    </row>
    <row r="669" spans="1:46" ht="16.5" customHeight="1">
      <c r="A669" s="307"/>
      <c r="B669" s="307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353"/>
      <c r="R669" s="353"/>
      <c r="S669" s="200"/>
      <c r="T669" s="353"/>
      <c r="U669" s="353"/>
      <c r="V669" s="353"/>
      <c r="W669" s="432"/>
      <c r="X669" s="200"/>
      <c r="Y669" s="200"/>
      <c r="Z669" s="200"/>
      <c r="AA669" s="200"/>
      <c r="AB669" s="200"/>
      <c r="AC669" s="200"/>
      <c r="AD669" s="200"/>
      <c r="AE669" s="200"/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  <c r="AQ669" s="200"/>
      <c r="AR669" s="200"/>
      <c r="AS669" s="200"/>
      <c r="AT669" s="200"/>
    </row>
    <row r="670" spans="1:46" ht="16.5" customHeight="1">
      <c r="A670" s="307"/>
      <c r="B670" s="307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353"/>
      <c r="R670" s="353"/>
      <c r="S670" s="200"/>
      <c r="T670" s="353"/>
      <c r="U670" s="353"/>
      <c r="V670" s="353"/>
      <c r="W670" s="432"/>
      <c r="X670" s="200"/>
      <c r="Y670" s="200"/>
      <c r="Z670" s="200"/>
      <c r="AA670" s="200"/>
      <c r="AB670" s="200"/>
      <c r="AC670" s="200"/>
      <c r="AD670" s="200"/>
      <c r="AE670" s="200"/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  <c r="AQ670" s="200"/>
      <c r="AR670" s="200"/>
      <c r="AS670" s="200"/>
      <c r="AT670" s="200"/>
    </row>
    <row r="671" spans="1:46" ht="16.5" customHeight="1">
      <c r="A671" s="307"/>
      <c r="B671" s="307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353"/>
      <c r="R671" s="353"/>
      <c r="S671" s="200"/>
      <c r="T671" s="353"/>
      <c r="U671" s="353"/>
      <c r="V671" s="353"/>
      <c r="W671" s="432"/>
      <c r="X671" s="200"/>
      <c r="Y671" s="200"/>
      <c r="Z671" s="200"/>
      <c r="AA671" s="200"/>
      <c r="AB671" s="200"/>
      <c r="AC671" s="200"/>
      <c r="AD671" s="200"/>
      <c r="AE671" s="200"/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  <c r="AT671" s="200"/>
    </row>
    <row r="672" spans="1:46" ht="16.5" customHeight="1">
      <c r="A672" s="307"/>
      <c r="B672" s="307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353"/>
      <c r="R672" s="353"/>
      <c r="S672" s="200"/>
      <c r="T672" s="353"/>
      <c r="U672" s="353"/>
      <c r="V672" s="353"/>
      <c r="W672" s="432"/>
      <c r="X672" s="200"/>
      <c r="Y672" s="200"/>
      <c r="Z672" s="200"/>
      <c r="AA672" s="200"/>
      <c r="AB672" s="200"/>
      <c r="AC672" s="200"/>
      <c r="AD672" s="200"/>
      <c r="AE672" s="200"/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  <c r="AQ672" s="200"/>
      <c r="AR672" s="200"/>
      <c r="AS672" s="200"/>
      <c r="AT672" s="200"/>
    </row>
    <row r="673" spans="1:46" ht="16.5" customHeight="1">
      <c r="A673" s="307"/>
      <c r="B673" s="307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353"/>
      <c r="R673" s="353"/>
      <c r="S673" s="200"/>
      <c r="T673" s="353"/>
      <c r="U673" s="353"/>
      <c r="V673" s="353"/>
      <c r="W673" s="432"/>
      <c r="X673" s="200"/>
      <c r="Y673" s="200"/>
      <c r="Z673" s="200"/>
      <c r="AA673" s="200"/>
      <c r="AB673" s="200"/>
      <c r="AC673" s="200"/>
      <c r="AD673" s="200"/>
      <c r="AE673" s="200"/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  <c r="AQ673" s="200"/>
      <c r="AR673" s="200"/>
      <c r="AS673" s="200"/>
      <c r="AT673" s="200"/>
    </row>
    <row r="674" spans="1:46" ht="16.5" customHeight="1">
      <c r="A674" s="307"/>
      <c r="B674" s="307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353"/>
      <c r="R674" s="353"/>
      <c r="S674" s="200"/>
      <c r="T674" s="353"/>
      <c r="U674" s="353"/>
      <c r="V674" s="353"/>
      <c r="W674" s="432"/>
      <c r="X674" s="200"/>
      <c r="Y674" s="200"/>
      <c r="Z674" s="200"/>
      <c r="AA674" s="200"/>
      <c r="AB674" s="200"/>
      <c r="AC674" s="200"/>
      <c r="AD674" s="200"/>
      <c r="AE674" s="200"/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  <c r="AQ674" s="200"/>
      <c r="AR674" s="200"/>
      <c r="AS674" s="200"/>
      <c r="AT674" s="200"/>
    </row>
    <row r="675" spans="1:46" ht="16.5" customHeight="1">
      <c r="A675" s="307"/>
      <c r="B675" s="307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353"/>
      <c r="R675" s="353"/>
      <c r="S675" s="200"/>
      <c r="T675" s="353"/>
      <c r="U675" s="353"/>
      <c r="V675" s="353"/>
      <c r="W675" s="432"/>
      <c r="X675" s="200"/>
      <c r="Y675" s="200"/>
      <c r="Z675" s="200"/>
      <c r="AA675" s="200"/>
      <c r="AB675" s="200"/>
      <c r="AC675" s="200"/>
      <c r="AD675" s="200"/>
      <c r="AE675" s="200"/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  <c r="AQ675" s="200"/>
      <c r="AR675" s="200"/>
      <c r="AS675" s="200"/>
      <c r="AT675" s="200"/>
    </row>
    <row r="676" spans="1:46" ht="16.5" customHeight="1">
      <c r="A676" s="307"/>
      <c r="B676" s="307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353"/>
      <c r="R676" s="353"/>
      <c r="S676" s="200"/>
      <c r="T676" s="353"/>
      <c r="U676" s="353"/>
      <c r="V676" s="353"/>
      <c r="W676" s="432"/>
      <c r="X676" s="200"/>
      <c r="Y676" s="200"/>
      <c r="Z676" s="200"/>
      <c r="AA676" s="200"/>
      <c r="AB676" s="200"/>
      <c r="AC676" s="200"/>
      <c r="AD676" s="200"/>
      <c r="AE676" s="200"/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  <c r="AQ676" s="200"/>
      <c r="AR676" s="200"/>
      <c r="AS676" s="200"/>
      <c r="AT676" s="200"/>
    </row>
    <row r="677" spans="1:46" ht="16.5" customHeight="1">
      <c r="A677" s="307"/>
      <c r="B677" s="307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353"/>
      <c r="R677" s="353"/>
      <c r="S677" s="200"/>
      <c r="T677" s="353"/>
      <c r="U677" s="353"/>
      <c r="V677" s="353"/>
      <c r="W677" s="432"/>
      <c r="X677" s="200"/>
      <c r="Y677" s="200"/>
      <c r="Z677" s="200"/>
      <c r="AA677" s="200"/>
      <c r="AB677" s="200"/>
      <c r="AC677" s="200"/>
      <c r="AD677" s="200"/>
      <c r="AE677" s="200"/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  <c r="AQ677" s="200"/>
      <c r="AR677" s="200"/>
      <c r="AS677" s="200"/>
      <c r="AT677" s="200"/>
    </row>
    <row r="678" spans="1:46" ht="16.5" customHeight="1">
      <c r="A678" s="307"/>
      <c r="B678" s="307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353"/>
      <c r="R678" s="353"/>
      <c r="S678" s="200"/>
      <c r="T678" s="353"/>
      <c r="U678" s="353"/>
      <c r="V678" s="353"/>
      <c r="W678" s="432"/>
      <c r="X678" s="200"/>
      <c r="Y678" s="200"/>
      <c r="Z678" s="200"/>
      <c r="AA678" s="200"/>
      <c r="AB678" s="200"/>
      <c r="AC678" s="200"/>
      <c r="AD678" s="200"/>
      <c r="AE678" s="200"/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  <c r="AQ678" s="200"/>
      <c r="AR678" s="200"/>
      <c r="AS678" s="200"/>
      <c r="AT678" s="200"/>
    </row>
    <row r="679" spans="1:46" ht="16.5" customHeight="1">
      <c r="A679" s="307"/>
      <c r="B679" s="307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353"/>
      <c r="R679" s="353"/>
      <c r="S679" s="200"/>
      <c r="T679" s="353"/>
      <c r="U679" s="353"/>
      <c r="V679" s="353"/>
      <c r="W679" s="432"/>
      <c r="X679" s="200"/>
      <c r="Y679" s="200"/>
      <c r="Z679" s="200"/>
      <c r="AA679" s="200"/>
      <c r="AB679" s="200"/>
      <c r="AC679" s="200"/>
      <c r="AD679" s="200"/>
      <c r="AE679" s="200"/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  <c r="AQ679" s="200"/>
      <c r="AR679" s="200"/>
      <c r="AS679" s="200"/>
      <c r="AT679" s="200"/>
    </row>
    <row r="680" spans="1:46" ht="16.5" customHeight="1">
      <c r="A680" s="307"/>
      <c r="B680" s="307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353"/>
      <c r="R680" s="353"/>
      <c r="S680" s="200"/>
      <c r="T680" s="353"/>
      <c r="U680" s="353"/>
      <c r="V680" s="353"/>
      <c r="W680" s="432"/>
      <c r="X680" s="200"/>
      <c r="Y680" s="200"/>
      <c r="Z680" s="200"/>
      <c r="AA680" s="200"/>
      <c r="AB680" s="200"/>
      <c r="AC680" s="200"/>
      <c r="AD680" s="200"/>
      <c r="AE680" s="200"/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  <c r="AQ680" s="200"/>
      <c r="AR680" s="200"/>
      <c r="AS680" s="200"/>
      <c r="AT680" s="200"/>
    </row>
    <row r="681" spans="1:46" ht="16.5" customHeight="1">
      <c r="A681" s="307"/>
      <c r="B681" s="307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353"/>
      <c r="R681" s="353"/>
      <c r="S681" s="200"/>
      <c r="T681" s="353"/>
      <c r="U681" s="353"/>
      <c r="V681" s="353"/>
      <c r="W681" s="432"/>
      <c r="X681" s="200"/>
      <c r="Y681" s="200"/>
      <c r="Z681" s="200"/>
      <c r="AA681" s="200"/>
      <c r="AB681" s="200"/>
      <c r="AC681" s="200"/>
      <c r="AD681" s="200"/>
      <c r="AE681" s="200"/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  <c r="AT681" s="200"/>
    </row>
    <row r="682" spans="1:46" ht="16.5" customHeight="1">
      <c r="A682" s="307"/>
      <c r="B682" s="307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353"/>
      <c r="R682" s="353"/>
      <c r="S682" s="200"/>
      <c r="T682" s="353"/>
      <c r="U682" s="353"/>
      <c r="V682" s="353"/>
      <c r="W682" s="432"/>
      <c r="X682" s="200"/>
      <c r="Y682" s="200"/>
      <c r="Z682" s="200"/>
      <c r="AA682" s="200"/>
      <c r="AB682" s="200"/>
      <c r="AC682" s="200"/>
      <c r="AD682" s="200"/>
      <c r="AE682" s="200"/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  <c r="AQ682" s="200"/>
      <c r="AR682" s="200"/>
      <c r="AS682" s="200"/>
      <c r="AT682" s="200"/>
    </row>
    <row r="683" spans="1:46" ht="16.5" customHeight="1">
      <c r="A683" s="307"/>
      <c r="B683" s="307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353"/>
      <c r="R683" s="353"/>
      <c r="S683" s="200"/>
      <c r="T683" s="353"/>
      <c r="U683" s="353"/>
      <c r="V683" s="353"/>
      <c r="W683" s="432"/>
      <c r="X683" s="200"/>
      <c r="Y683" s="200"/>
      <c r="Z683" s="200"/>
      <c r="AA683" s="200"/>
      <c r="AB683" s="200"/>
      <c r="AC683" s="200"/>
      <c r="AD683" s="200"/>
      <c r="AE683" s="200"/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  <c r="AQ683" s="200"/>
      <c r="AR683" s="200"/>
      <c r="AS683" s="200"/>
      <c r="AT683" s="200"/>
    </row>
    <row r="684" spans="1:46" ht="16.5" customHeight="1">
      <c r="A684" s="307"/>
      <c r="B684" s="307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353"/>
      <c r="R684" s="353"/>
      <c r="S684" s="200"/>
      <c r="T684" s="353"/>
      <c r="U684" s="353"/>
      <c r="V684" s="353"/>
      <c r="W684" s="432"/>
      <c r="X684" s="200"/>
      <c r="Y684" s="200"/>
      <c r="Z684" s="200"/>
      <c r="AA684" s="200"/>
      <c r="AB684" s="200"/>
      <c r="AC684" s="200"/>
      <c r="AD684" s="200"/>
      <c r="AE684" s="200"/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  <c r="AQ684" s="200"/>
      <c r="AR684" s="200"/>
      <c r="AS684" s="200"/>
      <c r="AT684" s="200"/>
    </row>
    <row r="685" spans="1:46" ht="16.5" customHeight="1">
      <c r="A685" s="307"/>
      <c r="B685" s="307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353"/>
      <c r="R685" s="353"/>
      <c r="S685" s="200"/>
      <c r="T685" s="353"/>
      <c r="U685" s="353"/>
      <c r="V685" s="353"/>
      <c r="W685" s="432"/>
      <c r="X685" s="200"/>
      <c r="Y685" s="200"/>
      <c r="Z685" s="200"/>
      <c r="AA685" s="200"/>
      <c r="AB685" s="200"/>
      <c r="AC685" s="200"/>
      <c r="AD685" s="200"/>
      <c r="AE685" s="200"/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  <c r="AQ685" s="200"/>
      <c r="AR685" s="200"/>
      <c r="AS685" s="200"/>
      <c r="AT685" s="200"/>
    </row>
    <row r="686" spans="1:46" ht="16.5" customHeight="1">
      <c r="A686" s="307"/>
      <c r="B686" s="307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353"/>
      <c r="R686" s="353"/>
      <c r="S686" s="200"/>
      <c r="T686" s="353"/>
      <c r="U686" s="353"/>
      <c r="V686" s="353"/>
      <c r="W686" s="432"/>
      <c r="X686" s="200"/>
      <c r="Y686" s="200"/>
      <c r="Z686" s="200"/>
      <c r="AA686" s="200"/>
      <c r="AB686" s="200"/>
      <c r="AC686" s="200"/>
      <c r="AD686" s="200"/>
      <c r="AE686" s="200"/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  <c r="AQ686" s="200"/>
      <c r="AR686" s="200"/>
      <c r="AS686" s="200"/>
      <c r="AT686" s="200"/>
    </row>
    <row r="687" spans="1:46" ht="16.5" customHeight="1">
      <c r="A687" s="307"/>
      <c r="B687" s="307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353"/>
      <c r="R687" s="353"/>
      <c r="S687" s="200"/>
      <c r="T687" s="353"/>
      <c r="U687" s="353"/>
      <c r="V687" s="353"/>
      <c r="W687" s="432"/>
      <c r="X687" s="200"/>
      <c r="Y687" s="200"/>
      <c r="Z687" s="200"/>
      <c r="AA687" s="200"/>
      <c r="AB687" s="200"/>
      <c r="AC687" s="200"/>
      <c r="AD687" s="200"/>
      <c r="AE687" s="200"/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  <c r="AQ687" s="200"/>
      <c r="AR687" s="200"/>
      <c r="AS687" s="200"/>
      <c r="AT687" s="200"/>
    </row>
    <row r="688" spans="1:46" ht="16.5" customHeight="1">
      <c r="A688" s="307"/>
      <c r="B688" s="307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353"/>
      <c r="R688" s="353"/>
      <c r="S688" s="200"/>
      <c r="T688" s="353"/>
      <c r="U688" s="353"/>
      <c r="V688" s="353"/>
      <c r="W688" s="432"/>
      <c r="X688" s="200"/>
      <c r="Y688" s="200"/>
      <c r="Z688" s="200"/>
      <c r="AA688" s="200"/>
      <c r="AB688" s="200"/>
      <c r="AC688" s="200"/>
      <c r="AD688" s="200"/>
      <c r="AE688" s="200"/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  <c r="AQ688" s="200"/>
      <c r="AR688" s="200"/>
      <c r="AS688" s="200"/>
      <c r="AT688" s="200"/>
    </row>
    <row r="689" spans="1:46" ht="16.5" customHeight="1">
      <c r="A689" s="307"/>
      <c r="B689" s="307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353"/>
      <c r="R689" s="353"/>
      <c r="S689" s="200"/>
      <c r="T689" s="353"/>
      <c r="U689" s="353"/>
      <c r="V689" s="353"/>
      <c r="W689" s="432"/>
      <c r="X689" s="200"/>
      <c r="Y689" s="200"/>
      <c r="Z689" s="200"/>
      <c r="AA689" s="200"/>
      <c r="AB689" s="200"/>
      <c r="AC689" s="200"/>
      <c r="AD689" s="200"/>
      <c r="AE689" s="200"/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  <c r="AQ689" s="200"/>
      <c r="AR689" s="200"/>
      <c r="AS689" s="200"/>
      <c r="AT689" s="200"/>
    </row>
    <row r="690" spans="1:46" ht="16.5" customHeight="1">
      <c r="A690" s="307"/>
      <c r="B690" s="307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353"/>
      <c r="R690" s="353"/>
      <c r="S690" s="200"/>
      <c r="T690" s="353"/>
      <c r="U690" s="353"/>
      <c r="V690" s="353"/>
      <c r="W690" s="432"/>
      <c r="X690" s="200"/>
      <c r="Y690" s="200"/>
      <c r="Z690" s="200"/>
      <c r="AA690" s="200"/>
      <c r="AB690" s="200"/>
      <c r="AC690" s="200"/>
      <c r="AD690" s="200"/>
      <c r="AE690" s="200"/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  <c r="AQ690" s="200"/>
      <c r="AR690" s="200"/>
      <c r="AS690" s="200"/>
      <c r="AT690" s="200"/>
    </row>
    <row r="691" spans="1:46" ht="16.5" customHeight="1">
      <c r="A691" s="307"/>
      <c r="B691" s="307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353"/>
      <c r="R691" s="353"/>
      <c r="S691" s="200"/>
      <c r="T691" s="353"/>
      <c r="U691" s="353"/>
      <c r="V691" s="353"/>
      <c r="W691" s="432"/>
      <c r="X691" s="200"/>
      <c r="Y691" s="200"/>
      <c r="Z691" s="200"/>
      <c r="AA691" s="200"/>
      <c r="AB691" s="200"/>
      <c r="AC691" s="200"/>
      <c r="AD691" s="200"/>
      <c r="AE691" s="200"/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  <c r="AQ691" s="200"/>
      <c r="AR691" s="200"/>
      <c r="AS691" s="200"/>
      <c r="AT691" s="200"/>
    </row>
    <row r="692" spans="1:46" ht="16.5" customHeight="1">
      <c r="A692" s="307"/>
      <c r="B692" s="307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353"/>
      <c r="R692" s="353"/>
      <c r="S692" s="200"/>
      <c r="T692" s="353"/>
      <c r="U692" s="353"/>
      <c r="V692" s="353"/>
      <c r="W692" s="432"/>
      <c r="X692" s="200"/>
      <c r="Y692" s="200"/>
      <c r="Z692" s="200"/>
      <c r="AA692" s="200"/>
      <c r="AB692" s="200"/>
      <c r="AC692" s="200"/>
      <c r="AD692" s="200"/>
      <c r="AE692" s="200"/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  <c r="AQ692" s="200"/>
      <c r="AR692" s="200"/>
      <c r="AS692" s="200"/>
      <c r="AT692" s="200"/>
    </row>
    <row r="693" spans="1:46" ht="16.5" customHeight="1">
      <c r="A693" s="307"/>
      <c r="B693" s="307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353"/>
      <c r="R693" s="353"/>
      <c r="S693" s="200"/>
      <c r="T693" s="353"/>
      <c r="U693" s="353"/>
      <c r="V693" s="353"/>
      <c r="W693" s="432"/>
      <c r="X693" s="200"/>
      <c r="Y693" s="200"/>
      <c r="Z693" s="200"/>
      <c r="AA693" s="200"/>
      <c r="AB693" s="200"/>
      <c r="AC693" s="200"/>
      <c r="AD693" s="200"/>
      <c r="AE693" s="200"/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  <c r="AQ693" s="200"/>
      <c r="AR693" s="200"/>
      <c r="AS693" s="200"/>
      <c r="AT693" s="200"/>
    </row>
    <row r="694" spans="1:46" ht="16.5" customHeight="1">
      <c r="A694" s="307"/>
      <c r="B694" s="307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353"/>
      <c r="R694" s="353"/>
      <c r="S694" s="200"/>
      <c r="T694" s="353"/>
      <c r="U694" s="353"/>
      <c r="V694" s="353"/>
      <c r="W694" s="432"/>
      <c r="X694" s="200"/>
      <c r="Y694" s="200"/>
      <c r="Z694" s="200"/>
      <c r="AA694" s="200"/>
      <c r="AB694" s="200"/>
      <c r="AC694" s="200"/>
      <c r="AD694" s="200"/>
      <c r="AE694" s="200"/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  <c r="AQ694" s="200"/>
      <c r="AR694" s="200"/>
      <c r="AS694" s="200"/>
      <c r="AT694" s="200"/>
    </row>
    <row r="695" spans="1:46" ht="16.5" customHeight="1">
      <c r="A695" s="307"/>
      <c r="B695" s="307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353"/>
      <c r="R695" s="353"/>
      <c r="S695" s="200"/>
      <c r="T695" s="353"/>
      <c r="U695" s="353"/>
      <c r="V695" s="353"/>
      <c r="W695" s="432"/>
      <c r="X695" s="200"/>
      <c r="Y695" s="200"/>
      <c r="Z695" s="200"/>
      <c r="AA695" s="200"/>
      <c r="AB695" s="200"/>
      <c r="AC695" s="200"/>
      <c r="AD695" s="200"/>
      <c r="AE695" s="200"/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  <c r="AQ695" s="200"/>
      <c r="AR695" s="200"/>
      <c r="AS695" s="200"/>
      <c r="AT695" s="200"/>
    </row>
    <row r="696" spans="1:46" ht="16.5" customHeight="1">
      <c r="A696" s="307"/>
      <c r="B696" s="307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353"/>
      <c r="R696" s="353"/>
      <c r="S696" s="200"/>
      <c r="T696" s="353"/>
      <c r="U696" s="353"/>
      <c r="V696" s="353"/>
      <c r="W696" s="432"/>
      <c r="X696" s="200"/>
      <c r="Y696" s="200"/>
      <c r="Z696" s="200"/>
      <c r="AA696" s="200"/>
      <c r="AB696" s="200"/>
      <c r="AC696" s="200"/>
      <c r="AD696" s="200"/>
      <c r="AE696" s="200"/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  <c r="AQ696" s="200"/>
      <c r="AR696" s="200"/>
      <c r="AS696" s="200"/>
      <c r="AT696" s="200"/>
    </row>
    <row r="697" spans="1:46" ht="16.5" customHeight="1">
      <c r="A697" s="307"/>
      <c r="B697" s="307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353"/>
      <c r="R697" s="353"/>
      <c r="S697" s="200"/>
      <c r="T697" s="353"/>
      <c r="U697" s="353"/>
      <c r="V697" s="353"/>
      <c r="W697" s="432"/>
      <c r="X697" s="200"/>
      <c r="Y697" s="200"/>
      <c r="Z697" s="200"/>
      <c r="AA697" s="200"/>
      <c r="AB697" s="200"/>
      <c r="AC697" s="200"/>
      <c r="AD697" s="200"/>
      <c r="AE697" s="200"/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  <c r="AQ697" s="200"/>
      <c r="AR697" s="200"/>
      <c r="AS697" s="200"/>
      <c r="AT697" s="200"/>
    </row>
    <row r="698" spans="1:46" ht="16.5" customHeight="1">
      <c r="A698" s="307"/>
      <c r="B698" s="307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353"/>
      <c r="R698" s="353"/>
      <c r="S698" s="200"/>
      <c r="T698" s="353"/>
      <c r="U698" s="353"/>
      <c r="V698" s="353"/>
      <c r="W698" s="432"/>
      <c r="X698" s="200"/>
      <c r="Y698" s="200"/>
      <c r="Z698" s="200"/>
      <c r="AA698" s="200"/>
      <c r="AB698" s="200"/>
      <c r="AC698" s="200"/>
      <c r="AD698" s="200"/>
      <c r="AE698" s="200"/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  <c r="AQ698" s="200"/>
      <c r="AR698" s="200"/>
      <c r="AS698" s="200"/>
      <c r="AT698" s="200"/>
    </row>
    <row r="699" spans="1:46" ht="16.5" customHeight="1">
      <c r="A699" s="307"/>
      <c r="B699" s="307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353"/>
      <c r="R699" s="353"/>
      <c r="S699" s="200"/>
      <c r="T699" s="353"/>
      <c r="U699" s="353"/>
      <c r="V699" s="353"/>
      <c r="W699" s="432"/>
      <c r="X699" s="200"/>
      <c r="Y699" s="200"/>
      <c r="Z699" s="200"/>
      <c r="AA699" s="200"/>
      <c r="AB699" s="200"/>
      <c r="AC699" s="200"/>
      <c r="AD699" s="200"/>
      <c r="AE699" s="200"/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  <c r="AQ699" s="200"/>
      <c r="AR699" s="200"/>
      <c r="AS699" s="200"/>
      <c r="AT699" s="200"/>
    </row>
    <row r="700" spans="1:46" ht="16.5" customHeight="1">
      <c r="A700" s="307"/>
      <c r="B700" s="307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353"/>
      <c r="R700" s="353"/>
      <c r="S700" s="200"/>
      <c r="T700" s="353"/>
      <c r="U700" s="353"/>
      <c r="V700" s="353"/>
      <c r="W700" s="432"/>
      <c r="X700" s="200"/>
      <c r="Y700" s="200"/>
      <c r="Z700" s="200"/>
      <c r="AA700" s="200"/>
      <c r="AB700" s="200"/>
      <c r="AC700" s="200"/>
      <c r="AD700" s="200"/>
      <c r="AE700" s="200"/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  <c r="AQ700" s="200"/>
      <c r="AR700" s="200"/>
      <c r="AS700" s="200"/>
      <c r="AT700" s="200"/>
    </row>
    <row r="701" spans="1:46" ht="16.5" customHeight="1">
      <c r="A701" s="307"/>
      <c r="B701" s="307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353"/>
      <c r="R701" s="353"/>
      <c r="S701" s="200"/>
      <c r="T701" s="353"/>
      <c r="U701" s="353"/>
      <c r="V701" s="353"/>
      <c r="W701" s="432"/>
      <c r="X701" s="200"/>
      <c r="Y701" s="200"/>
      <c r="Z701" s="200"/>
      <c r="AA701" s="200"/>
      <c r="AB701" s="200"/>
      <c r="AC701" s="200"/>
      <c r="AD701" s="200"/>
      <c r="AE701" s="200"/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  <c r="AQ701" s="200"/>
      <c r="AR701" s="200"/>
      <c r="AS701" s="200"/>
      <c r="AT701" s="200"/>
    </row>
    <row r="702" spans="1:46" ht="16.5" customHeight="1">
      <c r="A702" s="307"/>
      <c r="B702" s="307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353"/>
      <c r="R702" s="353"/>
      <c r="S702" s="200"/>
      <c r="T702" s="353"/>
      <c r="U702" s="353"/>
      <c r="V702" s="353"/>
      <c r="W702" s="432"/>
      <c r="X702" s="200"/>
      <c r="Y702" s="200"/>
      <c r="Z702" s="200"/>
      <c r="AA702" s="200"/>
      <c r="AB702" s="200"/>
      <c r="AC702" s="200"/>
      <c r="AD702" s="200"/>
      <c r="AE702" s="200"/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  <c r="AQ702" s="200"/>
      <c r="AR702" s="200"/>
      <c r="AS702" s="200"/>
      <c r="AT702" s="200"/>
    </row>
    <row r="703" spans="1:46" ht="16.5" customHeight="1">
      <c r="A703" s="307"/>
      <c r="B703" s="307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353"/>
      <c r="R703" s="353"/>
      <c r="S703" s="200"/>
      <c r="T703" s="353"/>
      <c r="U703" s="353"/>
      <c r="V703" s="353"/>
      <c r="W703" s="432"/>
      <c r="X703" s="200"/>
      <c r="Y703" s="200"/>
      <c r="Z703" s="200"/>
      <c r="AA703" s="200"/>
      <c r="AB703" s="200"/>
      <c r="AC703" s="200"/>
      <c r="AD703" s="200"/>
      <c r="AE703" s="200"/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  <c r="AQ703" s="200"/>
      <c r="AR703" s="200"/>
      <c r="AS703" s="200"/>
      <c r="AT703" s="200"/>
    </row>
    <row r="704" spans="1:46" ht="16.5" customHeight="1">
      <c r="A704" s="307"/>
      <c r="B704" s="307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353"/>
      <c r="R704" s="353"/>
      <c r="S704" s="200"/>
      <c r="T704" s="353"/>
      <c r="U704" s="353"/>
      <c r="V704" s="353"/>
      <c r="W704" s="432"/>
      <c r="X704" s="200"/>
      <c r="Y704" s="200"/>
      <c r="Z704" s="200"/>
      <c r="AA704" s="200"/>
      <c r="AB704" s="200"/>
      <c r="AC704" s="200"/>
      <c r="AD704" s="200"/>
      <c r="AE704" s="200"/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  <c r="AQ704" s="200"/>
      <c r="AR704" s="200"/>
      <c r="AS704" s="200"/>
      <c r="AT704" s="200"/>
    </row>
    <row r="705" spans="1:46" ht="16.5" customHeight="1">
      <c r="A705" s="307"/>
      <c r="B705" s="307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353"/>
      <c r="R705" s="353"/>
      <c r="S705" s="200"/>
      <c r="T705" s="353"/>
      <c r="U705" s="353"/>
      <c r="V705" s="353"/>
      <c r="W705" s="432"/>
      <c r="X705" s="200"/>
      <c r="Y705" s="200"/>
      <c r="Z705" s="200"/>
      <c r="AA705" s="200"/>
      <c r="AB705" s="200"/>
      <c r="AC705" s="200"/>
      <c r="AD705" s="200"/>
      <c r="AE705" s="200"/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  <c r="AQ705" s="200"/>
      <c r="AR705" s="200"/>
      <c r="AS705" s="200"/>
      <c r="AT705" s="200"/>
    </row>
    <row r="706" spans="1:46" ht="16.5" customHeight="1">
      <c r="A706" s="307"/>
      <c r="B706" s="307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353"/>
      <c r="R706" s="353"/>
      <c r="S706" s="200"/>
      <c r="T706" s="353"/>
      <c r="U706" s="353"/>
      <c r="V706" s="353"/>
      <c r="W706" s="432"/>
      <c r="X706" s="200"/>
      <c r="Y706" s="200"/>
      <c r="Z706" s="200"/>
      <c r="AA706" s="200"/>
      <c r="AB706" s="200"/>
      <c r="AC706" s="200"/>
      <c r="AD706" s="200"/>
      <c r="AE706" s="200"/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  <c r="AQ706" s="200"/>
      <c r="AR706" s="200"/>
      <c r="AS706" s="200"/>
      <c r="AT706" s="200"/>
    </row>
    <row r="707" spans="1:46" ht="16.5" customHeight="1">
      <c r="A707" s="307"/>
      <c r="B707" s="307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353"/>
      <c r="R707" s="353"/>
      <c r="S707" s="200"/>
      <c r="T707" s="353"/>
      <c r="U707" s="353"/>
      <c r="V707" s="353"/>
      <c r="W707" s="432"/>
      <c r="X707" s="200"/>
      <c r="Y707" s="200"/>
      <c r="Z707" s="200"/>
      <c r="AA707" s="200"/>
      <c r="AB707" s="200"/>
      <c r="AC707" s="200"/>
      <c r="AD707" s="200"/>
      <c r="AE707" s="200"/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  <c r="AQ707" s="200"/>
      <c r="AR707" s="200"/>
      <c r="AS707" s="200"/>
      <c r="AT707" s="200"/>
    </row>
    <row r="708" spans="1:46" ht="16.5" customHeight="1">
      <c r="A708" s="307"/>
      <c r="B708" s="307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353"/>
      <c r="R708" s="353"/>
      <c r="S708" s="200"/>
      <c r="T708" s="353"/>
      <c r="U708" s="353"/>
      <c r="V708" s="353"/>
      <c r="W708" s="432"/>
      <c r="X708" s="200"/>
      <c r="Y708" s="200"/>
      <c r="Z708" s="200"/>
      <c r="AA708" s="200"/>
      <c r="AB708" s="200"/>
      <c r="AC708" s="200"/>
      <c r="AD708" s="200"/>
      <c r="AE708" s="200"/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  <c r="AQ708" s="200"/>
      <c r="AR708" s="200"/>
      <c r="AS708" s="200"/>
      <c r="AT708" s="200"/>
    </row>
    <row r="709" spans="1:46" ht="16.5" customHeight="1">
      <c r="A709" s="307"/>
      <c r="B709" s="307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353"/>
      <c r="R709" s="353"/>
      <c r="S709" s="200"/>
      <c r="T709" s="353"/>
      <c r="U709" s="353"/>
      <c r="V709" s="353"/>
      <c r="W709" s="432"/>
      <c r="X709" s="200"/>
      <c r="Y709" s="200"/>
      <c r="Z709" s="200"/>
      <c r="AA709" s="200"/>
      <c r="AB709" s="200"/>
      <c r="AC709" s="200"/>
      <c r="AD709" s="200"/>
      <c r="AE709" s="200"/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  <c r="AQ709" s="200"/>
      <c r="AR709" s="200"/>
      <c r="AS709" s="200"/>
      <c r="AT709" s="200"/>
    </row>
    <row r="710" spans="1:46" ht="16.5" customHeight="1">
      <c r="A710" s="307"/>
      <c r="B710" s="307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353"/>
      <c r="R710" s="353"/>
      <c r="S710" s="200"/>
      <c r="T710" s="353"/>
      <c r="U710" s="353"/>
      <c r="V710" s="353"/>
      <c r="W710" s="432"/>
      <c r="X710" s="200"/>
      <c r="Y710" s="200"/>
      <c r="Z710" s="200"/>
      <c r="AA710" s="200"/>
      <c r="AB710" s="200"/>
      <c r="AC710" s="200"/>
      <c r="AD710" s="200"/>
      <c r="AE710" s="200"/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  <c r="AQ710" s="200"/>
      <c r="AR710" s="200"/>
      <c r="AS710" s="200"/>
      <c r="AT710" s="200"/>
    </row>
    <row r="711" spans="1:46" ht="16.5" customHeight="1">
      <c r="A711" s="307"/>
      <c r="B711" s="307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353"/>
      <c r="R711" s="353"/>
      <c r="S711" s="200"/>
      <c r="T711" s="353"/>
      <c r="U711" s="353"/>
      <c r="V711" s="353"/>
      <c r="W711" s="432"/>
      <c r="X711" s="200"/>
      <c r="Y711" s="200"/>
      <c r="Z711" s="200"/>
      <c r="AA711" s="200"/>
      <c r="AB711" s="200"/>
      <c r="AC711" s="200"/>
      <c r="AD711" s="200"/>
      <c r="AE711" s="200"/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  <c r="AQ711" s="200"/>
      <c r="AR711" s="200"/>
      <c r="AS711" s="200"/>
      <c r="AT711" s="200"/>
    </row>
    <row r="712" spans="1:46" ht="16.5" customHeight="1">
      <c r="A712" s="307"/>
      <c r="B712" s="307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353"/>
      <c r="R712" s="353"/>
      <c r="S712" s="200"/>
      <c r="T712" s="353"/>
      <c r="U712" s="353"/>
      <c r="V712" s="353"/>
      <c r="W712" s="432"/>
      <c r="X712" s="200"/>
      <c r="Y712" s="200"/>
      <c r="Z712" s="200"/>
      <c r="AA712" s="200"/>
      <c r="AB712" s="200"/>
      <c r="AC712" s="200"/>
      <c r="AD712" s="200"/>
      <c r="AE712" s="200"/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  <c r="AQ712" s="200"/>
      <c r="AR712" s="200"/>
      <c r="AS712" s="200"/>
      <c r="AT712" s="200"/>
    </row>
    <row r="713" spans="1:46" ht="16.5" customHeight="1">
      <c r="A713" s="307"/>
      <c r="B713" s="307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353"/>
      <c r="R713" s="353"/>
      <c r="S713" s="200"/>
      <c r="T713" s="353"/>
      <c r="U713" s="353"/>
      <c r="V713" s="353"/>
      <c r="W713" s="432"/>
      <c r="X713" s="200"/>
      <c r="Y713" s="200"/>
      <c r="Z713" s="200"/>
      <c r="AA713" s="200"/>
      <c r="AB713" s="200"/>
      <c r="AC713" s="200"/>
      <c r="AD713" s="200"/>
      <c r="AE713" s="200"/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  <c r="AQ713" s="200"/>
      <c r="AR713" s="200"/>
      <c r="AS713" s="200"/>
      <c r="AT713" s="200"/>
    </row>
    <row r="714" spans="1:46" ht="16.5" customHeight="1">
      <c r="A714" s="307"/>
      <c r="B714" s="307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353"/>
      <c r="R714" s="353"/>
      <c r="S714" s="200"/>
      <c r="T714" s="353"/>
      <c r="U714" s="353"/>
      <c r="V714" s="353"/>
      <c r="W714" s="432"/>
      <c r="X714" s="200"/>
      <c r="Y714" s="200"/>
      <c r="Z714" s="200"/>
      <c r="AA714" s="200"/>
      <c r="AB714" s="200"/>
      <c r="AC714" s="200"/>
      <c r="AD714" s="200"/>
      <c r="AE714" s="200"/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  <c r="AQ714" s="200"/>
      <c r="AR714" s="200"/>
      <c r="AS714" s="200"/>
      <c r="AT714" s="200"/>
    </row>
    <row r="715" spans="1:46" ht="16.5" customHeight="1">
      <c r="A715" s="307"/>
      <c r="B715" s="307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353"/>
      <c r="R715" s="353"/>
      <c r="S715" s="200"/>
      <c r="T715" s="353"/>
      <c r="U715" s="353"/>
      <c r="V715" s="353"/>
      <c r="W715" s="432"/>
      <c r="X715" s="200"/>
      <c r="Y715" s="200"/>
      <c r="Z715" s="200"/>
      <c r="AA715" s="200"/>
      <c r="AB715" s="200"/>
      <c r="AC715" s="200"/>
      <c r="AD715" s="200"/>
      <c r="AE715" s="200"/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  <c r="AQ715" s="200"/>
      <c r="AR715" s="200"/>
      <c r="AS715" s="200"/>
      <c r="AT715" s="200"/>
    </row>
    <row r="716" spans="1:46" ht="16.5" customHeight="1">
      <c r="A716" s="307"/>
      <c r="B716" s="307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353"/>
      <c r="R716" s="353"/>
      <c r="S716" s="200"/>
      <c r="T716" s="353"/>
      <c r="U716" s="353"/>
      <c r="V716" s="353"/>
      <c r="W716" s="432"/>
      <c r="X716" s="200"/>
      <c r="Y716" s="200"/>
      <c r="Z716" s="200"/>
      <c r="AA716" s="200"/>
      <c r="AB716" s="200"/>
      <c r="AC716" s="200"/>
      <c r="AD716" s="200"/>
      <c r="AE716" s="200"/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  <c r="AQ716" s="200"/>
      <c r="AR716" s="200"/>
      <c r="AS716" s="200"/>
      <c r="AT716" s="200"/>
    </row>
    <row r="717" spans="1:46" ht="16.5" customHeight="1">
      <c r="A717" s="307"/>
      <c r="B717" s="307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353"/>
      <c r="R717" s="353"/>
      <c r="S717" s="200"/>
      <c r="T717" s="353"/>
      <c r="U717" s="353"/>
      <c r="V717" s="353"/>
      <c r="W717" s="432"/>
      <c r="X717" s="200"/>
      <c r="Y717" s="200"/>
      <c r="Z717" s="200"/>
      <c r="AA717" s="200"/>
      <c r="AB717" s="200"/>
      <c r="AC717" s="200"/>
      <c r="AD717" s="200"/>
      <c r="AE717" s="200"/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  <c r="AQ717" s="200"/>
      <c r="AR717" s="200"/>
      <c r="AS717" s="200"/>
      <c r="AT717" s="200"/>
    </row>
    <row r="718" spans="1:46" ht="16.5" customHeight="1">
      <c r="A718" s="307"/>
      <c r="B718" s="307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353"/>
      <c r="R718" s="353"/>
      <c r="S718" s="200"/>
      <c r="T718" s="353"/>
      <c r="U718" s="353"/>
      <c r="V718" s="353"/>
      <c r="W718" s="432"/>
      <c r="X718" s="200"/>
      <c r="Y718" s="200"/>
      <c r="Z718" s="200"/>
      <c r="AA718" s="200"/>
      <c r="AB718" s="200"/>
      <c r="AC718" s="200"/>
      <c r="AD718" s="200"/>
      <c r="AE718" s="200"/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  <c r="AQ718" s="200"/>
      <c r="AR718" s="200"/>
      <c r="AS718" s="200"/>
      <c r="AT718" s="200"/>
    </row>
    <row r="719" spans="1:46" ht="16.5" customHeight="1">
      <c r="A719" s="307"/>
      <c r="B719" s="307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353"/>
      <c r="R719" s="353"/>
      <c r="S719" s="200"/>
      <c r="T719" s="353"/>
      <c r="U719" s="353"/>
      <c r="V719" s="353"/>
      <c r="W719" s="432"/>
      <c r="X719" s="200"/>
      <c r="Y719" s="200"/>
      <c r="Z719" s="200"/>
      <c r="AA719" s="200"/>
      <c r="AB719" s="200"/>
      <c r="AC719" s="200"/>
      <c r="AD719" s="200"/>
      <c r="AE719" s="200"/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  <c r="AQ719" s="200"/>
      <c r="AR719" s="200"/>
      <c r="AS719" s="200"/>
      <c r="AT719" s="200"/>
    </row>
    <row r="720" spans="1:46" ht="16.5" customHeight="1">
      <c r="A720" s="307"/>
      <c r="B720" s="307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353"/>
      <c r="R720" s="353"/>
      <c r="S720" s="200"/>
      <c r="T720" s="353"/>
      <c r="U720" s="353"/>
      <c r="V720" s="353"/>
      <c r="W720" s="432"/>
      <c r="X720" s="200"/>
      <c r="Y720" s="200"/>
      <c r="Z720" s="200"/>
      <c r="AA720" s="200"/>
      <c r="AB720" s="200"/>
      <c r="AC720" s="200"/>
      <c r="AD720" s="200"/>
      <c r="AE720" s="200"/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  <c r="AQ720" s="200"/>
      <c r="AR720" s="200"/>
      <c r="AS720" s="200"/>
      <c r="AT720" s="200"/>
    </row>
    <row r="721" spans="1:46" ht="16.5" customHeight="1">
      <c r="A721" s="307"/>
      <c r="B721" s="307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353"/>
      <c r="R721" s="353"/>
      <c r="S721" s="200"/>
      <c r="T721" s="353"/>
      <c r="U721" s="353"/>
      <c r="V721" s="353"/>
      <c r="W721" s="432"/>
      <c r="X721" s="200"/>
      <c r="Y721" s="200"/>
      <c r="Z721" s="200"/>
      <c r="AA721" s="200"/>
      <c r="AB721" s="200"/>
      <c r="AC721" s="200"/>
      <c r="AD721" s="200"/>
      <c r="AE721" s="200"/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  <c r="AQ721" s="200"/>
      <c r="AR721" s="200"/>
      <c r="AS721" s="200"/>
      <c r="AT721" s="200"/>
    </row>
    <row r="722" spans="1:46" ht="16.5" customHeight="1">
      <c r="A722" s="307"/>
      <c r="B722" s="307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353"/>
      <c r="R722" s="353"/>
      <c r="S722" s="200"/>
      <c r="T722" s="353"/>
      <c r="U722" s="353"/>
      <c r="V722" s="353"/>
      <c r="W722" s="432"/>
      <c r="X722" s="200"/>
      <c r="Y722" s="200"/>
      <c r="Z722" s="200"/>
      <c r="AA722" s="200"/>
      <c r="AB722" s="200"/>
      <c r="AC722" s="200"/>
      <c r="AD722" s="200"/>
      <c r="AE722" s="200"/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  <c r="AQ722" s="200"/>
      <c r="AR722" s="200"/>
      <c r="AS722" s="200"/>
      <c r="AT722" s="200"/>
    </row>
    <row r="723" spans="1:46" ht="16.5" customHeight="1">
      <c r="A723" s="307"/>
      <c r="B723" s="307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353"/>
      <c r="R723" s="353"/>
      <c r="S723" s="200"/>
      <c r="T723" s="353"/>
      <c r="U723" s="353"/>
      <c r="V723" s="353"/>
      <c r="W723" s="432"/>
      <c r="X723" s="200"/>
      <c r="Y723" s="200"/>
      <c r="Z723" s="200"/>
      <c r="AA723" s="200"/>
      <c r="AB723" s="200"/>
      <c r="AC723" s="200"/>
      <c r="AD723" s="200"/>
      <c r="AE723" s="200"/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  <c r="AQ723" s="200"/>
      <c r="AR723" s="200"/>
      <c r="AS723" s="200"/>
      <c r="AT723" s="200"/>
    </row>
    <row r="724" spans="1:46" ht="16.5" customHeight="1">
      <c r="A724" s="307"/>
      <c r="B724" s="307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353"/>
      <c r="R724" s="353"/>
      <c r="S724" s="200"/>
      <c r="T724" s="353"/>
      <c r="U724" s="353"/>
      <c r="V724" s="353"/>
      <c r="W724" s="432"/>
      <c r="X724" s="200"/>
      <c r="Y724" s="200"/>
      <c r="Z724" s="200"/>
      <c r="AA724" s="200"/>
      <c r="AB724" s="200"/>
      <c r="AC724" s="200"/>
      <c r="AD724" s="200"/>
      <c r="AE724" s="200"/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  <c r="AQ724" s="200"/>
      <c r="AR724" s="200"/>
      <c r="AS724" s="200"/>
      <c r="AT724" s="200"/>
    </row>
    <row r="725" spans="1:46" ht="16.5" customHeight="1">
      <c r="A725" s="307"/>
      <c r="B725" s="307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353"/>
      <c r="R725" s="353"/>
      <c r="S725" s="200"/>
      <c r="T725" s="353"/>
      <c r="U725" s="353"/>
      <c r="V725" s="353"/>
      <c r="W725" s="432"/>
      <c r="X725" s="200"/>
      <c r="Y725" s="200"/>
      <c r="Z725" s="200"/>
      <c r="AA725" s="200"/>
      <c r="AB725" s="200"/>
      <c r="AC725" s="200"/>
      <c r="AD725" s="200"/>
      <c r="AE725" s="200"/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  <c r="AQ725" s="200"/>
      <c r="AR725" s="200"/>
      <c r="AS725" s="200"/>
      <c r="AT725" s="200"/>
    </row>
    <row r="726" spans="1:46" ht="16.5" customHeight="1">
      <c r="A726" s="307"/>
      <c r="B726" s="307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353"/>
      <c r="R726" s="353"/>
      <c r="S726" s="200"/>
      <c r="T726" s="353"/>
      <c r="U726" s="353"/>
      <c r="V726" s="353"/>
      <c r="W726" s="432"/>
      <c r="X726" s="200"/>
      <c r="Y726" s="200"/>
      <c r="Z726" s="200"/>
      <c r="AA726" s="200"/>
      <c r="AB726" s="200"/>
      <c r="AC726" s="200"/>
      <c r="AD726" s="200"/>
      <c r="AE726" s="200"/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  <c r="AQ726" s="200"/>
      <c r="AR726" s="200"/>
      <c r="AS726" s="200"/>
      <c r="AT726" s="200"/>
    </row>
    <row r="727" spans="1:46" ht="16.5" customHeight="1">
      <c r="A727" s="307"/>
      <c r="B727" s="307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353"/>
      <c r="R727" s="353"/>
      <c r="S727" s="200"/>
      <c r="T727" s="353"/>
      <c r="U727" s="353"/>
      <c r="V727" s="353"/>
      <c r="W727" s="432"/>
      <c r="X727" s="200"/>
      <c r="Y727" s="200"/>
      <c r="Z727" s="200"/>
      <c r="AA727" s="200"/>
      <c r="AB727" s="200"/>
      <c r="AC727" s="200"/>
      <c r="AD727" s="200"/>
      <c r="AE727" s="200"/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  <c r="AQ727" s="200"/>
      <c r="AR727" s="200"/>
      <c r="AS727" s="200"/>
      <c r="AT727" s="200"/>
    </row>
    <row r="728" spans="1:46" ht="16.5" customHeight="1">
      <c r="A728" s="307"/>
      <c r="B728" s="307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353"/>
      <c r="R728" s="353"/>
      <c r="S728" s="200"/>
      <c r="T728" s="353"/>
      <c r="U728" s="353"/>
      <c r="V728" s="353"/>
      <c r="W728" s="432"/>
      <c r="X728" s="200"/>
      <c r="Y728" s="200"/>
      <c r="Z728" s="200"/>
      <c r="AA728" s="200"/>
      <c r="AB728" s="200"/>
      <c r="AC728" s="200"/>
      <c r="AD728" s="200"/>
      <c r="AE728" s="200"/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  <c r="AQ728" s="200"/>
      <c r="AR728" s="200"/>
      <c r="AS728" s="200"/>
      <c r="AT728" s="200"/>
    </row>
    <row r="729" spans="1:46" ht="16.5" customHeight="1">
      <c r="A729" s="307"/>
      <c r="B729" s="307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353"/>
      <c r="R729" s="353"/>
      <c r="S729" s="200"/>
      <c r="T729" s="353"/>
      <c r="U729" s="353"/>
      <c r="V729" s="353"/>
      <c r="W729" s="432"/>
      <c r="X729" s="200"/>
      <c r="Y729" s="200"/>
      <c r="Z729" s="200"/>
      <c r="AA729" s="200"/>
      <c r="AB729" s="200"/>
      <c r="AC729" s="200"/>
      <c r="AD729" s="200"/>
      <c r="AE729" s="200"/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  <c r="AQ729" s="200"/>
      <c r="AR729" s="200"/>
      <c r="AS729" s="200"/>
      <c r="AT729" s="200"/>
    </row>
    <row r="730" spans="1:46" ht="16.5" customHeight="1">
      <c r="A730" s="307"/>
      <c r="B730" s="307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353"/>
      <c r="R730" s="353"/>
      <c r="S730" s="200"/>
      <c r="T730" s="353"/>
      <c r="U730" s="353"/>
      <c r="V730" s="353"/>
      <c r="W730" s="432"/>
      <c r="X730" s="200"/>
      <c r="Y730" s="200"/>
      <c r="Z730" s="200"/>
      <c r="AA730" s="200"/>
      <c r="AB730" s="200"/>
      <c r="AC730" s="200"/>
      <c r="AD730" s="200"/>
      <c r="AE730" s="200"/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  <c r="AQ730" s="200"/>
      <c r="AR730" s="200"/>
      <c r="AS730" s="200"/>
      <c r="AT730" s="200"/>
    </row>
    <row r="731" spans="1:46" ht="16.5" customHeight="1">
      <c r="A731" s="307"/>
      <c r="B731" s="307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353"/>
      <c r="R731" s="353"/>
      <c r="S731" s="200"/>
      <c r="T731" s="353"/>
      <c r="U731" s="353"/>
      <c r="V731" s="353"/>
      <c r="W731" s="432"/>
      <c r="X731" s="200"/>
      <c r="Y731" s="200"/>
      <c r="Z731" s="200"/>
      <c r="AA731" s="200"/>
      <c r="AB731" s="200"/>
      <c r="AC731" s="200"/>
      <c r="AD731" s="200"/>
      <c r="AE731" s="200"/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  <c r="AQ731" s="200"/>
      <c r="AR731" s="200"/>
      <c r="AS731" s="200"/>
      <c r="AT731" s="200"/>
    </row>
    <row r="732" spans="1:46" ht="16.5" customHeight="1">
      <c r="A732" s="307"/>
      <c r="B732" s="307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353"/>
      <c r="R732" s="353"/>
      <c r="S732" s="200"/>
      <c r="T732" s="353"/>
      <c r="U732" s="353"/>
      <c r="V732" s="353"/>
      <c r="W732" s="432"/>
      <c r="X732" s="200"/>
      <c r="Y732" s="200"/>
      <c r="Z732" s="200"/>
      <c r="AA732" s="200"/>
      <c r="AB732" s="200"/>
      <c r="AC732" s="200"/>
      <c r="AD732" s="200"/>
      <c r="AE732" s="200"/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  <c r="AQ732" s="200"/>
      <c r="AR732" s="200"/>
      <c r="AS732" s="200"/>
      <c r="AT732" s="200"/>
    </row>
    <row r="733" spans="1:46" ht="16.5" customHeight="1">
      <c r="A733" s="307"/>
      <c r="B733" s="307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353"/>
      <c r="R733" s="353"/>
      <c r="S733" s="200"/>
      <c r="T733" s="353"/>
      <c r="U733" s="353"/>
      <c r="V733" s="353"/>
      <c r="W733" s="432"/>
      <c r="X733" s="200"/>
      <c r="Y733" s="200"/>
      <c r="Z733" s="200"/>
      <c r="AA733" s="200"/>
      <c r="AB733" s="200"/>
      <c r="AC733" s="200"/>
      <c r="AD733" s="200"/>
      <c r="AE733" s="200"/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  <c r="AQ733" s="200"/>
      <c r="AR733" s="200"/>
      <c r="AS733" s="200"/>
      <c r="AT733" s="200"/>
    </row>
    <row r="734" spans="1:46" ht="16.5" customHeight="1">
      <c r="A734" s="307"/>
      <c r="B734" s="307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353"/>
      <c r="R734" s="353"/>
      <c r="S734" s="200"/>
      <c r="T734" s="353"/>
      <c r="U734" s="353"/>
      <c r="V734" s="353"/>
      <c r="W734" s="432"/>
      <c r="X734" s="200"/>
      <c r="Y734" s="200"/>
      <c r="Z734" s="200"/>
      <c r="AA734" s="200"/>
      <c r="AB734" s="200"/>
      <c r="AC734" s="200"/>
      <c r="AD734" s="200"/>
      <c r="AE734" s="200"/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  <c r="AQ734" s="200"/>
      <c r="AR734" s="200"/>
      <c r="AS734" s="200"/>
      <c r="AT734" s="200"/>
    </row>
    <row r="735" spans="1:46" ht="16.5" customHeight="1">
      <c r="A735" s="307"/>
      <c r="B735" s="307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353"/>
      <c r="R735" s="353"/>
      <c r="S735" s="200"/>
      <c r="T735" s="353"/>
      <c r="U735" s="353"/>
      <c r="V735" s="353"/>
      <c r="W735" s="432"/>
      <c r="X735" s="200"/>
      <c r="Y735" s="200"/>
      <c r="Z735" s="200"/>
      <c r="AA735" s="200"/>
      <c r="AB735" s="200"/>
      <c r="AC735" s="200"/>
      <c r="AD735" s="200"/>
      <c r="AE735" s="200"/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  <c r="AQ735" s="200"/>
      <c r="AR735" s="200"/>
      <c r="AS735" s="200"/>
      <c r="AT735" s="200"/>
    </row>
    <row r="736" spans="1:46" ht="16.5" customHeight="1">
      <c r="A736" s="307"/>
      <c r="B736" s="307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353"/>
      <c r="R736" s="353"/>
      <c r="S736" s="200"/>
      <c r="T736" s="353"/>
      <c r="U736" s="353"/>
      <c r="V736" s="353"/>
      <c r="W736" s="432"/>
      <c r="X736" s="200"/>
      <c r="Y736" s="200"/>
      <c r="Z736" s="200"/>
      <c r="AA736" s="200"/>
      <c r="AB736" s="200"/>
      <c r="AC736" s="200"/>
      <c r="AD736" s="200"/>
      <c r="AE736" s="200"/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  <c r="AQ736" s="200"/>
      <c r="AR736" s="200"/>
      <c r="AS736" s="200"/>
      <c r="AT736" s="200"/>
    </row>
    <row r="737" spans="1:46" ht="16.5" customHeight="1">
      <c r="A737" s="307"/>
      <c r="B737" s="307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353"/>
      <c r="R737" s="353"/>
      <c r="S737" s="200"/>
      <c r="T737" s="353"/>
      <c r="U737" s="353"/>
      <c r="V737" s="353"/>
      <c r="W737" s="432"/>
      <c r="X737" s="200"/>
      <c r="Y737" s="200"/>
      <c r="Z737" s="200"/>
      <c r="AA737" s="200"/>
      <c r="AB737" s="200"/>
      <c r="AC737" s="200"/>
      <c r="AD737" s="200"/>
      <c r="AE737" s="200"/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  <c r="AQ737" s="200"/>
      <c r="AR737" s="200"/>
      <c r="AS737" s="200"/>
      <c r="AT737" s="200"/>
    </row>
    <row r="738" spans="1:46" ht="16.5" customHeight="1">
      <c r="A738" s="307"/>
      <c r="B738" s="307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353"/>
      <c r="R738" s="353"/>
      <c r="S738" s="200"/>
      <c r="T738" s="353"/>
      <c r="U738" s="353"/>
      <c r="V738" s="353"/>
      <c r="W738" s="432"/>
      <c r="X738" s="200"/>
      <c r="Y738" s="200"/>
      <c r="Z738" s="200"/>
      <c r="AA738" s="200"/>
      <c r="AB738" s="200"/>
      <c r="AC738" s="200"/>
      <c r="AD738" s="200"/>
      <c r="AE738" s="200"/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  <c r="AQ738" s="200"/>
      <c r="AR738" s="200"/>
      <c r="AS738" s="200"/>
      <c r="AT738" s="200"/>
    </row>
    <row r="739" spans="1:46" ht="16.5" customHeight="1">
      <c r="A739" s="307"/>
      <c r="B739" s="307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353"/>
      <c r="R739" s="353"/>
      <c r="S739" s="200"/>
      <c r="T739" s="353"/>
      <c r="U739" s="353"/>
      <c r="V739" s="353"/>
      <c r="W739" s="432"/>
      <c r="X739" s="200"/>
      <c r="Y739" s="200"/>
      <c r="Z739" s="200"/>
      <c r="AA739" s="200"/>
      <c r="AB739" s="200"/>
      <c r="AC739" s="200"/>
      <c r="AD739" s="200"/>
      <c r="AE739" s="200"/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  <c r="AQ739" s="200"/>
      <c r="AR739" s="200"/>
      <c r="AS739" s="200"/>
      <c r="AT739" s="200"/>
    </row>
    <row r="740" spans="1:46" ht="16.5" customHeight="1">
      <c r="A740" s="307"/>
      <c r="B740" s="307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353"/>
      <c r="R740" s="353"/>
      <c r="S740" s="200"/>
      <c r="T740" s="353"/>
      <c r="U740" s="353"/>
      <c r="V740" s="353"/>
      <c r="W740" s="432"/>
      <c r="X740" s="200"/>
      <c r="Y740" s="200"/>
      <c r="Z740" s="200"/>
      <c r="AA740" s="200"/>
      <c r="AB740" s="200"/>
      <c r="AC740" s="200"/>
      <c r="AD740" s="200"/>
      <c r="AE740" s="200"/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  <c r="AQ740" s="200"/>
      <c r="AR740" s="200"/>
      <c r="AS740" s="200"/>
      <c r="AT740" s="200"/>
    </row>
    <row r="741" spans="1:46" ht="16.5" customHeight="1">
      <c r="A741" s="307"/>
      <c r="B741" s="307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353"/>
      <c r="R741" s="353"/>
      <c r="S741" s="200"/>
      <c r="T741" s="353"/>
      <c r="U741" s="353"/>
      <c r="V741" s="353"/>
      <c r="W741" s="432"/>
      <c r="X741" s="200"/>
      <c r="Y741" s="200"/>
      <c r="Z741" s="200"/>
      <c r="AA741" s="200"/>
      <c r="AB741" s="200"/>
      <c r="AC741" s="200"/>
      <c r="AD741" s="200"/>
      <c r="AE741" s="200"/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  <c r="AQ741" s="200"/>
      <c r="AR741" s="200"/>
      <c r="AS741" s="200"/>
      <c r="AT741" s="200"/>
    </row>
    <row r="742" spans="1:46" ht="16.5" customHeight="1">
      <c r="A742" s="307"/>
      <c r="B742" s="307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353"/>
      <c r="R742" s="353"/>
      <c r="S742" s="200"/>
      <c r="T742" s="353"/>
      <c r="U742" s="353"/>
      <c r="V742" s="353"/>
      <c r="W742" s="432"/>
      <c r="X742" s="200"/>
      <c r="Y742" s="200"/>
      <c r="Z742" s="200"/>
      <c r="AA742" s="200"/>
      <c r="AB742" s="200"/>
      <c r="AC742" s="200"/>
      <c r="AD742" s="200"/>
      <c r="AE742" s="200"/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  <c r="AQ742" s="200"/>
      <c r="AR742" s="200"/>
      <c r="AS742" s="200"/>
      <c r="AT742" s="200"/>
    </row>
    <row r="743" spans="1:46" ht="16.5" customHeight="1">
      <c r="A743" s="307"/>
      <c r="B743" s="307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353"/>
      <c r="R743" s="353"/>
      <c r="S743" s="200"/>
      <c r="T743" s="353"/>
      <c r="U743" s="353"/>
      <c r="V743" s="353"/>
      <c r="W743" s="432"/>
      <c r="X743" s="200"/>
      <c r="Y743" s="200"/>
      <c r="Z743" s="200"/>
      <c r="AA743" s="200"/>
      <c r="AB743" s="200"/>
      <c r="AC743" s="200"/>
      <c r="AD743" s="200"/>
      <c r="AE743" s="200"/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  <c r="AQ743" s="200"/>
      <c r="AR743" s="200"/>
      <c r="AS743" s="200"/>
      <c r="AT743" s="200"/>
    </row>
    <row r="744" spans="1:46" ht="16.5" customHeight="1">
      <c r="A744" s="307"/>
      <c r="B744" s="307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353"/>
      <c r="R744" s="353"/>
      <c r="S744" s="200"/>
      <c r="T744" s="353"/>
      <c r="U744" s="353"/>
      <c r="V744" s="353"/>
      <c r="W744" s="432"/>
      <c r="X744" s="200"/>
      <c r="Y744" s="200"/>
      <c r="Z744" s="200"/>
      <c r="AA744" s="200"/>
      <c r="AB744" s="200"/>
      <c r="AC744" s="200"/>
      <c r="AD744" s="200"/>
      <c r="AE744" s="200"/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  <c r="AQ744" s="200"/>
      <c r="AR744" s="200"/>
      <c r="AS744" s="200"/>
      <c r="AT744" s="200"/>
    </row>
    <row r="745" spans="1:46" ht="16.5" customHeight="1">
      <c r="A745" s="307"/>
      <c r="B745" s="307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353"/>
      <c r="R745" s="353"/>
      <c r="S745" s="200"/>
      <c r="T745" s="353"/>
      <c r="U745" s="353"/>
      <c r="V745" s="353"/>
      <c r="W745" s="432"/>
      <c r="X745" s="200"/>
      <c r="Y745" s="200"/>
      <c r="Z745" s="200"/>
      <c r="AA745" s="200"/>
      <c r="AB745" s="200"/>
      <c r="AC745" s="200"/>
      <c r="AD745" s="200"/>
      <c r="AE745" s="200"/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  <c r="AQ745" s="200"/>
      <c r="AR745" s="200"/>
      <c r="AS745" s="200"/>
      <c r="AT745" s="200"/>
    </row>
    <row r="746" spans="1:46" ht="16.5" customHeight="1">
      <c r="A746" s="307"/>
      <c r="B746" s="307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353"/>
      <c r="R746" s="353"/>
      <c r="S746" s="200"/>
      <c r="T746" s="353"/>
      <c r="U746" s="353"/>
      <c r="V746" s="353"/>
      <c r="W746" s="432"/>
      <c r="X746" s="200"/>
      <c r="Y746" s="200"/>
      <c r="Z746" s="200"/>
      <c r="AA746" s="200"/>
      <c r="AB746" s="200"/>
      <c r="AC746" s="200"/>
      <c r="AD746" s="200"/>
      <c r="AE746" s="200"/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  <c r="AQ746" s="200"/>
      <c r="AR746" s="200"/>
      <c r="AS746" s="200"/>
      <c r="AT746" s="200"/>
    </row>
    <row r="747" spans="1:46" ht="16.5" customHeight="1">
      <c r="A747" s="307"/>
      <c r="B747" s="307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353"/>
      <c r="R747" s="353"/>
      <c r="S747" s="200"/>
      <c r="T747" s="353"/>
      <c r="U747" s="353"/>
      <c r="V747" s="353"/>
      <c r="W747" s="432"/>
      <c r="X747" s="200"/>
      <c r="Y747" s="200"/>
      <c r="Z747" s="200"/>
      <c r="AA747" s="200"/>
      <c r="AB747" s="200"/>
      <c r="AC747" s="200"/>
      <c r="AD747" s="200"/>
      <c r="AE747" s="200"/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  <c r="AQ747" s="200"/>
      <c r="AR747" s="200"/>
      <c r="AS747" s="200"/>
      <c r="AT747" s="200"/>
    </row>
    <row r="748" spans="1:46" ht="16.5" customHeight="1">
      <c r="A748" s="307"/>
      <c r="B748" s="307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353"/>
      <c r="R748" s="353"/>
      <c r="S748" s="200"/>
      <c r="T748" s="353"/>
      <c r="U748" s="353"/>
      <c r="V748" s="353"/>
      <c r="W748" s="432"/>
      <c r="X748" s="200"/>
      <c r="Y748" s="200"/>
      <c r="Z748" s="200"/>
      <c r="AA748" s="200"/>
      <c r="AB748" s="200"/>
      <c r="AC748" s="200"/>
      <c r="AD748" s="200"/>
      <c r="AE748" s="200"/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  <c r="AQ748" s="200"/>
      <c r="AR748" s="200"/>
      <c r="AS748" s="200"/>
      <c r="AT748" s="200"/>
    </row>
    <row r="749" spans="1:46" ht="16.5" customHeight="1">
      <c r="A749" s="307"/>
      <c r="B749" s="307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353"/>
      <c r="R749" s="353"/>
      <c r="S749" s="200"/>
      <c r="T749" s="353"/>
      <c r="U749" s="353"/>
      <c r="V749" s="353"/>
      <c r="W749" s="432"/>
      <c r="X749" s="200"/>
      <c r="Y749" s="200"/>
      <c r="Z749" s="200"/>
      <c r="AA749" s="200"/>
      <c r="AB749" s="200"/>
      <c r="AC749" s="200"/>
      <c r="AD749" s="200"/>
      <c r="AE749" s="200"/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  <c r="AQ749" s="200"/>
      <c r="AR749" s="200"/>
      <c r="AS749" s="200"/>
      <c r="AT749" s="200"/>
    </row>
    <row r="750" spans="1:46" ht="16.5" customHeight="1">
      <c r="A750" s="307"/>
      <c r="B750" s="307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353"/>
      <c r="R750" s="353"/>
      <c r="S750" s="200"/>
      <c r="T750" s="353"/>
      <c r="U750" s="353"/>
      <c r="V750" s="353"/>
      <c r="W750" s="432"/>
      <c r="X750" s="200"/>
      <c r="Y750" s="200"/>
      <c r="Z750" s="200"/>
      <c r="AA750" s="200"/>
      <c r="AB750" s="200"/>
      <c r="AC750" s="200"/>
      <c r="AD750" s="200"/>
      <c r="AE750" s="200"/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  <c r="AQ750" s="200"/>
      <c r="AR750" s="200"/>
      <c r="AS750" s="200"/>
      <c r="AT750" s="200"/>
    </row>
    <row r="751" spans="1:46" ht="16.5" customHeight="1">
      <c r="A751" s="307"/>
      <c r="B751" s="307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353"/>
      <c r="R751" s="353"/>
      <c r="S751" s="200"/>
      <c r="T751" s="353"/>
      <c r="U751" s="353"/>
      <c r="V751" s="353"/>
      <c r="W751" s="432"/>
      <c r="X751" s="200"/>
      <c r="Y751" s="200"/>
      <c r="Z751" s="200"/>
      <c r="AA751" s="200"/>
      <c r="AB751" s="200"/>
      <c r="AC751" s="200"/>
      <c r="AD751" s="200"/>
      <c r="AE751" s="200"/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  <c r="AQ751" s="200"/>
      <c r="AR751" s="200"/>
      <c r="AS751" s="200"/>
      <c r="AT751" s="200"/>
    </row>
    <row r="752" spans="1:46" ht="16.5" customHeight="1">
      <c r="A752" s="307"/>
      <c r="B752" s="307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353"/>
      <c r="R752" s="353"/>
      <c r="S752" s="200"/>
      <c r="T752" s="353"/>
      <c r="U752" s="353"/>
      <c r="V752" s="353"/>
      <c r="W752" s="432"/>
      <c r="X752" s="200"/>
      <c r="Y752" s="200"/>
      <c r="Z752" s="200"/>
      <c r="AA752" s="200"/>
      <c r="AB752" s="200"/>
      <c r="AC752" s="200"/>
      <c r="AD752" s="200"/>
      <c r="AE752" s="200"/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  <c r="AQ752" s="200"/>
      <c r="AR752" s="200"/>
      <c r="AS752" s="200"/>
      <c r="AT752" s="200"/>
    </row>
    <row r="753" spans="1:46" ht="16.5" customHeight="1">
      <c r="A753" s="307"/>
      <c r="B753" s="307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353"/>
      <c r="R753" s="353"/>
      <c r="S753" s="200"/>
      <c r="T753" s="353"/>
      <c r="U753" s="353"/>
      <c r="V753" s="353"/>
      <c r="W753" s="432"/>
      <c r="X753" s="200"/>
      <c r="Y753" s="200"/>
      <c r="Z753" s="200"/>
      <c r="AA753" s="200"/>
      <c r="AB753" s="200"/>
      <c r="AC753" s="200"/>
      <c r="AD753" s="200"/>
      <c r="AE753" s="200"/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  <c r="AT753" s="200"/>
    </row>
    <row r="754" spans="1:46" ht="16.5" customHeight="1">
      <c r="A754" s="307"/>
      <c r="B754" s="307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353"/>
      <c r="R754" s="353"/>
      <c r="S754" s="200"/>
      <c r="T754" s="353"/>
      <c r="U754" s="353"/>
      <c r="V754" s="353"/>
      <c r="W754" s="432"/>
      <c r="X754" s="200"/>
      <c r="Y754" s="200"/>
      <c r="Z754" s="200"/>
      <c r="AA754" s="200"/>
      <c r="AB754" s="200"/>
      <c r="AC754" s="200"/>
      <c r="AD754" s="200"/>
      <c r="AE754" s="200"/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  <c r="AQ754" s="200"/>
      <c r="AR754" s="200"/>
      <c r="AS754" s="200"/>
      <c r="AT754" s="200"/>
    </row>
    <row r="755" spans="1:46" ht="16.5" customHeight="1">
      <c r="A755" s="307"/>
      <c r="B755" s="307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353"/>
      <c r="R755" s="353"/>
      <c r="S755" s="200"/>
      <c r="T755" s="353"/>
      <c r="U755" s="353"/>
      <c r="V755" s="353"/>
      <c r="W755" s="432"/>
      <c r="X755" s="200"/>
      <c r="Y755" s="200"/>
      <c r="Z755" s="200"/>
      <c r="AA755" s="200"/>
      <c r="AB755" s="200"/>
      <c r="AC755" s="200"/>
      <c r="AD755" s="200"/>
      <c r="AE755" s="200"/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  <c r="AQ755" s="200"/>
      <c r="AR755" s="200"/>
      <c r="AS755" s="200"/>
      <c r="AT755" s="200"/>
    </row>
    <row r="756" spans="1:46" ht="16.5" customHeight="1">
      <c r="A756" s="307"/>
      <c r="B756" s="307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353"/>
      <c r="R756" s="353"/>
      <c r="S756" s="200"/>
      <c r="T756" s="353"/>
      <c r="U756" s="353"/>
      <c r="V756" s="353"/>
      <c r="W756" s="432"/>
      <c r="X756" s="200"/>
      <c r="Y756" s="200"/>
      <c r="Z756" s="200"/>
      <c r="AA756" s="200"/>
      <c r="AB756" s="200"/>
      <c r="AC756" s="200"/>
      <c r="AD756" s="200"/>
      <c r="AE756" s="200"/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  <c r="AQ756" s="200"/>
      <c r="AR756" s="200"/>
      <c r="AS756" s="200"/>
      <c r="AT756" s="200"/>
    </row>
    <row r="757" spans="1:46" ht="16.5" customHeight="1">
      <c r="A757" s="307"/>
      <c r="B757" s="307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353"/>
      <c r="R757" s="353"/>
      <c r="S757" s="200"/>
      <c r="T757" s="353"/>
      <c r="U757" s="353"/>
      <c r="V757" s="353"/>
      <c r="W757" s="432"/>
      <c r="X757" s="200"/>
      <c r="Y757" s="200"/>
      <c r="Z757" s="200"/>
      <c r="AA757" s="200"/>
      <c r="AB757" s="200"/>
      <c r="AC757" s="200"/>
      <c r="AD757" s="200"/>
      <c r="AE757" s="200"/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  <c r="AQ757" s="200"/>
      <c r="AR757" s="200"/>
      <c r="AS757" s="200"/>
      <c r="AT757" s="200"/>
    </row>
    <row r="758" spans="1:46" ht="16.5" customHeight="1">
      <c r="A758" s="307"/>
      <c r="B758" s="307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353"/>
      <c r="R758" s="353"/>
      <c r="S758" s="200"/>
      <c r="T758" s="353"/>
      <c r="U758" s="353"/>
      <c r="V758" s="353"/>
      <c r="W758" s="432"/>
      <c r="X758" s="200"/>
      <c r="Y758" s="200"/>
      <c r="Z758" s="200"/>
      <c r="AA758" s="200"/>
      <c r="AB758" s="200"/>
      <c r="AC758" s="200"/>
      <c r="AD758" s="200"/>
      <c r="AE758" s="200"/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  <c r="AQ758" s="200"/>
      <c r="AR758" s="200"/>
      <c r="AS758" s="200"/>
      <c r="AT758" s="200"/>
    </row>
    <row r="759" spans="1:46" ht="16.5" customHeight="1">
      <c r="A759" s="307"/>
      <c r="B759" s="307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353"/>
      <c r="R759" s="353"/>
      <c r="S759" s="200"/>
      <c r="T759" s="353"/>
      <c r="U759" s="353"/>
      <c r="V759" s="353"/>
      <c r="W759" s="432"/>
      <c r="X759" s="200"/>
      <c r="Y759" s="200"/>
      <c r="Z759" s="200"/>
      <c r="AA759" s="200"/>
      <c r="AB759" s="200"/>
      <c r="AC759" s="200"/>
      <c r="AD759" s="200"/>
      <c r="AE759" s="200"/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  <c r="AQ759" s="200"/>
      <c r="AR759" s="200"/>
      <c r="AS759" s="200"/>
      <c r="AT759" s="200"/>
    </row>
    <row r="760" spans="1:46" ht="16.5" customHeight="1">
      <c r="A760" s="307"/>
      <c r="B760" s="307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353"/>
      <c r="R760" s="353"/>
      <c r="S760" s="200"/>
      <c r="T760" s="353"/>
      <c r="U760" s="353"/>
      <c r="V760" s="353"/>
      <c r="W760" s="432"/>
      <c r="X760" s="200"/>
      <c r="Y760" s="200"/>
      <c r="Z760" s="200"/>
      <c r="AA760" s="200"/>
      <c r="AB760" s="200"/>
      <c r="AC760" s="200"/>
      <c r="AD760" s="200"/>
      <c r="AE760" s="200"/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  <c r="AT760" s="200"/>
    </row>
    <row r="761" spans="1:46" ht="16.5" customHeight="1">
      <c r="A761" s="307"/>
      <c r="B761" s="307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353"/>
      <c r="R761" s="353"/>
      <c r="S761" s="200"/>
      <c r="T761" s="353"/>
      <c r="U761" s="353"/>
      <c r="V761" s="353"/>
      <c r="W761" s="432"/>
      <c r="X761" s="200"/>
      <c r="Y761" s="200"/>
      <c r="Z761" s="200"/>
      <c r="AA761" s="200"/>
      <c r="AB761" s="200"/>
      <c r="AC761" s="200"/>
      <c r="AD761" s="200"/>
      <c r="AE761" s="200"/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  <c r="AQ761" s="200"/>
      <c r="AR761" s="200"/>
      <c r="AS761" s="200"/>
      <c r="AT761" s="200"/>
    </row>
    <row r="762" spans="1:46" ht="16.5" customHeight="1">
      <c r="A762" s="307"/>
      <c r="B762" s="307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353"/>
      <c r="R762" s="353"/>
      <c r="S762" s="200"/>
      <c r="T762" s="353"/>
      <c r="U762" s="353"/>
      <c r="V762" s="353"/>
      <c r="W762" s="432"/>
      <c r="X762" s="200"/>
      <c r="Y762" s="200"/>
      <c r="Z762" s="200"/>
      <c r="AA762" s="200"/>
      <c r="AB762" s="200"/>
      <c r="AC762" s="200"/>
      <c r="AD762" s="200"/>
      <c r="AE762" s="200"/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  <c r="AQ762" s="200"/>
      <c r="AR762" s="200"/>
      <c r="AS762" s="200"/>
      <c r="AT762" s="200"/>
    </row>
    <row r="763" spans="1:46" ht="16.5" customHeight="1">
      <c r="A763" s="307"/>
      <c r="B763" s="307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353"/>
      <c r="R763" s="353"/>
      <c r="S763" s="200"/>
      <c r="T763" s="353"/>
      <c r="U763" s="353"/>
      <c r="V763" s="353"/>
      <c r="W763" s="432"/>
      <c r="X763" s="200"/>
      <c r="Y763" s="200"/>
      <c r="Z763" s="200"/>
      <c r="AA763" s="200"/>
      <c r="AB763" s="200"/>
      <c r="AC763" s="200"/>
      <c r="AD763" s="200"/>
      <c r="AE763" s="200"/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  <c r="AQ763" s="200"/>
      <c r="AR763" s="200"/>
      <c r="AS763" s="200"/>
      <c r="AT763" s="200"/>
    </row>
    <row r="764" spans="1:46" ht="16.5" customHeight="1">
      <c r="A764" s="307"/>
      <c r="B764" s="307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353"/>
      <c r="R764" s="353"/>
      <c r="S764" s="200"/>
      <c r="T764" s="353"/>
      <c r="U764" s="353"/>
      <c r="V764" s="353"/>
      <c r="W764" s="432"/>
      <c r="X764" s="200"/>
      <c r="Y764" s="200"/>
      <c r="Z764" s="200"/>
      <c r="AA764" s="200"/>
      <c r="AB764" s="200"/>
      <c r="AC764" s="200"/>
      <c r="AD764" s="200"/>
      <c r="AE764" s="200"/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  <c r="AQ764" s="200"/>
      <c r="AR764" s="200"/>
      <c r="AS764" s="200"/>
      <c r="AT764" s="200"/>
    </row>
    <row r="765" spans="1:46" ht="16.5" customHeight="1">
      <c r="A765" s="307"/>
      <c r="B765" s="307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353"/>
      <c r="R765" s="353"/>
      <c r="S765" s="200"/>
      <c r="T765" s="353"/>
      <c r="U765" s="353"/>
      <c r="V765" s="353"/>
      <c r="W765" s="432"/>
      <c r="X765" s="200"/>
      <c r="Y765" s="200"/>
      <c r="Z765" s="200"/>
      <c r="AA765" s="200"/>
      <c r="AB765" s="200"/>
      <c r="AC765" s="200"/>
      <c r="AD765" s="200"/>
      <c r="AE765" s="200"/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  <c r="AQ765" s="200"/>
      <c r="AR765" s="200"/>
      <c r="AS765" s="200"/>
      <c r="AT765" s="200"/>
    </row>
    <row r="766" spans="1:46" ht="16.5" customHeight="1">
      <c r="A766" s="307"/>
      <c r="B766" s="307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353"/>
      <c r="R766" s="353"/>
      <c r="S766" s="200"/>
      <c r="T766" s="353"/>
      <c r="U766" s="353"/>
      <c r="V766" s="353"/>
      <c r="W766" s="432"/>
      <c r="X766" s="200"/>
      <c r="Y766" s="200"/>
      <c r="Z766" s="200"/>
      <c r="AA766" s="200"/>
      <c r="AB766" s="200"/>
      <c r="AC766" s="200"/>
      <c r="AD766" s="200"/>
      <c r="AE766" s="200"/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  <c r="AQ766" s="200"/>
      <c r="AR766" s="200"/>
      <c r="AS766" s="200"/>
      <c r="AT766" s="200"/>
    </row>
    <row r="767" spans="1:46" ht="16.5" customHeight="1">
      <c r="A767" s="307"/>
      <c r="B767" s="307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353"/>
      <c r="R767" s="353"/>
      <c r="S767" s="200"/>
      <c r="T767" s="353"/>
      <c r="U767" s="353"/>
      <c r="V767" s="353"/>
      <c r="W767" s="432"/>
      <c r="X767" s="200"/>
      <c r="Y767" s="200"/>
      <c r="Z767" s="200"/>
      <c r="AA767" s="200"/>
      <c r="AB767" s="200"/>
      <c r="AC767" s="200"/>
      <c r="AD767" s="200"/>
      <c r="AE767" s="200"/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  <c r="AQ767" s="200"/>
      <c r="AR767" s="200"/>
      <c r="AS767" s="200"/>
      <c r="AT767" s="200"/>
    </row>
    <row r="768" spans="1:46" ht="16.5" customHeight="1">
      <c r="A768" s="307"/>
      <c r="B768" s="307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353"/>
      <c r="R768" s="353"/>
      <c r="S768" s="200"/>
      <c r="T768" s="353"/>
      <c r="U768" s="353"/>
      <c r="V768" s="353"/>
      <c r="W768" s="432"/>
      <c r="X768" s="200"/>
      <c r="Y768" s="200"/>
      <c r="Z768" s="200"/>
      <c r="AA768" s="200"/>
      <c r="AB768" s="200"/>
      <c r="AC768" s="200"/>
      <c r="AD768" s="200"/>
      <c r="AE768" s="200"/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  <c r="AT768" s="200"/>
    </row>
    <row r="769" spans="1:46" ht="16.5" customHeight="1">
      <c r="A769" s="307"/>
      <c r="B769" s="307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353"/>
      <c r="R769" s="353"/>
      <c r="S769" s="200"/>
      <c r="T769" s="353"/>
      <c r="U769" s="353"/>
      <c r="V769" s="353"/>
      <c r="W769" s="432"/>
      <c r="X769" s="200"/>
      <c r="Y769" s="200"/>
      <c r="Z769" s="200"/>
      <c r="AA769" s="200"/>
      <c r="AB769" s="200"/>
      <c r="AC769" s="200"/>
      <c r="AD769" s="200"/>
      <c r="AE769" s="200"/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  <c r="AQ769" s="200"/>
      <c r="AR769" s="200"/>
      <c r="AS769" s="200"/>
      <c r="AT769" s="200"/>
    </row>
    <row r="770" spans="1:46" ht="16.5" customHeight="1">
      <c r="A770" s="307"/>
      <c r="B770" s="307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353"/>
      <c r="R770" s="353"/>
      <c r="S770" s="200"/>
      <c r="T770" s="353"/>
      <c r="U770" s="353"/>
      <c r="V770" s="353"/>
      <c r="W770" s="432"/>
      <c r="X770" s="200"/>
      <c r="Y770" s="200"/>
      <c r="Z770" s="200"/>
      <c r="AA770" s="200"/>
      <c r="AB770" s="200"/>
      <c r="AC770" s="200"/>
      <c r="AD770" s="200"/>
      <c r="AE770" s="200"/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  <c r="AT770" s="200"/>
    </row>
    <row r="771" spans="1:46" ht="16.5" customHeight="1">
      <c r="A771" s="307"/>
      <c r="B771" s="307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353"/>
      <c r="R771" s="353"/>
      <c r="S771" s="200"/>
      <c r="T771" s="353"/>
      <c r="U771" s="353"/>
      <c r="V771" s="353"/>
      <c r="W771" s="432"/>
      <c r="X771" s="200"/>
      <c r="Y771" s="200"/>
      <c r="Z771" s="200"/>
      <c r="AA771" s="200"/>
      <c r="AB771" s="200"/>
      <c r="AC771" s="200"/>
      <c r="AD771" s="200"/>
      <c r="AE771" s="200"/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  <c r="AT771" s="200"/>
    </row>
    <row r="772" spans="1:46" ht="16.5" customHeight="1">
      <c r="A772" s="307"/>
      <c r="B772" s="307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353"/>
      <c r="R772" s="353"/>
      <c r="S772" s="200"/>
      <c r="T772" s="353"/>
      <c r="U772" s="353"/>
      <c r="V772" s="353"/>
      <c r="W772" s="432"/>
      <c r="X772" s="200"/>
      <c r="Y772" s="200"/>
      <c r="Z772" s="200"/>
      <c r="AA772" s="200"/>
      <c r="AB772" s="200"/>
      <c r="AC772" s="200"/>
      <c r="AD772" s="200"/>
      <c r="AE772" s="200"/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  <c r="AQ772" s="200"/>
      <c r="AR772" s="200"/>
      <c r="AS772" s="200"/>
      <c r="AT772" s="200"/>
    </row>
    <row r="773" spans="1:46" ht="16.5" customHeight="1">
      <c r="A773" s="307"/>
      <c r="B773" s="307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353"/>
      <c r="R773" s="353"/>
      <c r="S773" s="200"/>
      <c r="T773" s="353"/>
      <c r="U773" s="353"/>
      <c r="V773" s="353"/>
      <c r="W773" s="432"/>
      <c r="X773" s="200"/>
      <c r="Y773" s="200"/>
      <c r="Z773" s="200"/>
      <c r="AA773" s="200"/>
      <c r="AB773" s="200"/>
      <c r="AC773" s="200"/>
      <c r="AD773" s="200"/>
      <c r="AE773" s="200"/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  <c r="AQ773" s="200"/>
      <c r="AR773" s="200"/>
      <c r="AS773" s="200"/>
      <c r="AT773" s="200"/>
    </row>
    <row r="774" spans="1:46" ht="16.5" customHeight="1">
      <c r="A774" s="307"/>
      <c r="B774" s="307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353"/>
      <c r="R774" s="353"/>
      <c r="S774" s="200"/>
      <c r="T774" s="353"/>
      <c r="U774" s="353"/>
      <c r="V774" s="353"/>
      <c r="W774" s="432"/>
      <c r="X774" s="200"/>
      <c r="Y774" s="200"/>
      <c r="Z774" s="200"/>
      <c r="AA774" s="200"/>
      <c r="AB774" s="200"/>
      <c r="AC774" s="200"/>
      <c r="AD774" s="200"/>
      <c r="AE774" s="200"/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  <c r="AT774" s="200"/>
    </row>
    <row r="775" spans="1:46" ht="16.5" customHeight="1">
      <c r="A775" s="307"/>
      <c r="B775" s="307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353"/>
      <c r="R775" s="353"/>
      <c r="S775" s="200"/>
      <c r="T775" s="353"/>
      <c r="U775" s="353"/>
      <c r="V775" s="353"/>
      <c r="W775" s="432"/>
      <c r="X775" s="200"/>
      <c r="Y775" s="200"/>
      <c r="Z775" s="200"/>
      <c r="AA775" s="200"/>
      <c r="AB775" s="200"/>
      <c r="AC775" s="200"/>
      <c r="AD775" s="200"/>
      <c r="AE775" s="200"/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  <c r="AQ775" s="200"/>
      <c r="AR775" s="200"/>
      <c r="AS775" s="200"/>
      <c r="AT775" s="200"/>
    </row>
    <row r="776" spans="1:46" ht="16.5" customHeight="1">
      <c r="A776" s="307"/>
      <c r="B776" s="307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353"/>
      <c r="R776" s="353"/>
      <c r="S776" s="200"/>
      <c r="T776" s="353"/>
      <c r="U776" s="353"/>
      <c r="V776" s="353"/>
      <c r="W776" s="432"/>
      <c r="X776" s="200"/>
      <c r="Y776" s="200"/>
      <c r="Z776" s="200"/>
      <c r="AA776" s="200"/>
      <c r="AB776" s="200"/>
      <c r="AC776" s="200"/>
      <c r="AD776" s="200"/>
      <c r="AE776" s="200"/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  <c r="AT776" s="200"/>
    </row>
    <row r="777" spans="1:46" ht="16.5" customHeight="1">
      <c r="A777" s="307"/>
      <c r="B777" s="307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353"/>
      <c r="R777" s="353"/>
      <c r="S777" s="200"/>
      <c r="T777" s="353"/>
      <c r="U777" s="353"/>
      <c r="V777" s="353"/>
      <c r="W777" s="432"/>
      <c r="X777" s="200"/>
      <c r="Y777" s="200"/>
      <c r="Z777" s="200"/>
      <c r="AA777" s="200"/>
      <c r="AB777" s="200"/>
      <c r="AC777" s="200"/>
      <c r="AD777" s="200"/>
      <c r="AE777" s="200"/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  <c r="AQ777" s="200"/>
      <c r="AR777" s="200"/>
      <c r="AS777" s="200"/>
      <c r="AT777" s="200"/>
    </row>
    <row r="778" spans="1:46" ht="16.5" customHeight="1">
      <c r="A778" s="307"/>
      <c r="B778" s="307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353"/>
      <c r="R778" s="353"/>
      <c r="S778" s="200"/>
      <c r="T778" s="353"/>
      <c r="U778" s="353"/>
      <c r="V778" s="353"/>
      <c r="W778" s="432"/>
      <c r="X778" s="200"/>
      <c r="Y778" s="200"/>
      <c r="Z778" s="200"/>
      <c r="AA778" s="200"/>
      <c r="AB778" s="200"/>
      <c r="AC778" s="200"/>
      <c r="AD778" s="200"/>
      <c r="AE778" s="200"/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  <c r="AQ778" s="200"/>
      <c r="AR778" s="200"/>
      <c r="AS778" s="200"/>
      <c r="AT778" s="200"/>
    </row>
    <row r="779" spans="1:46" ht="16.5" customHeight="1">
      <c r="A779" s="307"/>
      <c r="B779" s="307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353"/>
      <c r="R779" s="353"/>
      <c r="S779" s="200"/>
      <c r="T779" s="353"/>
      <c r="U779" s="353"/>
      <c r="V779" s="353"/>
      <c r="W779" s="432"/>
      <c r="X779" s="200"/>
      <c r="Y779" s="200"/>
      <c r="Z779" s="200"/>
      <c r="AA779" s="200"/>
      <c r="AB779" s="200"/>
      <c r="AC779" s="200"/>
      <c r="AD779" s="200"/>
      <c r="AE779" s="200"/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  <c r="AQ779" s="200"/>
      <c r="AR779" s="200"/>
      <c r="AS779" s="200"/>
      <c r="AT779" s="200"/>
    </row>
    <row r="780" spans="1:46" ht="16.5" customHeight="1">
      <c r="A780" s="307"/>
      <c r="B780" s="307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353"/>
      <c r="R780" s="353"/>
      <c r="S780" s="200"/>
      <c r="T780" s="353"/>
      <c r="U780" s="353"/>
      <c r="V780" s="353"/>
      <c r="W780" s="432"/>
      <c r="X780" s="200"/>
      <c r="Y780" s="200"/>
      <c r="Z780" s="200"/>
      <c r="AA780" s="200"/>
      <c r="AB780" s="200"/>
      <c r="AC780" s="200"/>
      <c r="AD780" s="200"/>
      <c r="AE780" s="200"/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  <c r="AT780" s="200"/>
    </row>
    <row r="781" spans="1:46" ht="16.5" customHeight="1">
      <c r="A781" s="307"/>
      <c r="B781" s="307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353"/>
      <c r="R781" s="353"/>
      <c r="S781" s="200"/>
      <c r="T781" s="353"/>
      <c r="U781" s="353"/>
      <c r="V781" s="353"/>
      <c r="W781" s="432"/>
      <c r="X781" s="200"/>
      <c r="Y781" s="200"/>
      <c r="Z781" s="200"/>
      <c r="AA781" s="200"/>
      <c r="AB781" s="200"/>
      <c r="AC781" s="200"/>
      <c r="AD781" s="200"/>
      <c r="AE781" s="200"/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  <c r="AQ781" s="200"/>
      <c r="AR781" s="200"/>
      <c r="AS781" s="200"/>
      <c r="AT781" s="200"/>
    </row>
    <row r="782" spans="1:46" ht="16.5" customHeight="1">
      <c r="A782" s="307"/>
      <c r="B782" s="307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353"/>
      <c r="R782" s="353"/>
      <c r="S782" s="200"/>
      <c r="T782" s="353"/>
      <c r="U782" s="353"/>
      <c r="V782" s="353"/>
      <c r="W782" s="432"/>
      <c r="X782" s="200"/>
      <c r="Y782" s="200"/>
      <c r="Z782" s="200"/>
      <c r="AA782" s="200"/>
      <c r="AB782" s="200"/>
      <c r="AC782" s="200"/>
      <c r="AD782" s="200"/>
      <c r="AE782" s="200"/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  <c r="AQ782" s="200"/>
      <c r="AR782" s="200"/>
      <c r="AS782" s="200"/>
      <c r="AT782" s="200"/>
    </row>
    <row r="783" spans="1:46" ht="16.5" customHeight="1">
      <c r="A783" s="307"/>
      <c r="B783" s="307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353"/>
      <c r="R783" s="353"/>
      <c r="S783" s="200"/>
      <c r="T783" s="353"/>
      <c r="U783" s="353"/>
      <c r="V783" s="353"/>
      <c r="W783" s="432"/>
      <c r="X783" s="200"/>
      <c r="Y783" s="200"/>
      <c r="Z783" s="200"/>
      <c r="AA783" s="200"/>
      <c r="AB783" s="200"/>
      <c r="AC783" s="200"/>
      <c r="AD783" s="200"/>
      <c r="AE783" s="200"/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  <c r="AQ783" s="200"/>
      <c r="AR783" s="200"/>
      <c r="AS783" s="200"/>
      <c r="AT783" s="200"/>
    </row>
    <row r="784" spans="1:46" ht="16.5" customHeight="1">
      <c r="A784" s="307"/>
      <c r="B784" s="307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353"/>
      <c r="R784" s="353"/>
      <c r="S784" s="200"/>
      <c r="T784" s="353"/>
      <c r="U784" s="353"/>
      <c r="V784" s="353"/>
      <c r="W784" s="432"/>
      <c r="X784" s="200"/>
      <c r="Y784" s="200"/>
      <c r="Z784" s="200"/>
      <c r="AA784" s="200"/>
      <c r="AB784" s="200"/>
      <c r="AC784" s="200"/>
      <c r="AD784" s="200"/>
      <c r="AE784" s="200"/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  <c r="AQ784" s="200"/>
      <c r="AR784" s="200"/>
      <c r="AS784" s="200"/>
      <c r="AT784" s="200"/>
    </row>
    <row r="785" spans="1:46" ht="16.5" customHeight="1">
      <c r="A785" s="307"/>
      <c r="B785" s="307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353"/>
      <c r="R785" s="353"/>
      <c r="S785" s="200"/>
      <c r="T785" s="353"/>
      <c r="U785" s="353"/>
      <c r="V785" s="353"/>
      <c r="W785" s="432"/>
      <c r="X785" s="200"/>
      <c r="Y785" s="200"/>
      <c r="Z785" s="200"/>
      <c r="AA785" s="200"/>
      <c r="AB785" s="200"/>
      <c r="AC785" s="200"/>
      <c r="AD785" s="200"/>
      <c r="AE785" s="200"/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  <c r="AQ785" s="200"/>
      <c r="AR785" s="200"/>
      <c r="AS785" s="200"/>
      <c r="AT785" s="200"/>
    </row>
    <row r="786" spans="1:46" ht="16.5" customHeight="1">
      <c r="A786" s="307"/>
      <c r="B786" s="307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353"/>
      <c r="R786" s="353"/>
      <c r="S786" s="200"/>
      <c r="T786" s="353"/>
      <c r="U786" s="353"/>
      <c r="V786" s="353"/>
      <c r="W786" s="432"/>
      <c r="X786" s="200"/>
      <c r="Y786" s="200"/>
      <c r="Z786" s="200"/>
      <c r="AA786" s="200"/>
      <c r="AB786" s="200"/>
      <c r="AC786" s="200"/>
      <c r="AD786" s="200"/>
      <c r="AE786" s="200"/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  <c r="AT786" s="200"/>
    </row>
    <row r="787" spans="1:46" ht="16.5" customHeight="1">
      <c r="A787" s="307"/>
      <c r="B787" s="307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353"/>
      <c r="R787" s="353"/>
      <c r="S787" s="200"/>
      <c r="T787" s="353"/>
      <c r="U787" s="353"/>
      <c r="V787" s="353"/>
      <c r="W787" s="432"/>
      <c r="X787" s="200"/>
      <c r="Y787" s="200"/>
      <c r="Z787" s="200"/>
      <c r="AA787" s="200"/>
      <c r="AB787" s="200"/>
      <c r="AC787" s="200"/>
      <c r="AD787" s="200"/>
      <c r="AE787" s="200"/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  <c r="AQ787" s="200"/>
      <c r="AR787" s="200"/>
      <c r="AS787" s="200"/>
      <c r="AT787" s="200"/>
    </row>
    <row r="788" spans="1:46" ht="16.5" customHeight="1">
      <c r="A788" s="307"/>
      <c r="B788" s="307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353"/>
      <c r="R788" s="353"/>
      <c r="S788" s="200"/>
      <c r="T788" s="353"/>
      <c r="U788" s="353"/>
      <c r="V788" s="353"/>
      <c r="W788" s="432"/>
      <c r="X788" s="200"/>
      <c r="Y788" s="200"/>
      <c r="Z788" s="200"/>
      <c r="AA788" s="200"/>
      <c r="AB788" s="200"/>
      <c r="AC788" s="200"/>
      <c r="AD788" s="200"/>
      <c r="AE788" s="200"/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  <c r="AQ788" s="200"/>
      <c r="AR788" s="200"/>
      <c r="AS788" s="200"/>
      <c r="AT788" s="200"/>
    </row>
    <row r="789" spans="1:46" ht="16.5" customHeight="1">
      <c r="A789" s="307"/>
      <c r="B789" s="307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353"/>
      <c r="R789" s="353"/>
      <c r="S789" s="200"/>
      <c r="T789" s="353"/>
      <c r="U789" s="353"/>
      <c r="V789" s="353"/>
      <c r="W789" s="432"/>
      <c r="X789" s="200"/>
      <c r="Y789" s="200"/>
      <c r="Z789" s="200"/>
      <c r="AA789" s="200"/>
      <c r="AB789" s="200"/>
      <c r="AC789" s="200"/>
      <c r="AD789" s="200"/>
      <c r="AE789" s="200"/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  <c r="AT789" s="200"/>
    </row>
    <row r="790" spans="1:46" ht="16.5" customHeight="1">
      <c r="A790" s="307"/>
      <c r="B790" s="307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353"/>
      <c r="R790" s="353"/>
      <c r="S790" s="200"/>
      <c r="T790" s="353"/>
      <c r="U790" s="353"/>
      <c r="V790" s="353"/>
      <c r="W790" s="432"/>
      <c r="X790" s="200"/>
      <c r="Y790" s="200"/>
      <c r="Z790" s="200"/>
      <c r="AA790" s="200"/>
      <c r="AB790" s="200"/>
      <c r="AC790" s="200"/>
      <c r="AD790" s="200"/>
      <c r="AE790" s="200"/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  <c r="AQ790" s="200"/>
      <c r="AR790" s="200"/>
      <c r="AS790" s="200"/>
      <c r="AT790" s="200"/>
    </row>
    <row r="791" spans="1:46" ht="16.5" customHeight="1">
      <c r="A791" s="307"/>
      <c r="B791" s="307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353"/>
      <c r="R791" s="353"/>
      <c r="S791" s="200"/>
      <c r="T791" s="353"/>
      <c r="U791" s="353"/>
      <c r="V791" s="353"/>
      <c r="W791" s="432"/>
      <c r="X791" s="200"/>
      <c r="Y791" s="200"/>
      <c r="Z791" s="200"/>
      <c r="AA791" s="200"/>
      <c r="AB791" s="200"/>
      <c r="AC791" s="200"/>
      <c r="AD791" s="200"/>
      <c r="AE791" s="200"/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  <c r="AQ791" s="200"/>
      <c r="AR791" s="200"/>
      <c r="AS791" s="200"/>
      <c r="AT791" s="200"/>
    </row>
    <row r="792" spans="1:46" ht="16.5" customHeight="1">
      <c r="A792" s="307"/>
      <c r="B792" s="307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353"/>
      <c r="R792" s="353"/>
      <c r="S792" s="200"/>
      <c r="T792" s="353"/>
      <c r="U792" s="353"/>
      <c r="V792" s="353"/>
      <c r="W792" s="432"/>
      <c r="X792" s="200"/>
      <c r="Y792" s="200"/>
      <c r="Z792" s="200"/>
      <c r="AA792" s="200"/>
      <c r="AB792" s="200"/>
      <c r="AC792" s="200"/>
      <c r="AD792" s="200"/>
      <c r="AE792" s="200"/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  <c r="AQ792" s="200"/>
      <c r="AR792" s="200"/>
      <c r="AS792" s="200"/>
      <c r="AT792" s="200"/>
    </row>
    <row r="793" spans="1:46" ht="16.5" customHeight="1">
      <c r="A793" s="307"/>
      <c r="B793" s="307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353"/>
      <c r="R793" s="353"/>
      <c r="S793" s="200"/>
      <c r="T793" s="353"/>
      <c r="U793" s="353"/>
      <c r="V793" s="353"/>
      <c r="W793" s="432"/>
      <c r="X793" s="200"/>
      <c r="Y793" s="200"/>
      <c r="Z793" s="200"/>
      <c r="AA793" s="200"/>
      <c r="AB793" s="200"/>
      <c r="AC793" s="200"/>
      <c r="AD793" s="200"/>
      <c r="AE793" s="200"/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  <c r="AT793" s="200"/>
    </row>
    <row r="794" spans="1:46" ht="16.5" customHeight="1">
      <c r="A794" s="307"/>
      <c r="B794" s="307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353"/>
      <c r="R794" s="353"/>
      <c r="S794" s="200"/>
      <c r="T794" s="353"/>
      <c r="U794" s="353"/>
      <c r="V794" s="353"/>
      <c r="W794" s="432"/>
      <c r="X794" s="200"/>
      <c r="Y794" s="200"/>
      <c r="Z794" s="200"/>
      <c r="AA794" s="200"/>
      <c r="AB794" s="200"/>
      <c r="AC794" s="200"/>
      <c r="AD794" s="200"/>
      <c r="AE794" s="200"/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  <c r="AQ794" s="200"/>
      <c r="AR794" s="200"/>
      <c r="AS794" s="200"/>
      <c r="AT794" s="200"/>
    </row>
    <row r="795" spans="1:46" ht="16.5" customHeight="1">
      <c r="A795" s="307"/>
      <c r="B795" s="307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353"/>
      <c r="R795" s="353"/>
      <c r="S795" s="200"/>
      <c r="T795" s="353"/>
      <c r="U795" s="353"/>
      <c r="V795" s="353"/>
      <c r="W795" s="432"/>
      <c r="X795" s="200"/>
      <c r="Y795" s="200"/>
      <c r="Z795" s="200"/>
      <c r="AA795" s="200"/>
      <c r="AB795" s="200"/>
      <c r="AC795" s="200"/>
      <c r="AD795" s="200"/>
      <c r="AE795" s="200"/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  <c r="AQ795" s="200"/>
      <c r="AR795" s="200"/>
      <c r="AS795" s="200"/>
      <c r="AT795" s="200"/>
    </row>
    <row r="796" spans="1:46" ht="16.5" customHeight="1">
      <c r="A796" s="307"/>
      <c r="B796" s="307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353"/>
      <c r="R796" s="353"/>
      <c r="S796" s="200"/>
      <c r="T796" s="353"/>
      <c r="U796" s="353"/>
      <c r="V796" s="353"/>
      <c r="W796" s="432"/>
      <c r="X796" s="200"/>
      <c r="Y796" s="200"/>
      <c r="Z796" s="200"/>
      <c r="AA796" s="200"/>
      <c r="AB796" s="200"/>
      <c r="AC796" s="200"/>
      <c r="AD796" s="200"/>
      <c r="AE796" s="200"/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  <c r="AQ796" s="200"/>
      <c r="AR796" s="200"/>
      <c r="AS796" s="200"/>
      <c r="AT796" s="200"/>
    </row>
    <row r="797" spans="1:46" ht="16.5" customHeight="1">
      <c r="A797" s="307"/>
      <c r="B797" s="307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353"/>
      <c r="R797" s="353"/>
      <c r="S797" s="200"/>
      <c r="T797" s="353"/>
      <c r="U797" s="353"/>
      <c r="V797" s="353"/>
      <c r="W797" s="432"/>
      <c r="X797" s="200"/>
      <c r="Y797" s="200"/>
      <c r="Z797" s="200"/>
      <c r="AA797" s="200"/>
      <c r="AB797" s="200"/>
      <c r="AC797" s="200"/>
      <c r="AD797" s="200"/>
      <c r="AE797" s="200"/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  <c r="AT797" s="200"/>
    </row>
    <row r="798" spans="1:46" ht="16.5" customHeight="1">
      <c r="A798" s="307"/>
      <c r="B798" s="307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353"/>
      <c r="R798" s="353"/>
      <c r="S798" s="200"/>
      <c r="T798" s="353"/>
      <c r="U798" s="353"/>
      <c r="V798" s="353"/>
      <c r="W798" s="432"/>
      <c r="X798" s="200"/>
      <c r="Y798" s="200"/>
      <c r="Z798" s="200"/>
      <c r="AA798" s="200"/>
      <c r="AB798" s="200"/>
      <c r="AC798" s="200"/>
      <c r="AD798" s="200"/>
      <c r="AE798" s="200"/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  <c r="AQ798" s="200"/>
      <c r="AR798" s="200"/>
      <c r="AS798" s="200"/>
      <c r="AT798" s="200"/>
    </row>
    <row r="799" spans="1:46" ht="16.5" customHeight="1">
      <c r="A799" s="307"/>
      <c r="B799" s="307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353"/>
      <c r="R799" s="353"/>
      <c r="S799" s="200"/>
      <c r="T799" s="353"/>
      <c r="U799" s="353"/>
      <c r="V799" s="353"/>
      <c r="W799" s="432"/>
      <c r="X799" s="200"/>
      <c r="Y799" s="200"/>
      <c r="Z799" s="200"/>
      <c r="AA799" s="200"/>
      <c r="AB799" s="200"/>
      <c r="AC799" s="200"/>
      <c r="AD799" s="200"/>
      <c r="AE799" s="200"/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  <c r="AQ799" s="200"/>
      <c r="AR799" s="200"/>
      <c r="AS799" s="200"/>
      <c r="AT799" s="200"/>
    </row>
    <row r="800" spans="1:46" ht="16.5" customHeight="1">
      <c r="A800" s="307"/>
      <c r="B800" s="307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353"/>
      <c r="R800" s="353"/>
      <c r="S800" s="200"/>
      <c r="T800" s="353"/>
      <c r="U800" s="353"/>
      <c r="V800" s="353"/>
      <c r="W800" s="432"/>
      <c r="X800" s="200"/>
      <c r="Y800" s="200"/>
      <c r="Z800" s="200"/>
      <c r="AA800" s="200"/>
      <c r="AB800" s="200"/>
      <c r="AC800" s="200"/>
      <c r="AD800" s="200"/>
      <c r="AE800" s="200"/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  <c r="AT800" s="200"/>
    </row>
    <row r="801" spans="1:46" ht="16.5" customHeight="1">
      <c r="A801" s="307"/>
      <c r="B801" s="307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353"/>
      <c r="R801" s="353"/>
      <c r="S801" s="200"/>
      <c r="T801" s="353"/>
      <c r="U801" s="353"/>
      <c r="V801" s="353"/>
      <c r="W801" s="432"/>
      <c r="X801" s="200"/>
      <c r="Y801" s="200"/>
      <c r="Z801" s="200"/>
      <c r="AA801" s="200"/>
      <c r="AB801" s="200"/>
      <c r="AC801" s="200"/>
      <c r="AD801" s="200"/>
      <c r="AE801" s="200"/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  <c r="AQ801" s="200"/>
      <c r="AR801" s="200"/>
      <c r="AS801" s="200"/>
      <c r="AT801" s="200"/>
    </row>
    <row r="802" spans="1:46" ht="16.5" customHeight="1">
      <c r="A802" s="307"/>
      <c r="B802" s="307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353"/>
      <c r="R802" s="353"/>
      <c r="S802" s="200"/>
      <c r="T802" s="353"/>
      <c r="U802" s="353"/>
      <c r="V802" s="353"/>
      <c r="W802" s="432"/>
      <c r="X802" s="200"/>
      <c r="Y802" s="200"/>
      <c r="Z802" s="200"/>
      <c r="AA802" s="200"/>
      <c r="AB802" s="200"/>
      <c r="AC802" s="200"/>
      <c r="AD802" s="200"/>
      <c r="AE802" s="200"/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  <c r="AQ802" s="200"/>
      <c r="AR802" s="200"/>
      <c r="AS802" s="200"/>
      <c r="AT802" s="200"/>
    </row>
    <row r="803" spans="1:46" ht="16.5" customHeight="1">
      <c r="A803" s="307"/>
      <c r="B803" s="307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353"/>
      <c r="R803" s="353"/>
      <c r="S803" s="200"/>
      <c r="T803" s="353"/>
      <c r="U803" s="353"/>
      <c r="V803" s="353"/>
      <c r="W803" s="432"/>
      <c r="X803" s="200"/>
      <c r="Y803" s="200"/>
      <c r="Z803" s="200"/>
      <c r="AA803" s="200"/>
      <c r="AB803" s="200"/>
      <c r="AC803" s="200"/>
      <c r="AD803" s="200"/>
      <c r="AE803" s="200"/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  <c r="AQ803" s="200"/>
      <c r="AR803" s="200"/>
      <c r="AS803" s="200"/>
      <c r="AT803" s="200"/>
    </row>
    <row r="804" spans="1:46" ht="16.5" customHeight="1">
      <c r="A804" s="307"/>
      <c r="B804" s="307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353"/>
      <c r="R804" s="353"/>
      <c r="S804" s="200"/>
      <c r="T804" s="353"/>
      <c r="U804" s="353"/>
      <c r="V804" s="353"/>
      <c r="W804" s="432"/>
      <c r="X804" s="200"/>
      <c r="Y804" s="200"/>
      <c r="Z804" s="200"/>
      <c r="AA804" s="200"/>
      <c r="AB804" s="200"/>
      <c r="AC804" s="200"/>
      <c r="AD804" s="200"/>
      <c r="AE804" s="200"/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  <c r="AQ804" s="200"/>
      <c r="AR804" s="200"/>
      <c r="AS804" s="200"/>
      <c r="AT804" s="200"/>
    </row>
    <row r="805" spans="1:46" ht="16.5" customHeight="1">
      <c r="A805" s="307"/>
      <c r="B805" s="307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353"/>
      <c r="R805" s="353"/>
      <c r="S805" s="200"/>
      <c r="T805" s="353"/>
      <c r="U805" s="353"/>
      <c r="V805" s="353"/>
      <c r="W805" s="432"/>
      <c r="X805" s="200"/>
      <c r="Y805" s="200"/>
      <c r="Z805" s="200"/>
      <c r="AA805" s="200"/>
      <c r="AB805" s="200"/>
      <c r="AC805" s="200"/>
      <c r="AD805" s="200"/>
      <c r="AE805" s="200"/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  <c r="AQ805" s="200"/>
      <c r="AR805" s="200"/>
      <c r="AS805" s="200"/>
      <c r="AT805" s="200"/>
    </row>
    <row r="806" spans="1:46" ht="16.5" customHeight="1">
      <c r="A806" s="307"/>
      <c r="B806" s="307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353"/>
      <c r="R806" s="353"/>
      <c r="S806" s="200"/>
      <c r="T806" s="353"/>
      <c r="U806" s="353"/>
      <c r="V806" s="353"/>
      <c r="W806" s="432"/>
      <c r="X806" s="200"/>
      <c r="Y806" s="200"/>
      <c r="Z806" s="200"/>
      <c r="AA806" s="200"/>
      <c r="AB806" s="200"/>
      <c r="AC806" s="200"/>
      <c r="AD806" s="200"/>
      <c r="AE806" s="200"/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  <c r="AQ806" s="200"/>
      <c r="AR806" s="200"/>
      <c r="AS806" s="200"/>
      <c r="AT806" s="200"/>
    </row>
    <row r="807" spans="1:46" ht="16.5" customHeight="1">
      <c r="A807" s="307"/>
      <c r="B807" s="307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353"/>
      <c r="R807" s="353"/>
      <c r="S807" s="200"/>
      <c r="T807" s="353"/>
      <c r="U807" s="353"/>
      <c r="V807" s="353"/>
      <c r="W807" s="432"/>
      <c r="X807" s="200"/>
      <c r="Y807" s="200"/>
      <c r="Z807" s="200"/>
      <c r="AA807" s="200"/>
      <c r="AB807" s="200"/>
      <c r="AC807" s="200"/>
      <c r="AD807" s="200"/>
      <c r="AE807" s="200"/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  <c r="AQ807" s="200"/>
      <c r="AR807" s="200"/>
      <c r="AS807" s="200"/>
      <c r="AT807" s="200"/>
    </row>
    <row r="808" spans="1:46" ht="16.5" customHeight="1">
      <c r="A808" s="307"/>
      <c r="B808" s="307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353"/>
      <c r="R808" s="353"/>
      <c r="S808" s="200"/>
      <c r="T808" s="353"/>
      <c r="U808" s="353"/>
      <c r="V808" s="353"/>
      <c r="W808" s="432"/>
      <c r="X808" s="200"/>
      <c r="Y808" s="200"/>
      <c r="Z808" s="200"/>
      <c r="AA808" s="200"/>
      <c r="AB808" s="200"/>
      <c r="AC808" s="200"/>
      <c r="AD808" s="200"/>
      <c r="AE808" s="200"/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  <c r="AQ808" s="200"/>
      <c r="AR808" s="200"/>
      <c r="AS808" s="200"/>
      <c r="AT808" s="200"/>
    </row>
    <row r="809" spans="1:46" ht="16.5" customHeight="1">
      <c r="A809" s="307"/>
      <c r="B809" s="307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353"/>
      <c r="R809" s="353"/>
      <c r="S809" s="200"/>
      <c r="T809" s="353"/>
      <c r="U809" s="353"/>
      <c r="V809" s="353"/>
      <c r="W809" s="432"/>
      <c r="X809" s="200"/>
      <c r="Y809" s="200"/>
      <c r="Z809" s="200"/>
      <c r="AA809" s="200"/>
      <c r="AB809" s="200"/>
      <c r="AC809" s="200"/>
      <c r="AD809" s="200"/>
      <c r="AE809" s="200"/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  <c r="AQ809" s="200"/>
      <c r="AR809" s="200"/>
      <c r="AS809" s="200"/>
      <c r="AT809" s="200"/>
    </row>
    <row r="810" spans="1:46" ht="16.5" customHeight="1">
      <c r="A810" s="307"/>
      <c r="B810" s="307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353"/>
      <c r="R810" s="353"/>
      <c r="S810" s="200"/>
      <c r="T810" s="353"/>
      <c r="U810" s="353"/>
      <c r="V810" s="353"/>
      <c r="W810" s="432"/>
      <c r="X810" s="200"/>
      <c r="Y810" s="200"/>
      <c r="Z810" s="200"/>
      <c r="AA810" s="200"/>
      <c r="AB810" s="200"/>
      <c r="AC810" s="200"/>
      <c r="AD810" s="200"/>
      <c r="AE810" s="200"/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  <c r="AQ810" s="200"/>
      <c r="AR810" s="200"/>
      <c r="AS810" s="200"/>
      <c r="AT810" s="200"/>
    </row>
    <row r="811" spans="1:46" ht="16.5" customHeight="1">
      <c r="A811" s="307"/>
      <c r="B811" s="307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353"/>
      <c r="R811" s="353"/>
      <c r="S811" s="200"/>
      <c r="T811" s="353"/>
      <c r="U811" s="353"/>
      <c r="V811" s="353"/>
      <c r="W811" s="432"/>
      <c r="X811" s="200"/>
      <c r="Y811" s="200"/>
      <c r="Z811" s="200"/>
      <c r="AA811" s="200"/>
      <c r="AB811" s="200"/>
      <c r="AC811" s="200"/>
      <c r="AD811" s="200"/>
      <c r="AE811" s="200"/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  <c r="AQ811" s="200"/>
      <c r="AR811" s="200"/>
      <c r="AS811" s="200"/>
      <c r="AT811" s="200"/>
    </row>
    <row r="812" spans="1:46" ht="16.5" customHeight="1">
      <c r="A812" s="307"/>
      <c r="B812" s="307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353"/>
      <c r="R812" s="353"/>
      <c r="S812" s="200"/>
      <c r="T812" s="353"/>
      <c r="U812" s="353"/>
      <c r="V812" s="353"/>
      <c r="W812" s="432"/>
      <c r="X812" s="200"/>
      <c r="Y812" s="200"/>
      <c r="Z812" s="200"/>
      <c r="AA812" s="200"/>
      <c r="AB812" s="200"/>
      <c r="AC812" s="200"/>
      <c r="AD812" s="200"/>
      <c r="AE812" s="200"/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  <c r="AQ812" s="200"/>
      <c r="AR812" s="200"/>
      <c r="AS812" s="200"/>
      <c r="AT812" s="200"/>
    </row>
    <row r="813" spans="1:46" ht="16.5" customHeight="1">
      <c r="A813" s="307"/>
      <c r="B813" s="307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353"/>
      <c r="R813" s="353"/>
      <c r="S813" s="200"/>
      <c r="T813" s="353"/>
      <c r="U813" s="353"/>
      <c r="V813" s="353"/>
      <c r="W813" s="432"/>
      <c r="X813" s="200"/>
      <c r="Y813" s="200"/>
      <c r="Z813" s="200"/>
      <c r="AA813" s="200"/>
      <c r="AB813" s="200"/>
      <c r="AC813" s="200"/>
      <c r="AD813" s="200"/>
      <c r="AE813" s="200"/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  <c r="AT813" s="200"/>
    </row>
    <row r="814" spans="1:46" ht="16.5" customHeight="1">
      <c r="A814" s="307"/>
      <c r="B814" s="307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353"/>
      <c r="R814" s="353"/>
      <c r="S814" s="200"/>
      <c r="T814" s="353"/>
      <c r="U814" s="353"/>
      <c r="V814" s="353"/>
      <c r="W814" s="432"/>
      <c r="X814" s="200"/>
      <c r="Y814" s="200"/>
      <c r="Z814" s="200"/>
      <c r="AA814" s="200"/>
      <c r="AB814" s="200"/>
      <c r="AC814" s="200"/>
      <c r="AD814" s="200"/>
      <c r="AE814" s="200"/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  <c r="AQ814" s="200"/>
      <c r="AR814" s="200"/>
      <c r="AS814" s="200"/>
      <c r="AT814" s="200"/>
    </row>
    <row r="815" spans="1:46" ht="16.5" customHeight="1">
      <c r="A815" s="307"/>
      <c r="B815" s="307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353"/>
      <c r="R815" s="353"/>
      <c r="S815" s="200"/>
      <c r="T815" s="353"/>
      <c r="U815" s="353"/>
      <c r="V815" s="353"/>
      <c r="W815" s="432"/>
      <c r="X815" s="200"/>
      <c r="Y815" s="200"/>
      <c r="Z815" s="200"/>
      <c r="AA815" s="200"/>
      <c r="AB815" s="200"/>
      <c r="AC815" s="200"/>
      <c r="AD815" s="200"/>
      <c r="AE815" s="200"/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  <c r="AQ815" s="200"/>
      <c r="AR815" s="200"/>
      <c r="AS815" s="200"/>
      <c r="AT815" s="200"/>
    </row>
    <row r="816" spans="1:46" ht="16.5" customHeight="1">
      <c r="A816" s="307"/>
      <c r="B816" s="307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353"/>
      <c r="R816" s="353"/>
      <c r="S816" s="200"/>
      <c r="T816" s="353"/>
      <c r="U816" s="353"/>
      <c r="V816" s="353"/>
      <c r="W816" s="432"/>
      <c r="X816" s="200"/>
      <c r="Y816" s="200"/>
      <c r="Z816" s="200"/>
      <c r="AA816" s="200"/>
      <c r="AB816" s="200"/>
      <c r="AC816" s="200"/>
      <c r="AD816" s="200"/>
      <c r="AE816" s="200"/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  <c r="AQ816" s="200"/>
      <c r="AR816" s="200"/>
      <c r="AS816" s="200"/>
      <c r="AT816" s="200"/>
    </row>
    <row r="817" spans="1:46" ht="16.5" customHeight="1">
      <c r="A817" s="307"/>
      <c r="B817" s="307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353"/>
      <c r="R817" s="353"/>
      <c r="S817" s="200"/>
      <c r="T817" s="353"/>
      <c r="U817" s="353"/>
      <c r="V817" s="353"/>
      <c r="W817" s="432"/>
      <c r="X817" s="200"/>
      <c r="Y817" s="200"/>
      <c r="Z817" s="200"/>
      <c r="AA817" s="200"/>
      <c r="AB817" s="200"/>
      <c r="AC817" s="200"/>
      <c r="AD817" s="200"/>
      <c r="AE817" s="200"/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  <c r="AQ817" s="200"/>
      <c r="AR817" s="200"/>
      <c r="AS817" s="200"/>
      <c r="AT817" s="200"/>
    </row>
    <row r="818" spans="1:46" ht="16.5" customHeight="1">
      <c r="A818" s="307"/>
      <c r="B818" s="307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353"/>
      <c r="R818" s="353"/>
      <c r="S818" s="200"/>
      <c r="T818" s="353"/>
      <c r="U818" s="353"/>
      <c r="V818" s="353"/>
      <c r="W818" s="432"/>
      <c r="X818" s="200"/>
      <c r="Y818" s="200"/>
      <c r="Z818" s="200"/>
      <c r="AA818" s="200"/>
      <c r="AB818" s="200"/>
      <c r="AC818" s="200"/>
      <c r="AD818" s="200"/>
      <c r="AE818" s="200"/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  <c r="AQ818" s="200"/>
      <c r="AR818" s="200"/>
      <c r="AS818" s="200"/>
      <c r="AT818" s="200"/>
    </row>
    <row r="819" spans="1:46" ht="16.5" customHeight="1">
      <c r="A819" s="307"/>
      <c r="B819" s="307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353"/>
      <c r="R819" s="353"/>
      <c r="S819" s="200"/>
      <c r="T819" s="353"/>
      <c r="U819" s="353"/>
      <c r="V819" s="353"/>
      <c r="W819" s="432"/>
      <c r="X819" s="200"/>
      <c r="Y819" s="200"/>
      <c r="Z819" s="200"/>
      <c r="AA819" s="200"/>
      <c r="AB819" s="200"/>
      <c r="AC819" s="200"/>
      <c r="AD819" s="200"/>
      <c r="AE819" s="200"/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  <c r="AT819" s="200"/>
    </row>
    <row r="820" spans="1:46" ht="16.5" customHeight="1">
      <c r="A820" s="307"/>
      <c r="B820" s="307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353"/>
      <c r="R820" s="353"/>
      <c r="S820" s="200"/>
      <c r="T820" s="353"/>
      <c r="U820" s="353"/>
      <c r="V820" s="353"/>
      <c r="W820" s="432"/>
      <c r="X820" s="200"/>
      <c r="Y820" s="200"/>
      <c r="Z820" s="200"/>
      <c r="AA820" s="200"/>
      <c r="AB820" s="200"/>
      <c r="AC820" s="200"/>
      <c r="AD820" s="200"/>
      <c r="AE820" s="200"/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  <c r="AQ820" s="200"/>
      <c r="AR820" s="200"/>
      <c r="AS820" s="200"/>
      <c r="AT820" s="200"/>
    </row>
    <row r="821" spans="1:46" ht="16.5" customHeight="1">
      <c r="A821" s="307"/>
      <c r="B821" s="307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353"/>
      <c r="R821" s="353"/>
      <c r="S821" s="200"/>
      <c r="T821" s="353"/>
      <c r="U821" s="353"/>
      <c r="V821" s="353"/>
      <c r="W821" s="432"/>
      <c r="X821" s="200"/>
      <c r="Y821" s="200"/>
      <c r="Z821" s="200"/>
      <c r="AA821" s="200"/>
      <c r="AB821" s="200"/>
      <c r="AC821" s="200"/>
      <c r="AD821" s="200"/>
      <c r="AE821" s="200"/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  <c r="AQ821" s="200"/>
      <c r="AR821" s="200"/>
      <c r="AS821" s="200"/>
      <c r="AT821" s="200"/>
    </row>
    <row r="822" spans="1:46" ht="16.5" customHeight="1">
      <c r="A822" s="307"/>
      <c r="B822" s="307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353"/>
      <c r="R822" s="353"/>
      <c r="S822" s="200"/>
      <c r="T822" s="353"/>
      <c r="U822" s="353"/>
      <c r="V822" s="353"/>
      <c r="W822" s="432"/>
      <c r="X822" s="200"/>
      <c r="Y822" s="200"/>
      <c r="Z822" s="200"/>
      <c r="AA822" s="200"/>
      <c r="AB822" s="200"/>
      <c r="AC822" s="200"/>
      <c r="AD822" s="200"/>
      <c r="AE822" s="200"/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  <c r="AQ822" s="200"/>
      <c r="AR822" s="200"/>
      <c r="AS822" s="200"/>
      <c r="AT822" s="200"/>
    </row>
    <row r="823" spans="1:46" ht="16.5" customHeight="1">
      <c r="A823" s="307"/>
      <c r="B823" s="307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353"/>
      <c r="R823" s="353"/>
      <c r="S823" s="200"/>
      <c r="T823" s="353"/>
      <c r="U823" s="353"/>
      <c r="V823" s="353"/>
      <c r="W823" s="432"/>
      <c r="X823" s="200"/>
      <c r="Y823" s="200"/>
      <c r="Z823" s="200"/>
      <c r="AA823" s="200"/>
      <c r="AB823" s="200"/>
      <c r="AC823" s="200"/>
      <c r="AD823" s="200"/>
      <c r="AE823" s="200"/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  <c r="AQ823" s="200"/>
      <c r="AR823" s="200"/>
      <c r="AS823" s="200"/>
      <c r="AT823" s="200"/>
    </row>
    <row r="824" spans="1:46" ht="16.5" customHeight="1">
      <c r="A824" s="307"/>
      <c r="B824" s="307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353"/>
      <c r="R824" s="353"/>
      <c r="S824" s="200"/>
      <c r="T824" s="353"/>
      <c r="U824" s="353"/>
      <c r="V824" s="353"/>
      <c r="W824" s="432"/>
      <c r="X824" s="200"/>
      <c r="Y824" s="200"/>
      <c r="Z824" s="200"/>
      <c r="AA824" s="200"/>
      <c r="AB824" s="200"/>
      <c r="AC824" s="200"/>
      <c r="AD824" s="200"/>
      <c r="AE824" s="200"/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  <c r="AQ824" s="200"/>
      <c r="AR824" s="200"/>
      <c r="AS824" s="200"/>
      <c r="AT824" s="200"/>
    </row>
    <row r="825" spans="1:46" ht="16.5" customHeight="1">
      <c r="A825" s="307"/>
      <c r="B825" s="307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353"/>
      <c r="R825" s="353"/>
      <c r="S825" s="200"/>
      <c r="T825" s="353"/>
      <c r="U825" s="353"/>
      <c r="V825" s="353"/>
      <c r="W825" s="432"/>
      <c r="X825" s="200"/>
      <c r="Y825" s="200"/>
      <c r="Z825" s="200"/>
      <c r="AA825" s="200"/>
      <c r="AB825" s="200"/>
      <c r="AC825" s="200"/>
      <c r="AD825" s="200"/>
      <c r="AE825" s="200"/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  <c r="AQ825" s="200"/>
      <c r="AR825" s="200"/>
      <c r="AS825" s="200"/>
      <c r="AT825" s="200"/>
    </row>
    <row r="826" spans="1:46" ht="16.5" customHeight="1">
      <c r="A826" s="307"/>
      <c r="B826" s="307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353"/>
      <c r="R826" s="353"/>
      <c r="S826" s="200"/>
      <c r="T826" s="353"/>
      <c r="U826" s="353"/>
      <c r="V826" s="353"/>
      <c r="W826" s="432"/>
      <c r="X826" s="200"/>
      <c r="Y826" s="200"/>
      <c r="Z826" s="200"/>
      <c r="AA826" s="200"/>
      <c r="AB826" s="200"/>
      <c r="AC826" s="200"/>
      <c r="AD826" s="200"/>
      <c r="AE826" s="200"/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  <c r="AQ826" s="200"/>
      <c r="AR826" s="200"/>
      <c r="AS826" s="200"/>
      <c r="AT826" s="200"/>
    </row>
    <row r="827" spans="1:46" ht="16.5" customHeight="1">
      <c r="A827" s="307"/>
      <c r="B827" s="307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353"/>
      <c r="R827" s="353"/>
      <c r="S827" s="200"/>
      <c r="T827" s="353"/>
      <c r="U827" s="353"/>
      <c r="V827" s="353"/>
      <c r="W827" s="432"/>
      <c r="X827" s="200"/>
      <c r="Y827" s="200"/>
      <c r="Z827" s="200"/>
      <c r="AA827" s="200"/>
      <c r="AB827" s="200"/>
      <c r="AC827" s="200"/>
      <c r="AD827" s="200"/>
      <c r="AE827" s="200"/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  <c r="AQ827" s="200"/>
      <c r="AR827" s="200"/>
      <c r="AS827" s="200"/>
      <c r="AT827" s="200"/>
    </row>
    <row r="828" spans="1:46" ht="16.5" customHeight="1">
      <c r="A828" s="307"/>
      <c r="B828" s="307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353"/>
      <c r="R828" s="353"/>
      <c r="S828" s="200"/>
      <c r="T828" s="353"/>
      <c r="U828" s="353"/>
      <c r="V828" s="353"/>
      <c r="W828" s="432"/>
      <c r="X828" s="200"/>
      <c r="Y828" s="200"/>
      <c r="Z828" s="200"/>
      <c r="AA828" s="200"/>
      <c r="AB828" s="200"/>
      <c r="AC828" s="200"/>
      <c r="AD828" s="200"/>
      <c r="AE828" s="200"/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  <c r="AQ828" s="200"/>
      <c r="AR828" s="200"/>
      <c r="AS828" s="200"/>
      <c r="AT828" s="200"/>
    </row>
    <row r="829" spans="1:46" ht="16.5" customHeight="1">
      <c r="A829" s="307"/>
      <c r="B829" s="307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353"/>
      <c r="R829" s="353"/>
      <c r="S829" s="200"/>
      <c r="T829" s="353"/>
      <c r="U829" s="353"/>
      <c r="V829" s="353"/>
      <c r="W829" s="432"/>
      <c r="X829" s="200"/>
      <c r="Y829" s="200"/>
      <c r="Z829" s="200"/>
      <c r="AA829" s="200"/>
      <c r="AB829" s="200"/>
      <c r="AC829" s="200"/>
      <c r="AD829" s="200"/>
      <c r="AE829" s="200"/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  <c r="AQ829" s="200"/>
      <c r="AR829" s="200"/>
      <c r="AS829" s="200"/>
      <c r="AT829" s="200"/>
    </row>
    <row r="830" spans="1:46" ht="16.5" customHeight="1">
      <c r="A830" s="307"/>
      <c r="B830" s="307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353"/>
      <c r="R830" s="353"/>
      <c r="S830" s="200"/>
      <c r="T830" s="353"/>
      <c r="U830" s="353"/>
      <c r="V830" s="353"/>
      <c r="W830" s="432"/>
      <c r="X830" s="200"/>
      <c r="Y830" s="200"/>
      <c r="Z830" s="200"/>
      <c r="AA830" s="200"/>
      <c r="AB830" s="200"/>
      <c r="AC830" s="200"/>
      <c r="AD830" s="200"/>
      <c r="AE830" s="200"/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  <c r="AQ830" s="200"/>
      <c r="AR830" s="200"/>
      <c r="AS830" s="200"/>
      <c r="AT830" s="200"/>
    </row>
    <row r="831" spans="1:46" ht="16.5" customHeight="1">
      <c r="A831" s="307"/>
      <c r="B831" s="307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353"/>
      <c r="R831" s="353"/>
      <c r="S831" s="200"/>
      <c r="T831" s="353"/>
      <c r="U831" s="353"/>
      <c r="V831" s="353"/>
      <c r="W831" s="432"/>
      <c r="X831" s="200"/>
      <c r="Y831" s="200"/>
      <c r="Z831" s="200"/>
      <c r="AA831" s="200"/>
      <c r="AB831" s="200"/>
      <c r="AC831" s="200"/>
      <c r="AD831" s="200"/>
      <c r="AE831" s="200"/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  <c r="AQ831" s="200"/>
      <c r="AR831" s="200"/>
      <c r="AS831" s="200"/>
      <c r="AT831" s="200"/>
    </row>
    <row r="832" spans="1:46" ht="16.5" customHeight="1">
      <c r="A832" s="307"/>
      <c r="B832" s="307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353"/>
      <c r="R832" s="353"/>
      <c r="S832" s="200"/>
      <c r="T832" s="353"/>
      <c r="U832" s="353"/>
      <c r="V832" s="353"/>
      <c r="W832" s="432"/>
      <c r="X832" s="200"/>
      <c r="Y832" s="200"/>
      <c r="Z832" s="200"/>
      <c r="AA832" s="200"/>
      <c r="AB832" s="200"/>
      <c r="AC832" s="200"/>
      <c r="AD832" s="200"/>
      <c r="AE832" s="200"/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  <c r="AQ832" s="200"/>
      <c r="AR832" s="200"/>
      <c r="AS832" s="200"/>
      <c r="AT832" s="200"/>
    </row>
    <row r="833" spans="1:46" ht="16.5" customHeight="1">
      <c r="A833" s="307"/>
      <c r="B833" s="307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353"/>
      <c r="R833" s="353"/>
      <c r="S833" s="200"/>
      <c r="T833" s="353"/>
      <c r="U833" s="353"/>
      <c r="V833" s="353"/>
      <c r="W833" s="432"/>
      <c r="X833" s="200"/>
      <c r="Y833" s="200"/>
      <c r="Z833" s="200"/>
      <c r="AA833" s="200"/>
      <c r="AB833" s="200"/>
      <c r="AC833" s="200"/>
      <c r="AD833" s="200"/>
      <c r="AE833" s="200"/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  <c r="AQ833" s="200"/>
      <c r="AR833" s="200"/>
      <c r="AS833" s="200"/>
      <c r="AT833" s="200"/>
    </row>
    <row r="834" spans="1:46" ht="16.5" customHeight="1">
      <c r="A834" s="307"/>
      <c r="B834" s="307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353"/>
      <c r="R834" s="353"/>
      <c r="S834" s="200"/>
      <c r="T834" s="353"/>
      <c r="U834" s="353"/>
      <c r="V834" s="353"/>
      <c r="W834" s="432"/>
      <c r="X834" s="200"/>
      <c r="Y834" s="200"/>
      <c r="Z834" s="200"/>
      <c r="AA834" s="200"/>
      <c r="AB834" s="200"/>
      <c r="AC834" s="200"/>
      <c r="AD834" s="200"/>
      <c r="AE834" s="200"/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  <c r="AT834" s="200"/>
    </row>
    <row r="835" spans="1:46" ht="16.5" customHeight="1">
      <c r="A835" s="307"/>
      <c r="B835" s="307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353"/>
      <c r="R835" s="353"/>
      <c r="S835" s="200"/>
      <c r="T835" s="353"/>
      <c r="U835" s="353"/>
      <c r="V835" s="353"/>
      <c r="W835" s="432"/>
      <c r="X835" s="200"/>
      <c r="Y835" s="200"/>
      <c r="Z835" s="200"/>
      <c r="AA835" s="200"/>
      <c r="AB835" s="200"/>
      <c r="AC835" s="200"/>
      <c r="AD835" s="200"/>
      <c r="AE835" s="200"/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  <c r="AQ835" s="200"/>
      <c r="AR835" s="200"/>
      <c r="AS835" s="200"/>
      <c r="AT835" s="200"/>
    </row>
    <row r="836" spans="1:46" ht="16.5" customHeight="1">
      <c r="A836" s="307"/>
      <c r="B836" s="307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353"/>
      <c r="R836" s="353"/>
      <c r="S836" s="200"/>
      <c r="T836" s="353"/>
      <c r="U836" s="353"/>
      <c r="V836" s="353"/>
      <c r="W836" s="432"/>
      <c r="X836" s="200"/>
      <c r="Y836" s="200"/>
      <c r="Z836" s="200"/>
      <c r="AA836" s="200"/>
      <c r="AB836" s="200"/>
      <c r="AC836" s="200"/>
      <c r="AD836" s="200"/>
      <c r="AE836" s="200"/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  <c r="AQ836" s="200"/>
      <c r="AR836" s="200"/>
      <c r="AS836" s="200"/>
      <c r="AT836" s="200"/>
    </row>
    <row r="837" spans="1:46" ht="16.5" customHeight="1">
      <c r="A837" s="307"/>
      <c r="B837" s="307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353"/>
      <c r="R837" s="353"/>
      <c r="S837" s="200"/>
      <c r="T837" s="353"/>
      <c r="U837" s="353"/>
      <c r="V837" s="353"/>
      <c r="W837" s="432"/>
      <c r="X837" s="200"/>
      <c r="Y837" s="200"/>
      <c r="Z837" s="200"/>
      <c r="AA837" s="200"/>
      <c r="AB837" s="200"/>
      <c r="AC837" s="200"/>
      <c r="AD837" s="200"/>
      <c r="AE837" s="200"/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  <c r="AT837" s="200"/>
    </row>
    <row r="838" spans="1:46" ht="16.5" customHeight="1">
      <c r="A838" s="307"/>
      <c r="B838" s="307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353"/>
      <c r="R838" s="353"/>
      <c r="S838" s="200"/>
      <c r="T838" s="353"/>
      <c r="U838" s="353"/>
      <c r="V838" s="353"/>
      <c r="W838" s="432"/>
      <c r="X838" s="200"/>
      <c r="Y838" s="200"/>
      <c r="Z838" s="200"/>
      <c r="AA838" s="200"/>
      <c r="AB838" s="200"/>
      <c r="AC838" s="200"/>
      <c r="AD838" s="200"/>
      <c r="AE838" s="200"/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  <c r="AQ838" s="200"/>
      <c r="AR838" s="200"/>
      <c r="AS838" s="200"/>
      <c r="AT838" s="200"/>
    </row>
    <row r="839" spans="1:46" ht="16.5" customHeight="1">
      <c r="A839" s="307"/>
      <c r="B839" s="307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353"/>
      <c r="R839" s="353"/>
      <c r="S839" s="200"/>
      <c r="T839" s="353"/>
      <c r="U839" s="353"/>
      <c r="V839" s="353"/>
      <c r="W839" s="432"/>
      <c r="X839" s="200"/>
      <c r="Y839" s="200"/>
      <c r="Z839" s="200"/>
      <c r="AA839" s="200"/>
      <c r="AB839" s="200"/>
      <c r="AC839" s="200"/>
      <c r="AD839" s="200"/>
      <c r="AE839" s="200"/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  <c r="AQ839" s="200"/>
      <c r="AR839" s="200"/>
      <c r="AS839" s="200"/>
      <c r="AT839" s="200"/>
    </row>
    <row r="840" spans="1:46" ht="16.5" customHeight="1">
      <c r="A840" s="307"/>
      <c r="B840" s="307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353"/>
      <c r="R840" s="353"/>
      <c r="S840" s="200"/>
      <c r="T840" s="353"/>
      <c r="U840" s="353"/>
      <c r="V840" s="353"/>
      <c r="W840" s="432"/>
      <c r="X840" s="200"/>
      <c r="Y840" s="200"/>
      <c r="Z840" s="200"/>
      <c r="AA840" s="200"/>
      <c r="AB840" s="200"/>
      <c r="AC840" s="200"/>
      <c r="AD840" s="200"/>
      <c r="AE840" s="200"/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  <c r="AQ840" s="200"/>
      <c r="AR840" s="200"/>
      <c r="AS840" s="200"/>
      <c r="AT840" s="200"/>
    </row>
    <row r="841" spans="1:46" ht="16.5" customHeight="1">
      <c r="A841" s="307"/>
      <c r="B841" s="307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353"/>
      <c r="R841" s="353"/>
      <c r="S841" s="200"/>
      <c r="T841" s="353"/>
      <c r="U841" s="353"/>
      <c r="V841" s="353"/>
      <c r="W841" s="432"/>
      <c r="X841" s="200"/>
      <c r="Y841" s="200"/>
      <c r="Z841" s="200"/>
      <c r="AA841" s="200"/>
      <c r="AB841" s="200"/>
      <c r="AC841" s="200"/>
      <c r="AD841" s="200"/>
      <c r="AE841" s="200"/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  <c r="AQ841" s="200"/>
      <c r="AR841" s="200"/>
      <c r="AS841" s="200"/>
      <c r="AT841" s="200"/>
    </row>
    <row r="842" spans="1:46" ht="16.5" customHeight="1">
      <c r="A842" s="307"/>
      <c r="B842" s="307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353"/>
      <c r="R842" s="353"/>
      <c r="S842" s="200"/>
      <c r="T842" s="353"/>
      <c r="U842" s="353"/>
      <c r="V842" s="353"/>
      <c r="W842" s="432"/>
      <c r="X842" s="200"/>
      <c r="Y842" s="200"/>
      <c r="Z842" s="200"/>
      <c r="AA842" s="200"/>
      <c r="AB842" s="200"/>
      <c r="AC842" s="200"/>
      <c r="AD842" s="200"/>
      <c r="AE842" s="200"/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  <c r="AQ842" s="200"/>
      <c r="AR842" s="200"/>
      <c r="AS842" s="200"/>
      <c r="AT842" s="200"/>
    </row>
    <row r="843" spans="1:46" ht="16.5" customHeight="1">
      <c r="A843" s="307"/>
      <c r="B843" s="307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353"/>
      <c r="R843" s="353"/>
      <c r="S843" s="200"/>
      <c r="T843" s="353"/>
      <c r="U843" s="353"/>
      <c r="V843" s="353"/>
      <c r="W843" s="432"/>
      <c r="X843" s="200"/>
      <c r="Y843" s="200"/>
      <c r="Z843" s="200"/>
      <c r="AA843" s="200"/>
      <c r="AB843" s="200"/>
      <c r="AC843" s="200"/>
      <c r="AD843" s="200"/>
      <c r="AE843" s="200"/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  <c r="AQ843" s="200"/>
      <c r="AR843" s="200"/>
      <c r="AS843" s="200"/>
      <c r="AT843" s="200"/>
    </row>
    <row r="844" spans="1:46" ht="16.5" customHeight="1">
      <c r="A844" s="307"/>
      <c r="B844" s="307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353"/>
      <c r="R844" s="353"/>
      <c r="S844" s="200"/>
      <c r="T844" s="353"/>
      <c r="U844" s="353"/>
      <c r="V844" s="353"/>
      <c r="W844" s="432"/>
      <c r="X844" s="200"/>
      <c r="Y844" s="200"/>
      <c r="Z844" s="200"/>
      <c r="AA844" s="200"/>
      <c r="AB844" s="200"/>
      <c r="AC844" s="200"/>
      <c r="AD844" s="200"/>
      <c r="AE844" s="200"/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  <c r="AQ844" s="200"/>
      <c r="AR844" s="200"/>
      <c r="AS844" s="200"/>
      <c r="AT844" s="200"/>
    </row>
    <row r="845" spans="1:46" ht="16.5" customHeight="1">
      <c r="A845" s="307"/>
      <c r="B845" s="307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353"/>
      <c r="R845" s="353"/>
      <c r="S845" s="200"/>
      <c r="T845" s="353"/>
      <c r="U845" s="353"/>
      <c r="V845" s="353"/>
      <c r="W845" s="432"/>
      <c r="X845" s="200"/>
      <c r="Y845" s="200"/>
      <c r="Z845" s="200"/>
      <c r="AA845" s="200"/>
      <c r="AB845" s="200"/>
      <c r="AC845" s="200"/>
      <c r="AD845" s="200"/>
      <c r="AE845" s="200"/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  <c r="AQ845" s="200"/>
      <c r="AR845" s="200"/>
      <c r="AS845" s="200"/>
      <c r="AT845" s="200"/>
    </row>
    <row r="846" spans="1:46" ht="16.5" customHeight="1">
      <c r="A846" s="307"/>
      <c r="B846" s="307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353"/>
      <c r="R846" s="353"/>
      <c r="S846" s="200"/>
      <c r="T846" s="353"/>
      <c r="U846" s="353"/>
      <c r="V846" s="353"/>
      <c r="W846" s="432"/>
      <c r="X846" s="200"/>
      <c r="Y846" s="200"/>
      <c r="Z846" s="200"/>
      <c r="AA846" s="200"/>
      <c r="AB846" s="200"/>
      <c r="AC846" s="200"/>
      <c r="AD846" s="200"/>
      <c r="AE846" s="200"/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  <c r="AQ846" s="200"/>
      <c r="AR846" s="200"/>
      <c r="AS846" s="200"/>
      <c r="AT846" s="200"/>
    </row>
    <row r="847" spans="1:46" ht="16.5" customHeight="1">
      <c r="A847" s="307"/>
      <c r="B847" s="307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353"/>
      <c r="R847" s="353"/>
      <c r="S847" s="200"/>
      <c r="T847" s="353"/>
      <c r="U847" s="353"/>
      <c r="V847" s="353"/>
      <c r="W847" s="432"/>
      <c r="X847" s="200"/>
      <c r="Y847" s="200"/>
      <c r="Z847" s="200"/>
      <c r="AA847" s="200"/>
      <c r="AB847" s="200"/>
      <c r="AC847" s="200"/>
      <c r="AD847" s="200"/>
      <c r="AE847" s="200"/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  <c r="AQ847" s="200"/>
      <c r="AR847" s="200"/>
      <c r="AS847" s="200"/>
      <c r="AT847" s="200"/>
    </row>
    <row r="848" spans="1:46" ht="16.5" customHeight="1">
      <c r="A848" s="307"/>
      <c r="B848" s="307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353"/>
      <c r="R848" s="353"/>
      <c r="S848" s="200"/>
      <c r="T848" s="353"/>
      <c r="U848" s="353"/>
      <c r="V848" s="353"/>
      <c r="W848" s="432"/>
      <c r="X848" s="200"/>
      <c r="Y848" s="200"/>
      <c r="Z848" s="200"/>
      <c r="AA848" s="200"/>
      <c r="AB848" s="200"/>
      <c r="AC848" s="200"/>
      <c r="AD848" s="200"/>
      <c r="AE848" s="200"/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  <c r="AQ848" s="200"/>
      <c r="AR848" s="200"/>
      <c r="AS848" s="200"/>
      <c r="AT848" s="200"/>
    </row>
    <row r="849" spans="1:46" ht="16.5" customHeight="1">
      <c r="A849" s="307"/>
      <c r="B849" s="307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353"/>
      <c r="R849" s="353"/>
      <c r="S849" s="200"/>
      <c r="T849" s="353"/>
      <c r="U849" s="353"/>
      <c r="V849" s="353"/>
      <c r="W849" s="432"/>
      <c r="X849" s="200"/>
      <c r="Y849" s="200"/>
      <c r="Z849" s="200"/>
      <c r="AA849" s="200"/>
      <c r="AB849" s="200"/>
      <c r="AC849" s="200"/>
      <c r="AD849" s="200"/>
      <c r="AE849" s="200"/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  <c r="AQ849" s="200"/>
      <c r="AR849" s="200"/>
      <c r="AS849" s="200"/>
      <c r="AT849" s="200"/>
    </row>
    <row r="850" spans="1:46" ht="16.5" customHeight="1">
      <c r="A850" s="307"/>
      <c r="B850" s="307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353"/>
      <c r="R850" s="353"/>
      <c r="S850" s="200"/>
      <c r="T850" s="353"/>
      <c r="U850" s="353"/>
      <c r="V850" s="353"/>
      <c r="W850" s="432"/>
      <c r="X850" s="200"/>
      <c r="Y850" s="200"/>
      <c r="Z850" s="200"/>
      <c r="AA850" s="200"/>
      <c r="AB850" s="200"/>
      <c r="AC850" s="200"/>
      <c r="AD850" s="200"/>
      <c r="AE850" s="200"/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  <c r="AQ850" s="200"/>
      <c r="AR850" s="200"/>
      <c r="AS850" s="200"/>
      <c r="AT850" s="200"/>
    </row>
    <row r="851" spans="1:46" ht="16.5" customHeight="1">
      <c r="A851" s="307"/>
      <c r="B851" s="307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353"/>
      <c r="R851" s="353"/>
      <c r="S851" s="200"/>
      <c r="T851" s="353"/>
      <c r="U851" s="353"/>
      <c r="V851" s="353"/>
      <c r="W851" s="432"/>
      <c r="X851" s="200"/>
      <c r="Y851" s="200"/>
      <c r="Z851" s="200"/>
      <c r="AA851" s="200"/>
      <c r="AB851" s="200"/>
      <c r="AC851" s="200"/>
      <c r="AD851" s="200"/>
      <c r="AE851" s="200"/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  <c r="AQ851" s="200"/>
      <c r="AR851" s="200"/>
      <c r="AS851" s="200"/>
      <c r="AT851" s="200"/>
    </row>
    <row r="852" spans="1:46" ht="16.5" customHeight="1">
      <c r="A852" s="307"/>
      <c r="B852" s="307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353"/>
      <c r="R852" s="353"/>
      <c r="S852" s="200"/>
      <c r="T852" s="353"/>
      <c r="U852" s="353"/>
      <c r="V852" s="353"/>
      <c r="W852" s="432"/>
      <c r="X852" s="200"/>
      <c r="Y852" s="200"/>
      <c r="Z852" s="200"/>
      <c r="AA852" s="200"/>
      <c r="AB852" s="200"/>
      <c r="AC852" s="200"/>
      <c r="AD852" s="200"/>
      <c r="AE852" s="200"/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  <c r="AQ852" s="200"/>
      <c r="AR852" s="200"/>
      <c r="AS852" s="200"/>
      <c r="AT852" s="200"/>
    </row>
    <row r="853" spans="1:46" ht="16.5" customHeight="1">
      <c r="A853" s="307"/>
      <c r="B853" s="307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353"/>
      <c r="R853" s="353"/>
      <c r="S853" s="200"/>
      <c r="T853" s="353"/>
      <c r="U853" s="353"/>
      <c r="V853" s="353"/>
      <c r="W853" s="432"/>
      <c r="X853" s="200"/>
      <c r="Y853" s="200"/>
      <c r="Z853" s="200"/>
      <c r="AA853" s="200"/>
      <c r="AB853" s="200"/>
      <c r="AC853" s="200"/>
      <c r="AD853" s="200"/>
      <c r="AE853" s="200"/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  <c r="AQ853" s="200"/>
      <c r="AR853" s="200"/>
      <c r="AS853" s="200"/>
      <c r="AT853" s="200"/>
    </row>
    <row r="854" spans="1:46" ht="16.5" customHeight="1">
      <c r="A854" s="307"/>
      <c r="B854" s="307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353"/>
      <c r="R854" s="353"/>
      <c r="S854" s="200"/>
      <c r="T854" s="353"/>
      <c r="U854" s="353"/>
      <c r="V854" s="353"/>
      <c r="W854" s="432"/>
      <c r="X854" s="200"/>
      <c r="Y854" s="200"/>
      <c r="Z854" s="200"/>
      <c r="AA854" s="200"/>
      <c r="AB854" s="200"/>
      <c r="AC854" s="200"/>
      <c r="AD854" s="200"/>
      <c r="AE854" s="200"/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  <c r="AQ854" s="200"/>
      <c r="AR854" s="200"/>
      <c r="AS854" s="200"/>
      <c r="AT854" s="200"/>
    </row>
    <row r="855" spans="1:46" ht="16.5" customHeight="1">
      <c r="A855" s="307"/>
      <c r="B855" s="307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353"/>
      <c r="R855" s="353"/>
      <c r="S855" s="200"/>
      <c r="T855" s="353"/>
      <c r="U855" s="353"/>
      <c r="V855" s="353"/>
      <c r="W855" s="432"/>
      <c r="X855" s="200"/>
      <c r="Y855" s="200"/>
      <c r="Z855" s="200"/>
      <c r="AA855" s="200"/>
      <c r="AB855" s="200"/>
      <c r="AC855" s="200"/>
      <c r="AD855" s="200"/>
      <c r="AE855" s="200"/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  <c r="AT855" s="200"/>
    </row>
    <row r="856" spans="1:46" ht="16.5" customHeight="1">
      <c r="A856" s="307"/>
      <c r="B856" s="307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353"/>
      <c r="R856" s="353"/>
      <c r="S856" s="200"/>
      <c r="T856" s="353"/>
      <c r="U856" s="353"/>
      <c r="V856" s="353"/>
      <c r="W856" s="432"/>
      <c r="X856" s="200"/>
      <c r="Y856" s="200"/>
      <c r="Z856" s="200"/>
      <c r="AA856" s="200"/>
      <c r="AB856" s="200"/>
      <c r="AC856" s="200"/>
      <c r="AD856" s="200"/>
      <c r="AE856" s="200"/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  <c r="AQ856" s="200"/>
      <c r="AR856" s="200"/>
      <c r="AS856" s="200"/>
      <c r="AT856" s="200"/>
    </row>
    <row r="857" spans="1:46" ht="16.5" customHeight="1">
      <c r="A857" s="307"/>
      <c r="B857" s="307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353"/>
      <c r="R857" s="353"/>
      <c r="S857" s="200"/>
      <c r="T857" s="353"/>
      <c r="U857" s="353"/>
      <c r="V857" s="353"/>
      <c r="W857" s="432"/>
      <c r="X857" s="200"/>
      <c r="Y857" s="200"/>
      <c r="Z857" s="200"/>
      <c r="AA857" s="200"/>
      <c r="AB857" s="200"/>
      <c r="AC857" s="200"/>
      <c r="AD857" s="200"/>
      <c r="AE857" s="200"/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  <c r="AQ857" s="200"/>
      <c r="AR857" s="200"/>
      <c r="AS857" s="200"/>
      <c r="AT857" s="200"/>
    </row>
    <row r="858" spans="1:46" ht="16.5" customHeight="1">
      <c r="A858" s="307"/>
      <c r="B858" s="307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353"/>
      <c r="R858" s="353"/>
      <c r="S858" s="200"/>
      <c r="T858" s="353"/>
      <c r="U858" s="353"/>
      <c r="V858" s="353"/>
      <c r="W858" s="432"/>
      <c r="X858" s="200"/>
      <c r="Y858" s="200"/>
      <c r="Z858" s="200"/>
      <c r="AA858" s="200"/>
      <c r="AB858" s="200"/>
      <c r="AC858" s="200"/>
      <c r="AD858" s="200"/>
      <c r="AE858" s="200"/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  <c r="AQ858" s="200"/>
      <c r="AR858" s="200"/>
      <c r="AS858" s="200"/>
      <c r="AT858" s="200"/>
    </row>
    <row r="859" spans="1:46" ht="16.5" customHeight="1">
      <c r="A859" s="307"/>
      <c r="B859" s="307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353"/>
      <c r="R859" s="353"/>
      <c r="S859" s="200"/>
      <c r="T859" s="353"/>
      <c r="U859" s="353"/>
      <c r="V859" s="353"/>
      <c r="W859" s="432"/>
      <c r="X859" s="200"/>
      <c r="Y859" s="200"/>
      <c r="Z859" s="200"/>
      <c r="AA859" s="200"/>
      <c r="AB859" s="200"/>
      <c r="AC859" s="200"/>
      <c r="AD859" s="200"/>
      <c r="AE859" s="200"/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  <c r="AQ859" s="200"/>
      <c r="AR859" s="200"/>
      <c r="AS859" s="200"/>
      <c r="AT859" s="200"/>
    </row>
    <row r="860" spans="1:46" ht="16.5" customHeight="1">
      <c r="A860" s="307"/>
      <c r="B860" s="307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353"/>
      <c r="R860" s="353"/>
      <c r="S860" s="200"/>
      <c r="T860" s="353"/>
      <c r="U860" s="353"/>
      <c r="V860" s="353"/>
      <c r="W860" s="432"/>
      <c r="X860" s="200"/>
      <c r="Y860" s="200"/>
      <c r="Z860" s="200"/>
      <c r="AA860" s="200"/>
      <c r="AB860" s="200"/>
      <c r="AC860" s="200"/>
      <c r="AD860" s="200"/>
      <c r="AE860" s="200"/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  <c r="AQ860" s="200"/>
      <c r="AR860" s="200"/>
      <c r="AS860" s="200"/>
      <c r="AT860" s="200"/>
    </row>
    <row r="861" spans="1:46" ht="16.5" customHeight="1">
      <c r="A861" s="307"/>
      <c r="B861" s="307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353"/>
      <c r="R861" s="353"/>
      <c r="S861" s="200"/>
      <c r="T861" s="353"/>
      <c r="U861" s="353"/>
      <c r="V861" s="353"/>
      <c r="W861" s="432"/>
      <c r="X861" s="200"/>
      <c r="Y861" s="200"/>
      <c r="Z861" s="200"/>
      <c r="AA861" s="200"/>
      <c r="AB861" s="200"/>
      <c r="AC861" s="200"/>
      <c r="AD861" s="200"/>
      <c r="AE861" s="200"/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  <c r="AT861" s="200"/>
    </row>
    <row r="862" spans="1:46" ht="16.5" customHeight="1">
      <c r="A862" s="307"/>
      <c r="B862" s="307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353"/>
      <c r="R862" s="353"/>
      <c r="S862" s="200"/>
      <c r="T862" s="353"/>
      <c r="U862" s="353"/>
      <c r="V862" s="353"/>
      <c r="W862" s="432"/>
      <c r="X862" s="200"/>
      <c r="Y862" s="200"/>
      <c r="Z862" s="200"/>
      <c r="AA862" s="200"/>
      <c r="AB862" s="200"/>
      <c r="AC862" s="200"/>
      <c r="AD862" s="200"/>
      <c r="AE862" s="200"/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  <c r="AQ862" s="200"/>
      <c r="AR862" s="200"/>
      <c r="AS862" s="200"/>
      <c r="AT862" s="200"/>
    </row>
    <row r="863" spans="1:46" ht="16.5" customHeight="1">
      <c r="A863" s="307"/>
      <c r="B863" s="307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353"/>
      <c r="R863" s="353"/>
      <c r="S863" s="200"/>
      <c r="T863" s="353"/>
      <c r="U863" s="353"/>
      <c r="V863" s="353"/>
      <c r="W863" s="432"/>
      <c r="X863" s="200"/>
      <c r="Y863" s="200"/>
      <c r="Z863" s="200"/>
      <c r="AA863" s="200"/>
      <c r="AB863" s="200"/>
      <c r="AC863" s="200"/>
      <c r="AD863" s="200"/>
      <c r="AE863" s="200"/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  <c r="AQ863" s="200"/>
      <c r="AR863" s="200"/>
      <c r="AS863" s="200"/>
      <c r="AT863" s="200"/>
    </row>
    <row r="864" spans="1:46" ht="16.5" customHeight="1">
      <c r="A864" s="307"/>
      <c r="B864" s="307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353"/>
      <c r="R864" s="353"/>
      <c r="S864" s="200"/>
      <c r="T864" s="353"/>
      <c r="U864" s="353"/>
      <c r="V864" s="353"/>
      <c r="W864" s="432"/>
      <c r="X864" s="200"/>
      <c r="Y864" s="200"/>
      <c r="Z864" s="200"/>
      <c r="AA864" s="200"/>
      <c r="AB864" s="200"/>
      <c r="AC864" s="200"/>
      <c r="AD864" s="200"/>
      <c r="AE864" s="200"/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  <c r="AQ864" s="200"/>
      <c r="AR864" s="200"/>
      <c r="AS864" s="200"/>
      <c r="AT864" s="200"/>
    </row>
    <row r="865" spans="1:46" ht="16.5" customHeight="1">
      <c r="A865" s="307"/>
      <c r="B865" s="307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353"/>
      <c r="R865" s="353"/>
      <c r="S865" s="200"/>
      <c r="T865" s="353"/>
      <c r="U865" s="353"/>
      <c r="V865" s="353"/>
      <c r="W865" s="432"/>
      <c r="X865" s="200"/>
      <c r="Y865" s="200"/>
      <c r="Z865" s="200"/>
      <c r="AA865" s="200"/>
      <c r="AB865" s="200"/>
      <c r="AC865" s="200"/>
      <c r="AD865" s="200"/>
      <c r="AE865" s="200"/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  <c r="AQ865" s="200"/>
      <c r="AR865" s="200"/>
      <c r="AS865" s="200"/>
      <c r="AT865" s="200"/>
    </row>
    <row r="866" spans="1:46" ht="16.5" customHeight="1">
      <c r="A866" s="307"/>
      <c r="B866" s="307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353"/>
      <c r="R866" s="353"/>
      <c r="S866" s="200"/>
      <c r="T866" s="353"/>
      <c r="U866" s="353"/>
      <c r="V866" s="353"/>
      <c r="W866" s="432"/>
      <c r="X866" s="200"/>
      <c r="Y866" s="200"/>
      <c r="Z866" s="200"/>
      <c r="AA866" s="200"/>
      <c r="AB866" s="200"/>
      <c r="AC866" s="200"/>
      <c r="AD866" s="200"/>
      <c r="AE866" s="200"/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  <c r="AT866" s="200"/>
    </row>
    <row r="867" spans="1:46" ht="16.5" customHeight="1">
      <c r="A867" s="307"/>
      <c r="B867" s="307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353"/>
      <c r="R867" s="353"/>
      <c r="S867" s="200"/>
      <c r="T867" s="353"/>
      <c r="U867" s="353"/>
      <c r="V867" s="353"/>
      <c r="W867" s="432"/>
      <c r="X867" s="200"/>
      <c r="Y867" s="200"/>
      <c r="Z867" s="200"/>
      <c r="AA867" s="200"/>
      <c r="AB867" s="200"/>
      <c r="AC867" s="200"/>
      <c r="AD867" s="200"/>
      <c r="AE867" s="200"/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  <c r="AQ867" s="200"/>
      <c r="AR867" s="200"/>
      <c r="AS867" s="200"/>
      <c r="AT867" s="200"/>
    </row>
    <row r="868" spans="1:46" ht="16.5" customHeight="1">
      <c r="A868" s="307"/>
      <c r="B868" s="307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353"/>
      <c r="R868" s="353"/>
      <c r="S868" s="200"/>
      <c r="T868" s="353"/>
      <c r="U868" s="353"/>
      <c r="V868" s="353"/>
      <c r="W868" s="432"/>
      <c r="X868" s="200"/>
      <c r="Y868" s="200"/>
      <c r="Z868" s="200"/>
      <c r="AA868" s="200"/>
      <c r="AB868" s="200"/>
      <c r="AC868" s="200"/>
      <c r="AD868" s="200"/>
      <c r="AE868" s="200"/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  <c r="AQ868" s="200"/>
      <c r="AR868" s="200"/>
      <c r="AS868" s="200"/>
      <c r="AT868" s="200"/>
    </row>
    <row r="869" spans="1:46" ht="16.5" customHeight="1">
      <c r="A869" s="307"/>
      <c r="B869" s="307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353"/>
      <c r="R869" s="353"/>
      <c r="S869" s="200"/>
      <c r="T869" s="353"/>
      <c r="U869" s="353"/>
      <c r="V869" s="353"/>
      <c r="W869" s="432"/>
      <c r="X869" s="200"/>
      <c r="Y869" s="200"/>
      <c r="Z869" s="200"/>
      <c r="AA869" s="200"/>
      <c r="AB869" s="200"/>
      <c r="AC869" s="200"/>
      <c r="AD869" s="200"/>
      <c r="AE869" s="200"/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  <c r="AQ869" s="200"/>
      <c r="AR869" s="200"/>
      <c r="AS869" s="200"/>
      <c r="AT869" s="200"/>
    </row>
    <row r="870" spans="1:46" ht="16.5" customHeight="1">
      <c r="A870" s="307"/>
      <c r="B870" s="307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353"/>
      <c r="R870" s="353"/>
      <c r="S870" s="200"/>
      <c r="T870" s="353"/>
      <c r="U870" s="353"/>
      <c r="V870" s="353"/>
      <c r="W870" s="432"/>
      <c r="X870" s="200"/>
      <c r="Y870" s="200"/>
      <c r="Z870" s="200"/>
      <c r="AA870" s="200"/>
      <c r="AB870" s="200"/>
      <c r="AC870" s="200"/>
      <c r="AD870" s="200"/>
      <c r="AE870" s="200"/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  <c r="AQ870" s="200"/>
      <c r="AR870" s="200"/>
      <c r="AS870" s="200"/>
      <c r="AT870" s="200"/>
    </row>
    <row r="871" spans="1:46" ht="16.5" customHeight="1">
      <c r="A871" s="307"/>
      <c r="B871" s="307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353"/>
      <c r="R871" s="353"/>
      <c r="S871" s="200"/>
      <c r="T871" s="353"/>
      <c r="U871" s="353"/>
      <c r="V871" s="353"/>
      <c r="W871" s="432"/>
      <c r="X871" s="200"/>
      <c r="Y871" s="200"/>
      <c r="Z871" s="200"/>
      <c r="AA871" s="200"/>
      <c r="AB871" s="200"/>
      <c r="AC871" s="200"/>
      <c r="AD871" s="200"/>
      <c r="AE871" s="200"/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  <c r="AQ871" s="200"/>
      <c r="AR871" s="200"/>
      <c r="AS871" s="200"/>
      <c r="AT871" s="200"/>
    </row>
    <row r="872" spans="1:46" ht="16.5" customHeight="1">
      <c r="A872" s="307"/>
      <c r="B872" s="307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353"/>
      <c r="R872" s="353"/>
      <c r="S872" s="200"/>
      <c r="T872" s="353"/>
      <c r="U872" s="353"/>
      <c r="V872" s="353"/>
      <c r="W872" s="432"/>
      <c r="X872" s="200"/>
      <c r="Y872" s="200"/>
      <c r="Z872" s="200"/>
      <c r="AA872" s="200"/>
      <c r="AB872" s="200"/>
      <c r="AC872" s="200"/>
      <c r="AD872" s="200"/>
      <c r="AE872" s="200"/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  <c r="AT872" s="200"/>
    </row>
    <row r="873" spans="1:46" ht="16.5" customHeight="1">
      <c r="A873" s="307"/>
      <c r="B873" s="307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353"/>
      <c r="R873" s="353"/>
      <c r="S873" s="200"/>
      <c r="T873" s="353"/>
      <c r="U873" s="353"/>
      <c r="V873" s="353"/>
      <c r="W873" s="432"/>
      <c r="X873" s="200"/>
      <c r="Y873" s="200"/>
      <c r="Z873" s="200"/>
      <c r="AA873" s="200"/>
      <c r="AB873" s="200"/>
      <c r="AC873" s="200"/>
      <c r="AD873" s="200"/>
      <c r="AE873" s="200"/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  <c r="AQ873" s="200"/>
      <c r="AR873" s="200"/>
      <c r="AS873" s="200"/>
      <c r="AT873" s="200"/>
    </row>
    <row r="874" spans="1:46" ht="16.5" customHeight="1">
      <c r="A874" s="307"/>
      <c r="B874" s="307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353"/>
      <c r="R874" s="353"/>
      <c r="S874" s="200"/>
      <c r="T874" s="353"/>
      <c r="U874" s="353"/>
      <c r="V874" s="353"/>
      <c r="W874" s="432"/>
      <c r="X874" s="200"/>
      <c r="Y874" s="200"/>
      <c r="Z874" s="200"/>
      <c r="AA874" s="200"/>
      <c r="AB874" s="200"/>
      <c r="AC874" s="200"/>
      <c r="AD874" s="200"/>
      <c r="AE874" s="200"/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  <c r="AQ874" s="200"/>
      <c r="AR874" s="200"/>
      <c r="AS874" s="200"/>
      <c r="AT874" s="200"/>
    </row>
    <row r="875" spans="1:46" ht="16.5" customHeight="1">
      <c r="A875" s="307"/>
      <c r="B875" s="307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353"/>
      <c r="R875" s="353"/>
      <c r="S875" s="200"/>
      <c r="T875" s="353"/>
      <c r="U875" s="353"/>
      <c r="V875" s="353"/>
      <c r="W875" s="432"/>
      <c r="X875" s="200"/>
      <c r="Y875" s="200"/>
      <c r="Z875" s="200"/>
      <c r="AA875" s="200"/>
      <c r="AB875" s="200"/>
      <c r="AC875" s="200"/>
      <c r="AD875" s="200"/>
      <c r="AE875" s="200"/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  <c r="AQ875" s="200"/>
      <c r="AR875" s="200"/>
      <c r="AS875" s="200"/>
      <c r="AT875" s="200"/>
    </row>
    <row r="876" spans="1:46" ht="16.5" customHeight="1">
      <c r="A876" s="307"/>
      <c r="B876" s="307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353"/>
      <c r="R876" s="353"/>
      <c r="S876" s="200"/>
      <c r="T876" s="353"/>
      <c r="U876" s="353"/>
      <c r="V876" s="353"/>
      <c r="W876" s="432"/>
      <c r="X876" s="200"/>
      <c r="Y876" s="200"/>
      <c r="Z876" s="200"/>
      <c r="AA876" s="200"/>
      <c r="AB876" s="200"/>
      <c r="AC876" s="200"/>
      <c r="AD876" s="200"/>
      <c r="AE876" s="200"/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  <c r="AQ876" s="200"/>
      <c r="AR876" s="200"/>
      <c r="AS876" s="200"/>
      <c r="AT876" s="200"/>
    </row>
    <row r="877" spans="1:46" ht="16.5" customHeight="1">
      <c r="A877" s="307"/>
      <c r="B877" s="307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353"/>
      <c r="R877" s="353"/>
      <c r="S877" s="200"/>
      <c r="T877" s="353"/>
      <c r="U877" s="353"/>
      <c r="V877" s="353"/>
      <c r="W877" s="432"/>
      <c r="X877" s="200"/>
      <c r="Y877" s="200"/>
      <c r="Z877" s="200"/>
      <c r="AA877" s="200"/>
      <c r="AB877" s="200"/>
      <c r="AC877" s="200"/>
      <c r="AD877" s="200"/>
      <c r="AE877" s="200"/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  <c r="AT877" s="200"/>
    </row>
    <row r="878" spans="1:46" ht="16.5" customHeight="1">
      <c r="A878" s="307"/>
      <c r="B878" s="307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353"/>
      <c r="R878" s="353"/>
      <c r="S878" s="200"/>
      <c r="T878" s="353"/>
      <c r="U878" s="353"/>
      <c r="V878" s="353"/>
      <c r="W878" s="432"/>
      <c r="X878" s="200"/>
      <c r="Y878" s="200"/>
      <c r="Z878" s="200"/>
      <c r="AA878" s="200"/>
      <c r="AB878" s="200"/>
      <c r="AC878" s="200"/>
      <c r="AD878" s="200"/>
      <c r="AE878" s="200"/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  <c r="AQ878" s="200"/>
      <c r="AR878" s="200"/>
      <c r="AS878" s="200"/>
      <c r="AT878" s="200"/>
    </row>
    <row r="879" spans="1:46" ht="16.5" customHeight="1">
      <c r="A879" s="307"/>
      <c r="B879" s="307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353"/>
      <c r="R879" s="353"/>
      <c r="S879" s="200"/>
      <c r="T879" s="353"/>
      <c r="U879" s="353"/>
      <c r="V879" s="353"/>
      <c r="W879" s="432"/>
      <c r="X879" s="200"/>
      <c r="Y879" s="200"/>
      <c r="Z879" s="200"/>
      <c r="AA879" s="200"/>
      <c r="AB879" s="200"/>
      <c r="AC879" s="200"/>
      <c r="AD879" s="200"/>
      <c r="AE879" s="200"/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  <c r="AQ879" s="200"/>
      <c r="AR879" s="200"/>
      <c r="AS879" s="200"/>
      <c r="AT879" s="200"/>
    </row>
    <row r="880" spans="1:46" ht="16.5" customHeight="1">
      <c r="A880" s="307"/>
      <c r="B880" s="307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353"/>
      <c r="R880" s="353"/>
      <c r="S880" s="200"/>
      <c r="T880" s="353"/>
      <c r="U880" s="353"/>
      <c r="V880" s="353"/>
      <c r="W880" s="432"/>
      <c r="X880" s="200"/>
      <c r="Y880" s="200"/>
      <c r="Z880" s="200"/>
      <c r="AA880" s="200"/>
      <c r="AB880" s="200"/>
      <c r="AC880" s="200"/>
      <c r="AD880" s="200"/>
      <c r="AE880" s="200"/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  <c r="AQ880" s="200"/>
      <c r="AR880" s="200"/>
      <c r="AS880" s="200"/>
      <c r="AT880" s="200"/>
    </row>
    <row r="881" spans="1:46" ht="16.5" customHeight="1">
      <c r="A881" s="307"/>
      <c r="B881" s="307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353"/>
      <c r="R881" s="353"/>
      <c r="S881" s="200"/>
      <c r="T881" s="353"/>
      <c r="U881" s="353"/>
      <c r="V881" s="353"/>
      <c r="W881" s="432"/>
      <c r="X881" s="200"/>
      <c r="Y881" s="200"/>
      <c r="Z881" s="200"/>
      <c r="AA881" s="200"/>
      <c r="AB881" s="200"/>
      <c r="AC881" s="200"/>
      <c r="AD881" s="200"/>
      <c r="AE881" s="200"/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  <c r="AQ881" s="200"/>
      <c r="AR881" s="200"/>
      <c r="AS881" s="200"/>
      <c r="AT881" s="200"/>
    </row>
    <row r="882" spans="1:46" ht="16.5" customHeight="1">
      <c r="A882" s="307"/>
      <c r="B882" s="307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353"/>
      <c r="R882" s="353"/>
      <c r="S882" s="200"/>
      <c r="T882" s="353"/>
      <c r="U882" s="353"/>
      <c r="V882" s="353"/>
      <c r="W882" s="432"/>
      <c r="X882" s="200"/>
      <c r="Y882" s="200"/>
      <c r="Z882" s="200"/>
      <c r="AA882" s="200"/>
      <c r="AB882" s="200"/>
      <c r="AC882" s="200"/>
      <c r="AD882" s="200"/>
      <c r="AE882" s="200"/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  <c r="AQ882" s="200"/>
      <c r="AR882" s="200"/>
      <c r="AS882" s="200"/>
      <c r="AT882" s="200"/>
    </row>
    <row r="883" spans="1:46" ht="16.5" customHeight="1">
      <c r="A883" s="307"/>
      <c r="B883" s="307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353"/>
      <c r="R883" s="353"/>
      <c r="S883" s="200"/>
      <c r="T883" s="353"/>
      <c r="U883" s="353"/>
      <c r="V883" s="353"/>
      <c r="W883" s="432"/>
      <c r="X883" s="200"/>
      <c r="Y883" s="200"/>
      <c r="Z883" s="200"/>
      <c r="AA883" s="200"/>
      <c r="AB883" s="200"/>
      <c r="AC883" s="200"/>
      <c r="AD883" s="200"/>
      <c r="AE883" s="200"/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</row>
    <row r="884" spans="1:46" ht="16.5" customHeight="1">
      <c r="A884" s="307"/>
      <c r="B884" s="307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353"/>
      <c r="R884" s="353"/>
      <c r="S884" s="200"/>
      <c r="T884" s="353"/>
      <c r="U884" s="353"/>
      <c r="V884" s="353"/>
      <c r="W884" s="432"/>
      <c r="X884" s="200"/>
      <c r="Y884" s="200"/>
      <c r="Z884" s="200"/>
      <c r="AA884" s="200"/>
      <c r="AB884" s="200"/>
      <c r="AC884" s="200"/>
      <c r="AD884" s="200"/>
      <c r="AE884" s="200"/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  <c r="AQ884" s="200"/>
      <c r="AR884" s="200"/>
      <c r="AS884" s="200"/>
      <c r="AT884" s="200"/>
    </row>
    <row r="885" spans="1:46" ht="16.5" customHeight="1">
      <c r="A885" s="307"/>
      <c r="B885" s="307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353"/>
      <c r="R885" s="353"/>
      <c r="S885" s="200"/>
      <c r="T885" s="353"/>
      <c r="U885" s="353"/>
      <c r="V885" s="353"/>
      <c r="W885" s="432"/>
      <c r="X885" s="200"/>
      <c r="Y885" s="200"/>
      <c r="Z885" s="200"/>
      <c r="AA885" s="200"/>
      <c r="AB885" s="200"/>
      <c r="AC885" s="200"/>
      <c r="AD885" s="200"/>
      <c r="AE885" s="200"/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  <c r="AQ885" s="200"/>
      <c r="AR885" s="200"/>
      <c r="AS885" s="200"/>
      <c r="AT885" s="200"/>
    </row>
    <row r="886" spans="1:46" ht="16.5" customHeight="1">
      <c r="A886" s="307"/>
      <c r="B886" s="307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353"/>
      <c r="R886" s="353"/>
      <c r="S886" s="200"/>
      <c r="T886" s="353"/>
      <c r="U886" s="353"/>
      <c r="V886" s="353"/>
      <c r="W886" s="432"/>
      <c r="X886" s="200"/>
      <c r="Y886" s="200"/>
      <c r="Z886" s="200"/>
      <c r="AA886" s="200"/>
      <c r="AB886" s="200"/>
      <c r="AC886" s="200"/>
      <c r="AD886" s="200"/>
      <c r="AE886" s="200"/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  <c r="AQ886" s="200"/>
      <c r="AR886" s="200"/>
      <c r="AS886" s="200"/>
      <c r="AT886" s="200"/>
    </row>
    <row r="887" spans="1:46" ht="16.5" customHeight="1">
      <c r="A887" s="307"/>
      <c r="B887" s="307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353"/>
      <c r="R887" s="353"/>
      <c r="S887" s="200"/>
      <c r="T887" s="353"/>
      <c r="U887" s="353"/>
      <c r="V887" s="353"/>
      <c r="W887" s="432"/>
      <c r="X887" s="200"/>
      <c r="Y887" s="200"/>
      <c r="Z887" s="200"/>
      <c r="AA887" s="200"/>
      <c r="AB887" s="200"/>
      <c r="AC887" s="200"/>
      <c r="AD887" s="200"/>
      <c r="AE887" s="200"/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  <c r="AQ887" s="200"/>
      <c r="AR887" s="200"/>
      <c r="AS887" s="200"/>
      <c r="AT887" s="200"/>
    </row>
    <row r="888" spans="1:46" ht="16.5" customHeight="1">
      <c r="A888" s="307"/>
      <c r="B888" s="307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353"/>
      <c r="R888" s="353"/>
      <c r="S888" s="200"/>
      <c r="T888" s="353"/>
      <c r="U888" s="353"/>
      <c r="V888" s="353"/>
      <c r="W888" s="432"/>
      <c r="X888" s="200"/>
      <c r="Y888" s="200"/>
      <c r="Z888" s="200"/>
      <c r="AA888" s="200"/>
      <c r="AB888" s="200"/>
      <c r="AC888" s="200"/>
      <c r="AD888" s="200"/>
      <c r="AE888" s="200"/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  <c r="AT888" s="200"/>
    </row>
    <row r="889" spans="1:46" ht="16.5" customHeight="1">
      <c r="A889" s="307"/>
      <c r="B889" s="307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353"/>
      <c r="R889" s="353"/>
      <c r="S889" s="200"/>
      <c r="T889" s="353"/>
      <c r="U889" s="353"/>
      <c r="V889" s="353"/>
      <c r="W889" s="432"/>
      <c r="X889" s="200"/>
      <c r="Y889" s="200"/>
      <c r="Z889" s="200"/>
      <c r="AA889" s="200"/>
      <c r="AB889" s="200"/>
      <c r="AC889" s="200"/>
      <c r="AD889" s="200"/>
      <c r="AE889" s="200"/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  <c r="AQ889" s="200"/>
      <c r="AR889" s="200"/>
      <c r="AS889" s="200"/>
      <c r="AT889" s="200"/>
    </row>
    <row r="890" spans="1:46" ht="16.5" customHeight="1">
      <c r="A890" s="307"/>
      <c r="B890" s="307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353"/>
      <c r="R890" s="353"/>
      <c r="S890" s="200"/>
      <c r="T890" s="353"/>
      <c r="U890" s="353"/>
      <c r="V890" s="353"/>
      <c r="W890" s="432"/>
      <c r="X890" s="200"/>
      <c r="Y890" s="200"/>
      <c r="Z890" s="200"/>
      <c r="AA890" s="200"/>
      <c r="AB890" s="200"/>
      <c r="AC890" s="200"/>
      <c r="AD890" s="200"/>
      <c r="AE890" s="200"/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  <c r="AT890" s="200"/>
    </row>
    <row r="891" spans="1:46" ht="16.5" customHeight="1">
      <c r="A891" s="307"/>
      <c r="B891" s="307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353"/>
      <c r="R891" s="353"/>
      <c r="S891" s="200"/>
      <c r="T891" s="353"/>
      <c r="U891" s="353"/>
      <c r="V891" s="353"/>
      <c r="W891" s="432"/>
      <c r="X891" s="200"/>
      <c r="Y891" s="200"/>
      <c r="Z891" s="200"/>
      <c r="AA891" s="200"/>
      <c r="AB891" s="200"/>
      <c r="AC891" s="200"/>
      <c r="AD891" s="200"/>
      <c r="AE891" s="200"/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  <c r="AQ891" s="200"/>
      <c r="AR891" s="200"/>
      <c r="AS891" s="200"/>
      <c r="AT891" s="200"/>
    </row>
    <row r="892" spans="1:46" ht="16.5" customHeight="1">
      <c r="A892" s="307"/>
      <c r="B892" s="307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353"/>
      <c r="R892" s="353"/>
      <c r="S892" s="200"/>
      <c r="T892" s="353"/>
      <c r="U892" s="353"/>
      <c r="V892" s="353"/>
      <c r="W892" s="432"/>
      <c r="X892" s="200"/>
      <c r="Y892" s="200"/>
      <c r="Z892" s="200"/>
      <c r="AA892" s="200"/>
      <c r="AB892" s="200"/>
      <c r="AC892" s="200"/>
      <c r="AD892" s="200"/>
      <c r="AE892" s="200"/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  <c r="AQ892" s="200"/>
      <c r="AR892" s="200"/>
      <c r="AS892" s="200"/>
      <c r="AT892" s="200"/>
    </row>
    <row r="893" spans="1:46" ht="16.5" customHeight="1">
      <c r="A893" s="307"/>
      <c r="B893" s="307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353"/>
      <c r="R893" s="353"/>
      <c r="S893" s="200"/>
      <c r="T893" s="353"/>
      <c r="U893" s="353"/>
      <c r="V893" s="353"/>
      <c r="W893" s="432"/>
      <c r="X893" s="200"/>
      <c r="Y893" s="200"/>
      <c r="Z893" s="200"/>
      <c r="AA893" s="200"/>
      <c r="AB893" s="200"/>
      <c r="AC893" s="200"/>
      <c r="AD893" s="200"/>
      <c r="AE893" s="200"/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  <c r="AQ893" s="200"/>
      <c r="AR893" s="200"/>
      <c r="AS893" s="200"/>
      <c r="AT893" s="200"/>
    </row>
    <row r="894" spans="1:46" ht="16.5" customHeight="1">
      <c r="A894" s="307"/>
      <c r="B894" s="307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353"/>
      <c r="R894" s="353"/>
      <c r="S894" s="200"/>
      <c r="T894" s="353"/>
      <c r="U894" s="353"/>
      <c r="V894" s="353"/>
      <c r="W894" s="432"/>
      <c r="X894" s="200"/>
      <c r="Y894" s="200"/>
      <c r="Z894" s="200"/>
      <c r="AA894" s="200"/>
      <c r="AB894" s="200"/>
      <c r="AC894" s="200"/>
      <c r="AD894" s="200"/>
      <c r="AE894" s="200"/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  <c r="AT894" s="200"/>
    </row>
    <row r="895" spans="1:46" ht="16.5" customHeight="1">
      <c r="A895" s="307"/>
      <c r="B895" s="307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353"/>
      <c r="R895" s="353"/>
      <c r="S895" s="200"/>
      <c r="T895" s="353"/>
      <c r="U895" s="353"/>
      <c r="V895" s="353"/>
      <c r="W895" s="432"/>
      <c r="X895" s="200"/>
      <c r="Y895" s="200"/>
      <c r="Z895" s="200"/>
      <c r="AA895" s="200"/>
      <c r="AB895" s="200"/>
      <c r="AC895" s="200"/>
      <c r="AD895" s="200"/>
      <c r="AE895" s="200"/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  <c r="AQ895" s="200"/>
      <c r="AR895" s="200"/>
      <c r="AS895" s="200"/>
      <c r="AT895" s="200"/>
    </row>
    <row r="896" spans="1:46" ht="16.5" customHeight="1">
      <c r="A896" s="307"/>
      <c r="B896" s="307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353"/>
      <c r="R896" s="353"/>
      <c r="S896" s="200"/>
      <c r="T896" s="353"/>
      <c r="U896" s="353"/>
      <c r="V896" s="353"/>
      <c r="W896" s="432"/>
      <c r="X896" s="200"/>
      <c r="Y896" s="200"/>
      <c r="Z896" s="200"/>
      <c r="AA896" s="200"/>
      <c r="AB896" s="200"/>
      <c r="AC896" s="200"/>
      <c r="AD896" s="200"/>
      <c r="AE896" s="200"/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  <c r="AQ896" s="200"/>
      <c r="AR896" s="200"/>
      <c r="AS896" s="200"/>
      <c r="AT896" s="200"/>
    </row>
    <row r="897" spans="1:46" ht="16.5" customHeight="1">
      <c r="A897" s="307"/>
      <c r="B897" s="307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353"/>
      <c r="R897" s="353"/>
      <c r="S897" s="200"/>
      <c r="T897" s="353"/>
      <c r="U897" s="353"/>
      <c r="V897" s="353"/>
      <c r="W897" s="432"/>
      <c r="X897" s="200"/>
      <c r="Y897" s="200"/>
      <c r="Z897" s="200"/>
      <c r="AA897" s="200"/>
      <c r="AB897" s="200"/>
      <c r="AC897" s="200"/>
      <c r="AD897" s="200"/>
      <c r="AE897" s="200"/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  <c r="AQ897" s="200"/>
      <c r="AR897" s="200"/>
      <c r="AS897" s="200"/>
      <c r="AT897" s="200"/>
    </row>
    <row r="898" spans="1:46" ht="16.5" customHeight="1">
      <c r="A898" s="307"/>
      <c r="B898" s="307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353"/>
      <c r="R898" s="353"/>
      <c r="S898" s="200"/>
      <c r="T898" s="353"/>
      <c r="U898" s="353"/>
      <c r="V898" s="353"/>
      <c r="W898" s="432"/>
      <c r="X898" s="200"/>
      <c r="Y898" s="200"/>
      <c r="Z898" s="200"/>
      <c r="AA898" s="200"/>
      <c r="AB898" s="200"/>
      <c r="AC898" s="200"/>
      <c r="AD898" s="200"/>
      <c r="AE898" s="200"/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  <c r="AT898" s="200"/>
    </row>
    <row r="899" spans="1:46" ht="16.5" customHeight="1">
      <c r="A899" s="307"/>
      <c r="B899" s="307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353"/>
      <c r="R899" s="353"/>
      <c r="S899" s="200"/>
      <c r="T899" s="353"/>
      <c r="U899" s="353"/>
      <c r="V899" s="353"/>
      <c r="W899" s="432"/>
      <c r="X899" s="200"/>
      <c r="Y899" s="200"/>
      <c r="Z899" s="200"/>
      <c r="AA899" s="200"/>
      <c r="AB899" s="200"/>
      <c r="AC899" s="200"/>
      <c r="AD899" s="200"/>
      <c r="AE899" s="200"/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  <c r="AT899" s="200"/>
    </row>
    <row r="900" spans="1:46" ht="16.5" customHeight="1">
      <c r="A900" s="307"/>
      <c r="B900" s="307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353"/>
      <c r="R900" s="353"/>
      <c r="S900" s="200"/>
      <c r="T900" s="353"/>
      <c r="U900" s="353"/>
      <c r="V900" s="353"/>
      <c r="W900" s="432"/>
      <c r="X900" s="200"/>
      <c r="Y900" s="200"/>
      <c r="Z900" s="200"/>
      <c r="AA900" s="200"/>
      <c r="AB900" s="200"/>
      <c r="AC900" s="200"/>
      <c r="AD900" s="200"/>
      <c r="AE900" s="200"/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  <c r="AQ900" s="200"/>
      <c r="AR900" s="200"/>
      <c r="AS900" s="200"/>
      <c r="AT900" s="200"/>
    </row>
    <row r="901" spans="1:46" ht="16.5" customHeight="1">
      <c r="A901" s="307"/>
      <c r="B901" s="307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353"/>
      <c r="R901" s="353"/>
      <c r="S901" s="200"/>
      <c r="T901" s="353"/>
      <c r="U901" s="353"/>
      <c r="V901" s="353"/>
      <c r="W901" s="432"/>
      <c r="X901" s="200"/>
      <c r="Y901" s="200"/>
      <c r="Z901" s="200"/>
      <c r="AA901" s="200"/>
      <c r="AB901" s="200"/>
      <c r="AC901" s="200"/>
      <c r="AD901" s="200"/>
      <c r="AE901" s="200"/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  <c r="AT901" s="200"/>
    </row>
    <row r="902" spans="1:46" ht="16.5" customHeight="1">
      <c r="A902" s="307"/>
      <c r="B902" s="307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353"/>
      <c r="R902" s="353"/>
      <c r="S902" s="200"/>
      <c r="T902" s="353"/>
      <c r="U902" s="353"/>
      <c r="V902" s="353"/>
      <c r="W902" s="432"/>
      <c r="X902" s="200"/>
      <c r="Y902" s="200"/>
      <c r="Z902" s="200"/>
      <c r="AA902" s="200"/>
      <c r="AB902" s="200"/>
      <c r="AC902" s="200"/>
      <c r="AD902" s="200"/>
      <c r="AE902" s="200"/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  <c r="AQ902" s="200"/>
      <c r="AR902" s="200"/>
      <c r="AS902" s="200"/>
      <c r="AT902" s="200"/>
    </row>
    <row r="903" spans="1:46" ht="16.5" customHeight="1">
      <c r="A903" s="307"/>
      <c r="B903" s="307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353"/>
      <c r="R903" s="353"/>
      <c r="S903" s="200"/>
      <c r="T903" s="353"/>
      <c r="U903" s="353"/>
      <c r="V903" s="353"/>
      <c r="W903" s="432"/>
      <c r="X903" s="200"/>
      <c r="Y903" s="200"/>
      <c r="Z903" s="200"/>
      <c r="AA903" s="200"/>
      <c r="AB903" s="200"/>
      <c r="AC903" s="200"/>
      <c r="AD903" s="200"/>
      <c r="AE903" s="200"/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  <c r="AQ903" s="200"/>
      <c r="AR903" s="200"/>
      <c r="AS903" s="200"/>
      <c r="AT903" s="200"/>
    </row>
    <row r="904" spans="1:46" ht="16.5" customHeight="1">
      <c r="A904" s="307"/>
      <c r="B904" s="307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353"/>
      <c r="R904" s="353"/>
      <c r="S904" s="200"/>
      <c r="T904" s="353"/>
      <c r="U904" s="353"/>
      <c r="V904" s="353"/>
      <c r="W904" s="432"/>
      <c r="X904" s="200"/>
      <c r="Y904" s="200"/>
      <c r="Z904" s="200"/>
      <c r="AA904" s="200"/>
      <c r="AB904" s="200"/>
      <c r="AC904" s="200"/>
      <c r="AD904" s="200"/>
      <c r="AE904" s="200"/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  <c r="AT904" s="200"/>
    </row>
    <row r="905" spans="1:46" ht="16.5" customHeight="1">
      <c r="A905" s="307"/>
      <c r="B905" s="307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353"/>
      <c r="R905" s="353"/>
      <c r="S905" s="200"/>
      <c r="T905" s="353"/>
      <c r="U905" s="353"/>
      <c r="V905" s="353"/>
      <c r="W905" s="432"/>
      <c r="X905" s="200"/>
      <c r="Y905" s="200"/>
      <c r="Z905" s="200"/>
      <c r="AA905" s="200"/>
      <c r="AB905" s="200"/>
      <c r="AC905" s="200"/>
      <c r="AD905" s="200"/>
      <c r="AE905" s="200"/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  <c r="AT905" s="200"/>
    </row>
    <row r="906" spans="1:46" ht="16.5" customHeight="1">
      <c r="A906" s="307"/>
      <c r="B906" s="307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353"/>
      <c r="R906" s="353"/>
      <c r="S906" s="200"/>
      <c r="T906" s="353"/>
      <c r="U906" s="353"/>
      <c r="V906" s="353"/>
      <c r="W906" s="432"/>
      <c r="X906" s="200"/>
      <c r="Y906" s="200"/>
      <c r="Z906" s="200"/>
      <c r="AA906" s="200"/>
      <c r="AB906" s="200"/>
      <c r="AC906" s="200"/>
      <c r="AD906" s="200"/>
      <c r="AE906" s="200"/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  <c r="AQ906" s="200"/>
      <c r="AR906" s="200"/>
      <c r="AS906" s="200"/>
      <c r="AT906" s="200"/>
    </row>
    <row r="907" spans="1:46" ht="16.5" customHeight="1">
      <c r="A907" s="307"/>
      <c r="B907" s="307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353"/>
      <c r="R907" s="353"/>
      <c r="S907" s="200"/>
      <c r="T907" s="353"/>
      <c r="U907" s="353"/>
      <c r="V907" s="353"/>
      <c r="W907" s="432"/>
      <c r="X907" s="200"/>
      <c r="Y907" s="200"/>
      <c r="Z907" s="200"/>
      <c r="AA907" s="200"/>
      <c r="AB907" s="200"/>
      <c r="AC907" s="200"/>
      <c r="AD907" s="200"/>
      <c r="AE907" s="200"/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  <c r="AQ907" s="200"/>
      <c r="AR907" s="200"/>
      <c r="AS907" s="200"/>
      <c r="AT907" s="200"/>
    </row>
    <row r="908" spans="1:46" ht="16.5" customHeight="1">
      <c r="A908" s="307"/>
      <c r="B908" s="307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353"/>
      <c r="R908" s="353"/>
      <c r="S908" s="200"/>
      <c r="T908" s="353"/>
      <c r="U908" s="353"/>
      <c r="V908" s="353"/>
      <c r="W908" s="432"/>
      <c r="X908" s="200"/>
      <c r="Y908" s="200"/>
      <c r="Z908" s="200"/>
      <c r="AA908" s="200"/>
      <c r="AB908" s="200"/>
      <c r="AC908" s="200"/>
      <c r="AD908" s="200"/>
      <c r="AE908" s="200"/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  <c r="AQ908" s="200"/>
      <c r="AR908" s="200"/>
      <c r="AS908" s="200"/>
      <c r="AT908" s="200"/>
    </row>
    <row r="909" spans="1:46" ht="16.5" customHeight="1">
      <c r="A909" s="307"/>
      <c r="B909" s="307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353"/>
      <c r="R909" s="353"/>
      <c r="S909" s="200"/>
      <c r="T909" s="353"/>
      <c r="U909" s="353"/>
      <c r="V909" s="353"/>
      <c r="W909" s="432"/>
      <c r="X909" s="200"/>
      <c r="Y909" s="200"/>
      <c r="Z909" s="200"/>
      <c r="AA909" s="200"/>
      <c r="AB909" s="200"/>
      <c r="AC909" s="200"/>
      <c r="AD909" s="200"/>
      <c r="AE909" s="200"/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  <c r="AQ909" s="200"/>
      <c r="AR909" s="200"/>
      <c r="AS909" s="200"/>
      <c r="AT909" s="200"/>
    </row>
    <row r="910" spans="1:46" ht="16.5" customHeight="1">
      <c r="A910" s="307"/>
      <c r="B910" s="307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353"/>
      <c r="R910" s="353"/>
      <c r="S910" s="200"/>
      <c r="T910" s="353"/>
      <c r="U910" s="353"/>
      <c r="V910" s="353"/>
      <c r="W910" s="432"/>
      <c r="X910" s="200"/>
      <c r="Y910" s="200"/>
      <c r="Z910" s="200"/>
      <c r="AA910" s="200"/>
      <c r="AB910" s="200"/>
      <c r="AC910" s="200"/>
      <c r="AD910" s="200"/>
      <c r="AE910" s="200"/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</row>
    <row r="911" spans="1:46" ht="16.5" customHeight="1">
      <c r="A911" s="307"/>
      <c r="B911" s="307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353"/>
      <c r="R911" s="353"/>
      <c r="S911" s="200"/>
      <c r="T911" s="353"/>
      <c r="U911" s="353"/>
      <c r="V911" s="353"/>
      <c r="W911" s="432"/>
      <c r="X911" s="200"/>
      <c r="Y911" s="200"/>
      <c r="Z911" s="200"/>
      <c r="AA911" s="200"/>
      <c r="AB911" s="200"/>
      <c r="AC911" s="200"/>
      <c r="AD911" s="200"/>
      <c r="AE911" s="200"/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  <c r="AQ911" s="200"/>
      <c r="AR911" s="200"/>
      <c r="AS911" s="200"/>
      <c r="AT911" s="200"/>
    </row>
    <row r="912" spans="1:46" ht="16.5" customHeight="1">
      <c r="A912" s="307"/>
      <c r="B912" s="307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353"/>
      <c r="R912" s="353"/>
      <c r="S912" s="200"/>
      <c r="T912" s="353"/>
      <c r="U912" s="353"/>
      <c r="V912" s="353"/>
      <c r="W912" s="432"/>
      <c r="X912" s="200"/>
      <c r="Y912" s="200"/>
      <c r="Z912" s="200"/>
      <c r="AA912" s="200"/>
      <c r="AB912" s="200"/>
      <c r="AC912" s="200"/>
      <c r="AD912" s="200"/>
      <c r="AE912" s="200"/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  <c r="AQ912" s="200"/>
      <c r="AR912" s="200"/>
      <c r="AS912" s="200"/>
      <c r="AT912" s="200"/>
    </row>
    <row r="913" spans="1:46" ht="16.5" customHeight="1">
      <c r="A913" s="307"/>
      <c r="B913" s="307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353"/>
      <c r="R913" s="353"/>
      <c r="S913" s="200"/>
      <c r="T913" s="353"/>
      <c r="U913" s="353"/>
      <c r="V913" s="353"/>
      <c r="W913" s="432"/>
      <c r="X913" s="200"/>
      <c r="Y913" s="200"/>
      <c r="Z913" s="200"/>
      <c r="AA913" s="200"/>
      <c r="AB913" s="200"/>
      <c r="AC913" s="200"/>
      <c r="AD913" s="200"/>
      <c r="AE913" s="200"/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  <c r="AQ913" s="200"/>
      <c r="AR913" s="200"/>
      <c r="AS913" s="200"/>
      <c r="AT913" s="200"/>
    </row>
    <row r="914" spans="1:46" ht="16.5" customHeight="1">
      <c r="A914" s="307"/>
      <c r="B914" s="307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353"/>
      <c r="R914" s="353"/>
      <c r="S914" s="200"/>
      <c r="T914" s="353"/>
      <c r="U914" s="353"/>
      <c r="V914" s="353"/>
      <c r="W914" s="432"/>
      <c r="X914" s="200"/>
      <c r="Y914" s="200"/>
      <c r="Z914" s="200"/>
      <c r="AA914" s="200"/>
      <c r="AB914" s="200"/>
      <c r="AC914" s="200"/>
      <c r="AD914" s="200"/>
      <c r="AE914" s="200"/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  <c r="AQ914" s="200"/>
      <c r="AR914" s="200"/>
      <c r="AS914" s="200"/>
      <c r="AT914" s="200"/>
    </row>
    <row r="915" spans="1:46" ht="16.5" customHeight="1">
      <c r="A915" s="307"/>
      <c r="B915" s="307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353"/>
      <c r="R915" s="353"/>
      <c r="S915" s="200"/>
      <c r="T915" s="353"/>
      <c r="U915" s="353"/>
      <c r="V915" s="353"/>
      <c r="W915" s="432"/>
      <c r="X915" s="200"/>
      <c r="Y915" s="200"/>
      <c r="Z915" s="200"/>
      <c r="AA915" s="200"/>
      <c r="AB915" s="200"/>
      <c r="AC915" s="200"/>
      <c r="AD915" s="200"/>
      <c r="AE915" s="200"/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  <c r="AQ915" s="200"/>
      <c r="AR915" s="200"/>
      <c r="AS915" s="200"/>
      <c r="AT915" s="200"/>
    </row>
    <row r="916" spans="1:46" ht="16.5" customHeight="1">
      <c r="A916" s="307"/>
      <c r="B916" s="307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353"/>
      <c r="R916" s="353"/>
      <c r="S916" s="200"/>
      <c r="T916" s="353"/>
      <c r="U916" s="353"/>
      <c r="V916" s="353"/>
      <c r="W916" s="432"/>
      <c r="X916" s="200"/>
      <c r="Y916" s="200"/>
      <c r="Z916" s="200"/>
      <c r="AA916" s="200"/>
      <c r="AB916" s="200"/>
      <c r="AC916" s="200"/>
      <c r="AD916" s="200"/>
      <c r="AE916" s="200"/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  <c r="AT916" s="200"/>
    </row>
    <row r="917" spans="1:46" ht="16.5" customHeight="1">
      <c r="A917" s="307"/>
      <c r="B917" s="307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353"/>
      <c r="R917" s="353"/>
      <c r="S917" s="200"/>
      <c r="T917" s="353"/>
      <c r="U917" s="353"/>
      <c r="V917" s="353"/>
      <c r="W917" s="432"/>
      <c r="X917" s="200"/>
      <c r="Y917" s="200"/>
      <c r="Z917" s="200"/>
      <c r="AA917" s="200"/>
      <c r="AB917" s="200"/>
      <c r="AC917" s="200"/>
      <c r="AD917" s="200"/>
      <c r="AE917" s="200"/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  <c r="AQ917" s="200"/>
      <c r="AR917" s="200"/>
      <c r="AS917" s="200"/>
      <c r="AT917" s="200"/>
    </row>
    <row r="918" spans="1:46" ht="16.5" customHeight="1">
      <c r="A918" s="307"/>
      <c r="B918" s="307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353"/>
      <c r="R918" s="353"/>
      <c r="S918" s="200"/>
      <c r="T918" s="353"/>
      <c r="U918" s="353"/>
      <c r="V918" s="353"/>
      <c r="W918" s="432"/>
      <c r="X918" s="200"/>
      <c r="Y918" s="200"/>
      <c r="Z918" s="200"/>
      <c r="AA918" s="200"/>
      <c r="AB918" s="200"/>
      <c r="AC918" s="200"/>
      <c r="AD918" s="200"/>
      <c r="AE918" s="200"/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  <c r="AQ918" s="200"/>
      <c r="AR918" s="200"/>
      <c r="AS918" s="200"/>
      <c r="AT918" s="200"/>
    </row>
    <row r="919" spans="1:46" ht="16.5" customHeight="1">
      <c r="A919" s="307"/>
      <c r="B919" s="307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353"/>
      <c r="R919" s="353"/>
      <c r="S919" s="200"/>
      <c r="T919" s="353"/>
      <c r="U919" s="353"/>
      <c r="V919" s="353"/>
      <c r="W919" s="432"/>
      <c r="X919" s="200"/>
      <c r="Y919" s="200"/>
      <c r="Z919" s="200"/>
      <c r="AA919" s="200"/>
      <c r="AB919" s="200"/>
      <c r="AC919" s="200"/>
      <c r="AD919" s="200"/>
      <c r="AE919" s="200"/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  <c r="AQ919" s="200"/>
      <c r="AR919" s="200"/>
      <c r="AS919" s="200"/>
      <c r="AT919" s="200"/>
    </row>
    <row r="920" spans="1:46" ht="16.5" customHeight="1">
      <c r="A920" s="307"/>
      <c r="B920" s="307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353"/>
      <c r="R920" s="353"/>
      <c r="S920" s="200"/>
      <c r="T920" s="353"/>
      <c r="U920" s="353"/>
      <c r="V920" s="353"/>
      <c r="W920" s="432"/>
      <c r="X920" s="200"/>
      <c r="Y920" s="200"/>
      <c r="Z920" s="200"/>
      <c r="AA920" s="200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Q920" s="200"/>
      <c r="AR920" s="200"/>
      <c r="AS920" s="200"/>
      <c r="AT920" s="200"/>
    </row>
    <row r="921" spans="1:46" ht="16.5" customHeight="1">
      <c r="A921" s="307"/>
      <c r="B921" s="307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353"/>
      <c r="R921" s="353"/>
      <c r="S921" s="200"/>
      <c r="T921" s="353"/>
      <c r="U921" s="353"/>
      <c r="V921" s="353"/>
      <c r="W921" s="432"/>
      <c r="X921" s="200"/>
      <c r="Y921" s="200"/>
      <c r="Z921" s="200"/>
      <c r="AA921" s="200"/>
      <c r="AB921" s="200"/>
      <c r="AC921" s="200"/>
      <c r="AD921" s="200"/>
      <c r="AE921" s="200"/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  <c r="AQ921" s="200"/>
      <c r="AR921" s="200"/>
      <c r="AS921" s="200"/>
      <c r="AT921" s="200"/>
    </row>
    <row r="922" spans="1:46" ht="16.5" customHeight="1">
      <c r="A922" s="307"/>
      <c r="B922" s="307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353"/>
      <c r="R922" s="353"/>
      <c r="S922" s="200"/>
      <c r="T922" s="353"/>
      <c r="U922" s="353"/>
      <c r="V922" s="353"/>
      <c r="W922" s="432"/>
      <c r="X922" s="200"/>
      <c r="Y922" s="200"/>
      <c r="Z922" s="200"/>
      <c r="AA922" s="200"/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Q922" s="200"/>
      <c r="AR922" s="200"/>
      <c r="AS922" s="200"/>
      <c r="AT922" s="200"/>
    </row>
    <row r="923" spans="1:46" ht="16.5" customHeight="1">
      <c r="A923" s="307"/>
      <c r="B923" s="307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353"/>
      <c r="R923" s="353"/>
      <c r="S923" s="200"/>
      <c r="T923" s="353"/>
      <c r="U923" s="353"/>
      <c r="V923" s="353"/>
      <c r="W923" s="432"/>
      <c r="X923" s="200"/>
      <c r="Y923" s="200"/>
      <c r="Z923" s="200"/>
      <c r="AA923" s="200"/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  <c r="AQ923" s="200"/>
      <c r="AR923" s="200"/>
      <c r="AS923" s="200"/>
      <c r="AT923" s="200"/>
    </row>
    <row r="924" spans="1:46" ht="16.5" customHeight="1">
      <c r="A924" s="307"/>
      <c r="B924" s="307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353"/>
      <c r="R924" s="353"/>
      <c r="S924" s="200"/>
      <c r="T924" s="353"/>
      <c r="U924" s="353"/>
      <c r="V924" s="353"/>
      <c r="W924" s="432"/>
      <c r="X924" s="200"/>
      <c r="Y924" s="200"/>
      <c r="Z924" s="200"/>
      <c r="AA924" s="200"/>
      <c r="AB924" s="200"/>
      <c r="AC924" s="200"/>
      <c r="AD924" s="200"/>
      <c r="AE924" s="200"/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  <c r="AQ924" s="200"/>
      <c r="AR924" s="200"/>
      <c r="AS924" s="200"/>
      <c r="AT924" s="200"/>
    </row>
    <row r="925" spans="1:46" ht="16.5" customHeight="1">
      <c r="A925" s="307"/>
      <c r="B925" s="307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353"/>
      <c r="R925" s="353"/>
      <c r="S925" s="200"/>
      <c r="T925" s="353"/>
      <c r="U925" s="353"/>
      <c r="V925" s="353"/>
      <c r="W925" s="432"/>
      <c r="X925" s="200"/>
      <c r="Y925" s="200"/>
      <c r="Z925" s="200"/>
      <c r="AA925" s="200"/>
      <c r="AB925" s="200"/>
      <c r="AC925" s="200"/>
      <c r="AD925" s="200"/>
      <c r="AE925" s="200"/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  <c r="AQ925" s="200"/>
      <c r="AR925" s="200"/>
      <c r="AS925" s="200"/>
      <c r="AT925" s="200"/>
    </row>
    <row r="926" spans="1:46" ht="16.5" customHeight="1">
      <c r="A926" s="307"/>
      <c r="B926" s="307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353"/>
      <c r="R926" s="353"/>
      <c r="S926" s="200"/>
      <c r="T926" s="353"/>
      <c r="U926" s="353"/>
      <c r="V926" s="353"/>
      <c r="W926" s="432"/>
      <c r="X926" s="200"/>
      <c r="Y926" s="200"/>
      <c r="Z926" s="200"/>
      <c r="AA926" s="200"/>
      <c r="AB926" s="200"/>
      <c r="AC926" s="200"/>
      <c r="AD926" s="200"/>
      <c r="AE926" s="200"/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</row>
    <row r="927" spans="1:46" ht="16.5" customHeight="1">
      <c r="A927" s="307"/>
      <c r="B927" s="307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353"/>
      <c r="R927" s="353"/>
      <c r="S927" s="200"/>
      <c r="T927" s="353"/>
      <c r="U927" s="353"/>
      <c r="V927" s="353"/>
      <c r="W927" s="432"/>
      <c r="X927" s="200"/>
      <c r="Y927" s="200"/>
      <c r="Z927" s="200"/>
      <c r="AA927" s="200"/>
      <c r="AB927" s="200"/>
      <c r="AC927" s="200"/>
      <c r="AD927" s="200"/>
      <c r="AE927" s="200"/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  <c r="AQ927" s="200"/>
      <c r="AR927" s="200"/>
      <c r="AS927" s="200"/>
      <c r="AT927" s="200"/>
    </row>
    <row r="928" spans="1:46" ht="16.5" customHeight="1">
      <c r="A928" s="307"/>
      <c r="B928" s="307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353"/>
      <c r="R928" s="353"/>
      <c r="S928" s="200"/>
      <c r="T928" s="353"/>
      <c r="U928" s="353"/>
      <c r="V928" s="353"/>
      <c r="W928" s="432"/>
      <c r="X928" s="200"/>
      <c r="Y928" s="200"/>
      <c r="Z928" s="200"/>
      <c r="AA928" s="200"/>
      <c r="AB928" s="200"/>
      <c r="AC928" s="200"/>
      <c r="AD928" s="200"/>
      <c r="AE928" s="200"/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  <c r="AQ928" s="200"/>
      <c r="AR928" s="200"/>
      <c r="AS928" s="200"/>
      <c r="AT928" s="200"/>
    </row>
    <row r="929" spans="1:46" ht="16.5" customHeight="1">
      <c r="A929" s="307"/>
      <c r="B929" s="307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353"/>
      <c r="R929" s="353"/>
      <c r="S929" s="200"/>
      <c r="T929" s="353"/>
      <c r="U929" s="353"/>
      <c r="V929" s="353"/>
      <c r="W929" s="432"/>
      <c r="X929" s="200"/>
      <c r="Y929" s="200"/>
      <c r="Z929" s="200"/>
      <c r="AA929" s="200"/>
      <c r="AB929" s="200"/>
      <c r="AC929" s="200"/>
      <c r="AD929" s="200"/>
      <c r="AE929" s="200"/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  <c r="AT929" s="200"/>
    </row>
    <row r="930" spans="1:46" ht="16.5" customHeight="1">
      <c r="A930" s="307"/>
      <c r="B930" s="307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353"/>
      <c r="R930" s="353"/>
      <c r="S930" s="200"/>
      <c r="T930" s="353"/>
      <c r="U930" s="353"/>
      <c r="V930" s="353"/>
      <c r="W930" s="432"/>
      <c r="X930" s="200"/>
      <c r="Y930" s="200"/>
      <c r="Z930" s="200"/>
      <c r="AA930" s="200"/>
      <c r="AB930" s="200"/>
      <c r="AC930" s="200"/>
      <c r="AD930" s="200"/>
      <c r="AE930" s="200"/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  <c r="AQ930" s="200"/>
      <c r="AR930" s="200"/>
      <c r="AS930" s="200"/>
      <c r="AT930" s="200"/>
    </row>
    <row r="931" spans="1:46" ht="16.5" customHeight="1">
      <c r="A931" s="307"/>
      <c r="B931" s="307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353"/>
      <c r="R931" s="353"/>
      <c r="S931" s="200"/>
      <c r="T931" s="353"/>
      <c r="U931" s="353"/>
      <c r="V931" s="353"/>
      <c r="W931" s="432"/>
      <c r="X931" s="200"/>
      <c r="Y931" s="200"/>
      <c r="Z931" s="200"/>
      <c r="AA931" s="200"/>
      <c r="AB931" s="200"/>
      <c r="AC931" s="200"/>
      <c r="AD931" s="200"/>
      <c r="AE931" s="200"/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  <c r="AQ931" s="200"/>
      <c r="AR931" s="200"/>
      <c r="AS931" s="200"/>
      <c r="AT931" s="200"/>
    </row>
    <row r="932" spans="1:46" ht="16.5" customHeight="1">
      <c r="A932" s="307"/>
      <c r="B932" s="307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353"/>
      <c r="R932" s="353"/>
      <c r="S932" s="200"/>
      <c r="T932" s="353"/>
      <c r="U932" s="353"/>
      <c r="V932" s="353"/>
      <c r="W932" s="432"/>
      <c r="X932" s="200"/>
      <c r="Y932" s="200"/>
      <c r="Z932" s="200"/>
      <c r="AA932" s="200"/>
      <c r="AB932" s="200"/>
      <c r="AC932" s="200"/>
      <c r="AD932" s="200"/>
      <c r="AE932" s="200"/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  <c r="AQ932" s="200"/>
      <c r="AR932" s="200"/>
      <c r="AS932" s="200"/>
      <c r="AT932" s="200"/>
    </row>
    <row r="933" spans="1:46" ht="16.5" customHeight="1">
      <c r="A933" s="307"/>
      <c r="B933" s="307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353"/>
      <c r="R933" s="353"/>
      <c r="S933" s="200"/>
      <c r="T933" s="353"/>
      <c r="U933" s="353"/>
      <c r="V933" s="353"/>
      <c r="W933" s="432"/>
      <c r="X933" s="200"/>
      <c r="Y933" s="200"/>
      <c r="Z933" s="200"/>
      <c r="AA933" s="200"/>
      <c r="AB933" s="200"/>
      <c r="AC933" s="200"/>
      <c r="AD933" s="200"/>
      <c r="AE933" s="200"/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  <c r="AQ933" s="200"/>
      <c r="AR933" s="200"/>
      <c r="AS933" s="200"/>
      <c r="AT933" s="200"/>
    </row>
    <row r="934" spans="1:46" ht="16.5" customHeight="1">
      <c r="A934" s="307"/>
      <c r="B934" s="307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353"/>
      <c r="R934" s="353"/>
      <c r="S934" s="200"/>
      <c r="T934" s="353"/>
      <c r="U934" s="353"/>
      <c r="V934" s="353"/>
      <c r="W934" s="432"/>
      <c r="X934" s="200"/>
      <c r="Y934" s="200"/>
      <c r="Z934" s="200"/>
      <c r="AA934" s="200"/>
      <c r="AB934" s="200"/>
      <c r="AC934" s="200"/>
      <c r="AD934" s="200"/>
      <c r="AE934" s="200"/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  <c r="AQ934" s="200"/>
      <c r="AR934" s="200"/>
      <c r="AS934" s="200"/>
      <c r="AT934" s="200"/>
    </row>
    <row r="935" spans="1:46" ht="16.5" customHeight="1">
      <c r="A935" s="307"/>
      <c r="B935" s="307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353"/>
      <c r="R935" s="353"/>
      <c r="S935" s="200"/>
      <c r="T935" s="353"/>
      <c r="U935" s="353"/>
      <c r="V935" s="353"/>
      <c r="W935" s="432"/>
      <c r="X935" s="200"/>
      <c r="Y935" s="200"/>
      <c r="Z935" s="200"/>
      <c r="AA935" s="200"/>
      <c r="AB935" s="200"/>
      <c r="AC935" s="200"/>
      <c r="AD935" s="200"/>
      <c r="AE935" s="200"/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  <c r="AQ935" s="200"/>
      <c r="AR935" s="200"/>
      <c r="AS935" s="200"/>
      <c r="AT935" s="200"/>
    </row>
    <row r="936" spans="1:46" ht="16.5" customHeight="1">
      <c r="A936" s="307"/>
      <c r="B936" s="307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353"/>
      <c r="R936" s="353"/>
      <c r="S936" s="200"/>
      <c r="T936" s="353"/>
      <c r="U936" s="353"/>
      <c r="V936" s="353"/>
      <c r="W936" s="432"/>
      <c r="X936" s="200"/>
      <c r="Y936" s="200"/>
      <c r="Z936" s="200"/>
      <c r="AA936" s="200"/>
      <c r="AB936" s="200"/>
      <c r="AC936" s="200"/>
      <c r="AD936" s="200"/>
      <c r="AE936" s="200"/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  <c r="AQ936" s="200"/>
      <c r="AR936" s="200"/>
      <c r="AS936" s="200"/>
      <c r="AT936" s="200"/>
    </row>
    <row r="937" spans="1:46" ht="16.5" customHeight="1">
      <c r="A937" s="307"/>
      <c r="B937" s="307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353"/>
      <c r="R937" s="353"/>
      <c r="S937" s="200"/>
      <c r="T937" s="353"/>
      <c r="U937" s="353"/>
      <c r="V937" s="353"/>
      <c r="W937" s="432"/>
      <c r="X937" s="200"/>
      <c r="Y937" s="200"/>
      <c r="Z937" s="200"/>
      <c r="AA937" s="200"/>
      <c r="AB937" s="200"/>
      <c r="AC937" s="200"/>
      <c r="AD937" s="200"/>
      <c r="AE937" s="200"/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  <c r="AQ937" s="200"/>
      <c r="AR937" s="200"/>
      <c r="AS937" s="200"/>
      <c r="AT937" s="200"/>
    </row>
    <row r="938" spans="1:46" ht="16.5" customHeight="1">
      <c r="A938" s="307"/>
      <c r="B938" s="307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353"/>
      <c r="R938" s="353"/>
      <c r="S938" s="200"/>
      <c r="T938" s="353"/>
      <c r="U938" s="353"/>
      <c r="V938" s="353"/>
      <c r="W938" s="432"/>
      <c r="X938" s="200"/>
      <c r="Y938" s="200"/>
      <c r="Z938" s="200"/>
      <c r="AA938" s="200"/>
      <c r="AB938" s="200"/>
      <c r="AC938" s="200"/>
      <c r="AD938" s="200"/>
      <c r="AE938" s="200"/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  <c r="AQ938" s="200"/>
      <c r="AR938" s="200"/>
      <c r="AS938" s="200"/>
      <c r="AT938" s="200"/>
    </row>
    <row r="939" spans="1:46" ht="16.5" customHeight="1">
      <c r="A939" s="307"/>
      <c r="B939" s="307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353"/>
      <c r="R939" s="353"/>
      <c r="S939" s="200"/>
      <c r="T939" s="353"/>
      <c r="U939" s="353"/>
      <c r="V939" s="353"/>
      <c r="W939" s="432"/>
      <c r="X939" s="200"/>
      <c r="Y939" s="200"/>
      <c r="Z939" s="200"/>
      <c r="AA939" s="200"/>
      <c r="AB939" s="200"/>
      <c r="AC939" s="200"/>
      <c r="AD939" s="200"/>
      <c r="AE939" s="200"/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  <c r="AQ939" s="200"/>
      <c r="AR939" s="200"/>
      <c r="AS939" s="200"/>
      <c r="AT939" s="200"/>
    </row>
    <row r="940" spans="1:46" ht="16.5" customHeight="1">
      <c r="A940" s="307"/>
      <c r="B940" s="307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353"/>
      <c r="R940" s="353"/>
      <c r="S940" s="200"/>
      <c r="T940" s="353"/>
      <c r="U940" s="353"/>
      <c r="V940" s="353"/>
      <c r="W940" s="432"/>
      <c r="X940" s="200"/>
      <c r="Y940" s="200"/>
      <c r="Z940" s="200"/>
      <c r="AA940" s="200"/>
      <c r="AB940" s="200"/>
      <c r="AC940" s="200"/>
      <c r="AD940" s="200"/>
      <c r="AE940" s="200"/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  <c r="AQ940" s="200"/>
      <c r="AR940" s="200"/>
      <c r="AS940" s="200"/>
      <c r="AT940" s="200"/>
    </row>
    <row r="941" spans="1:46" ht="16.5" customHeight="1">
      <c r="A941" s="307"/>
      <c r="B941" s="307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353"/>
      <c r="R941" s="353"/>
      <c r="S941" s="200"/>
      <c r="T941" s="353"/>
      <c r="U941" s="353"/>
      <c r="V941" s="353"/>
      <c r="W941" s="432"/>
      <c r="X941" s="200"/>
      <c r="Y941" s="200"/>
      <c r="Z941" s="200"/>
      <c r="AA941" s="200"/>
      <c r="AB941" s="200"/>
      <c r="AC941" s="200"/>
      <c r="AD941" s="200"/>
      <c r="AE941" s="200"/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  <c r="AQ941" s="200"/>
      <c r="AR941" s="200"/>
      <c r="AS941" s="200"/>
      <c r="AT941" s="200"/>
    </row>
    <row r="942" spans="1:46" ht="16.5" customHeight="1">
      <c r="A942" s="307"/>
      <c r="B942" s="307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353"/>
      <c r="R942" s="353"/>
      <c r="S942" s="200"/>
      <c r="T942" s="353"/>
      <c r="U942" s="353"/>
      <c r="V942" s="353"/>
      <c r="W942" s="432"/>
      <c r="X942" s="200"/>
      <c r="Y942" s="200"/>
      <c r="Z942" s="200"/>
      <c r="AA942" s="200"/>
      <c r="AB942" s="200"/>
      <c r="AC942" s="200"/>
      <c r="AD942" s="200"/>
      <c r="AE942" s="200"/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  <c r="AQ942" s="200"/>
      <c r="AR942" s="200"/>
      <c r="AS942" s="200"/>
      <c r="AT942" s="200"/>
    </row>
    <row r="943" spans="1:46" ht="16.5" customHeight="1">
      <c r="A943" s="307"/>
      <c r="B943" s="307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353"/>
      <c r="R943" s="353"/>
      <c r="S943" s="200"/>
      <c r="T943" s="353"/>
      <c r="U943" s="353"/>
      <c r="V943" s="353"/>
      <c r="W943" s="432"/>
      <c r="X943" s="200"/>
      <c r="Y943" s="200"/>
      <c r="Z943" s="200"/>
      <c r="AA943" s="200"/>
      <c r="AB943" s="200"/>
      <c r="AC943" s="200"/>
      <c r="AD943" s="200"/>
      <c r="AE943" s="200"/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  <c r="AQ943" s="200"/>
      <c r="AR943" s="200"/>
      <c r="AS943" s="200"/>
      <c r="AT943" s="200"/>
    </row>
    <row r="944" spans="1:46" ht="16.5" customHeight="1">
      <c r="A944" s="307"/>
      <c r="B944" s="307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353"/>
      <c r="R944" s="353"/>
      <c r="S944" s="200"/>
      <c r="T944" s="353"/>
      <c r="U944" s="353"/>
      <c r="V944" s="353"/>
      <c r="W944" s="432"/>
      <c r="X944" s="200"/>
      <c r="Y944" s="200"/>
      <c r="Z944" s="200"/>
      <c r="AA944" s="200"/>
      <c r="AB944" s="200"/>
      <c r="AC944" s="200"/>
      <c r="AD944" s="200"/>
      <c r="AE944" s="200"/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  <c r="AT944" s="200"/>
    </row>
    <row r="945" spans="1:46" ht="16.5" customHeight="1">
      <c r="A945" s="307"/>
      <c r="B945" s="307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353"/>
      <c r="R945" s="353"/>
      <c r="S945" s="200"/>
      <c r="T945" s="353"/>
      <c r="U945" s="353"/>
      <c r="V945" s="353"/>
      <c r="W945" s="432"/>
      <c r="X945" s="200"/>
      <c r="Y945" s="200"/>
      <c r="Z945" s="200"/>
      <c r="AA945" s="200"/>
      <c r="AB945" s="200"/>
      <c r="AC945" s="200"/>
      <c r="AD945" s="200"/>
      <c r="AE945" s="200"/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  <c r="AQ945" s="200"/>
      <c r="AR945" s="200"/>
      <c r="AS945" s="200"/>
      <c r="AT945" s="200"/>
    </row>
    <row r="946" spans="1:46" ht="16.5" customHeight="1">
      <c r="A946" s="307"/>
      <c r="B946" s="307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353"/>
      <c r="R946" s="353"/>
      <c r="S946" s="200"/>
      <c r="T946" s="353"/>
      <c r="U946" s="353"/>
      <c r="V946" s="353"/>
      <c r="W946" s="432"/>
      <c r="X946" s="200"/>
      <c r="Y946" s="200"/>
      <c r="Z946" s="200"/>
      <c r="AA946" s="200"/>
      <c r="AB946" s="200"/>
      <c r="AC946" s="200"/>
      <c r="AD946" s="200"/>
      <c r="AE946" s="200"/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  <c r="AQ946" s="200"/>
      <c r="AR946" s="200"/>
      <c r="AS946" s="200"/>
      <c r="AT946" s="200"/>
    </row>
    <row r="947" spans="1:46" ht="16.5" customHeight="1">
      <c r="A947" s="307"/>
      <c r="B947" s="307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353"/>
      <c r="R947" s="353"/>
      <c r="S947" s="200"/>
      <c r="T947" s="353"/>
      <c r="U947" s="353"/>
      <c r="V947" s="353"/>
      <c r="W947" s="432"/>
      <c r="X947" s="200"/>
      <c r="Y947" s="200"/>
      <c r="Z947" s="200"/>
      <c r="AA947" s="200"/>
      <c r="AB947" s="200"/>
      <c r="AC947" s="200"/>
      <c r="AD947" s="200"/>
      <c r="AE947" s="200"/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  <c r="AQ947" s="200"/>
      <c r="AR947" s="200"/>
      <c r="AS947" s="200"/>
      <c r="AT947" s="200"/>
    </row>
    <row r="948" spans="1:46" ht="16.5" customHeight="1">
      <c r="A948" s="307"/>
      <c r="B948" s="307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353"/>
      <c r="R948" s="353"/>
      <c r="S948" s="200"/>
      <c r="T948" s="353"/>
      <c r="U948" s="353"/>
      <c r="V948" s="353"/>
      <c r="W948" s="432"/>
      <c r="X948" s="200"/>
      <c r="Y948" s="200"/>
      <c r="Z948" s="200"/>
      <c r="AA948" s="200"/>
      <c r="AB948" s="200"/>
      <c r="AC948" s="200"/>
      <c r="AD948" s="200"/>
      <c r="AE948" s="200"/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  <c r="AQ948" s="200"/>
      <c r="AR948" s="200"/>
      <c r="AS948" s="200"/>
      <c r="AT948" s="200"/>
    </row>
    <row r="949" spans="1:46" ht="16.5" customHeight="1">
      <c r="A949" s="307"/>
      <c r="B949" s="307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353"/>
      <c r="R949" s="353"/>
      <c r="S949" s="200"/>
      <c r="T949" s="353"/>
      <c r="U949" s="353"/>
      <c r="V949" s="353"/>
      <c r="W949" s="432"/>
      <c r="X949" s="200"/>
      <c r="Y949" s="200"/>
      <c r="Z949" s="200"/>
      <c r="AA949" s="200"/>
      <c r="AB949" s="200"/>
      <c r="AC949" s="200"/>
      <c r="AD949" s="200"/>
      <c r="AE949" s="200"/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  <c r="AQ949" s="200"/>
      <c r="AR949" s="200"/>
      <c r="AS949" s="200"/>
      <c r="AT949" s="200"/>
    </row>
    <row r="950" spans="1:46" ht="16.5" customHeight="1">
      <c r="A950" s="307"/>
      <c r="B950" s="307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353"/>
      <c r="R950" s="353"/>
      <c r="S950" s="200"/>
      <c r="T950" s="353"/>
      <c r="U950" s="353"/>
      <c r="V950" s="353"/>
      <c r="W950" s="432"/>
      <c r="X950" s="200"/>
      <c r="Y950" s="200"/>
      <c r="Z950" s="200"/>
      <c r="AA950" s="200"/>
      <c r="AB950" s="200"/>
      <c r="AC950" s="200"/>
      <c r="AD950" s="200"/>
      <c r="AE950" s="200"/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  <c r="AT950" s="200"/>
    </row>
    <row r="951" spans="1:46" ht="16.5" customHeight="1">
      <c r="A951" s="307"/>
      <c r="B951" s="307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353"/>
      <c r="R951" s="353"/>
      <c r="S951" s="200"/>
      <c r="T951" s="353"/>
      <c r="U951" s="353"/>
      <c r="V951" s="353"/>
      <c r="W951" s="432"/>
      <c r="X951" s="200"/>
      <c r="Y951" s="200"/>
      <c r="Z951" s="200"/>
      <c r="AA951" s="200"/>
      <c r="AB951" s="200"/>
      <c r="AC951" s="200"/>
      <c r="AD951" s="200"/>
      <c r="AE951" s="200"/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  <c r="AQ951" s="200"/>
      <c r="AR951" s="200"/>
      <c r="AS951" s="200"/>
      <c r="AT951" s="200"/>
    </row>
    <row r="952" spans="1:46" ht="16.5" customHeight="1">
      <c r="A952" s="307"/>
      <c r="B952" s="307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353"/>
      <c r="R952" s="353"/>
      <c r="S952" s="200"/>
      <c r="T952" s="353"/>
      <c r="U952" s="353"/>
      <c r="V952" s="353"/>
      <c r="W952" s="432"/>
      <c r="X952" s="200"/>
      <c r="Y952" s="200"/>
      <c r="Z952" s="200"/>
      <c r="AA952" s="200"/>
      <c r="AB952" s="200"/>
      <c r="AC952" s="200"/>
      <c r="AD952" s="200"/>
      <c r="AE952" s="200"/>
      <c r="AF952" s="200"/>
      <c r="AG952" s="200"/>
      <c r="AH952" s="200"/>
      <c r="AI952" s="200"/>
      <c r="AJ952" s="200"/>
      <c r="AK952" s="200"/>
      <c r="AL952" s="200"/>
      <c r="AM952" s="200"/>
      <c r="AN952" s="200"/>
      <c r="AO952" s="200"/>
      <c r="AP952" s="200"/>
      <c r="AQ952" s="200"/>
      <c r="AR952" s="200"/>
      <c r="AS952" s="200"/>
      <c r="AT952" s="200"/>
    </row>
    <row r="953" spans="1:46" ht="16.5" customHeight="1">
      <c r="A953" s="307"/>
      <c r="B953" s="307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353"/>
      <c r="R953" s="353"/>
      <c r="S953" s="200"/>
      <c r="T953" s="353"/>
      <c r="U953" s="353"/>
      <c r="V953" s="353"/>
      <c r="W953" s="432"/>
      <c r="X953" s="200"/>
      <c r="Y953" s="200"/>
      <c r="Z953" s="200"/>
      <c r="AA953" s="200"/>
      <c r="AB953" s="200"/>
      <c r="AC953" s="200"/>
      <c r="AD953" s="200"/>
      <c r="AE953" s="200"/>
      <c r="AF953" s="200"/>
      <c r="AG953" s="200"/>
      <c r="AH953" s="200"/>
      <c r="AI953" s="200"/>
      <c r="AJ953" s="200"/>
      <c r="AK953" s="200"/>
      <c r="AL953" s="200"/>
      <c r="AM953" s="200"/>
      <c r="AN953" s="200"/>
      <c r="AO953" s="200"/>
      <c r="AP953" s="200"/>
      <c r="AQ953" s="200"/>
      <c r="AR953" s="200"/>
      <c r="AS953" s="200"/>
      <c r="AT953" s="200"/>
    </row>
    <row r="954" spans="1:46" ht="16.5" customHeight="1">
      <c r="A954" s="307"/>
      <c r="B954" s="307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353"/>
      <c r="R954" s="353"/>
      <c r="S954" s="200"/>
      <c r="T954" s="353"/>
      <c r="U954" s="353"/>
      <c r="V954" s="353"/>
      <c r="W954" s="432"/>
      <c r="X954" s="200"/>
      <c r="Y954" s="200"/>
      <c r="Z954" s="200"/>
      <c r="AA954" s="200"/>
      <c r="AB954" s="200"/>
      <c r="AC954" s="200"/>
      <c r="AD954" s="200"/>
      <c r="AE954" s="200"/>
      <c r="AF954" s="200"/>
      <c r="AG954" s="200"/>
      <c r="AH954" s="200"/>
      <c r="AI954" s="200"/>
      <c r="AJ954" s="200"/>
      <c r="AK954" s="200"/>
      <c r="AL954" s="200"/>
      <c r="AM954" s="200"/>
      <c r="AN954" s="200"/>
      <c r="AO954" s="200"/>
      <c r="AP954" s="200"/>
      <c r="AQ954" s="200"/>
      <c r="AR954" s="200"/>
      <c r="AS954" s="200"/>
      <c r="AT954" s="200"/>
    </row>
    <row r="955" spans="1:46" ht="16.5" customHeight="1">
      <c r="A955" s="307"/>
      <c r="B955" s="307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353"/>
      <c r="R955" s="353"/>
      <c r="S955" s="200"/>
      <c r="T955" s="353"/>
      <c r="U955" s="353"/>
      <c r="V955" s="353"/>
      <c r="W955" s="432"/>
      <c r="X955" s="200"/>
      <c r="Y955" s="200"/>
      <c r="Z955" s="200"/>
      <c r="AA955" s="200"/>
      <c r="AB955" s="200"/>
      <c r="AC955" s="200"/>
      <c r="AD955" s="200"/>
      <c r="AE955" s="200"/>
      <c r="AF955" s="200"/>
      <c r="AG955" s="200"/>
      <c r="AH955" s="200"/>
      <c r="AI955" s="200"/>
      <c r="AJ955" s="200"/>
      <c r="AK955" s="200"/>
      <c r="AL955" s="200"/>
      <c r="AM955" s="200"/>
      <c r="AN955" s="200"/>
      <c r="AO955" s="200"/>
      <c r="AP955" s="200"/>
      <c r="AQ955" s="200"/>
      <c r="AR955" s="200"/>
      <c r="AS955" s="200"/>
      <c r="AT955" s="200"/>
    </row>
    <row r="956" spans="1:46" ht="16.5" customHeight="1">
      <c r="A956" s="307"/>
      <c r="B956" s="307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353"/>
      <c r="R956" s="353"/>
      <c r="S956" s="200"/>
      <c r="T956" s="353"/>
      <c r="U956" s="353"/>
      <c r="V956" s="353"/>
      <c r="W956" s="432"/>
      <c r="X956" s="200"/>
      <c r="Y956" s="200"/>
      <c r="Z956" s="200"/>
      <c r="AA956" s="200"/>
      <c r="AB956" s="200"/>
      <c r="AC956" s="200"/>
      <c r="AD956" s="200"/>
      <c r="AE956" s="200"/>
      <c r="AF956" s="200"/>
      <c r="AG956" s="200"/>
      <c r="AH956" s="200"/>
      <c r="AI956" s="200"/>
      <c r="AJ956" s="200"/>
      <c r="AK956" s="200"/>
      <c r="AL956" s="200"/>
      <c r="AM956" s="200"/>
      <c r="AN956" s="200"/>
      <c r="AO956" s="200"/>
      <c r="AP956" s="200"/>
      <c r="AQ956" s="200"/>
      <c r="AR956" s="200"/>
      <c r="AS956" s="200"/>
      <c r="AT956" s="200"/>
    </row>
    <row r="957" spans="1:46" ht="16.5" customHeight="1">
      <c r="A957" s="307"/>
      <c r="B957" s="307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353"/>
      <c r="R957" s="353"/>
      <c r="S957" s="200"/>
      <c r="T957" s="353"/>
      <c r="U957" s="353"/>
      <c r="V957" s="353"/>
      <c r="W957" s="432"/>
      <c r="X957" s="200"/>
      <c r="Y957" s="200"/>
      <c r="Z957" s="200"/>
      <c r="AA957" s="200"/>
      <c r="AB957" s="200"/>
      <c r="AC957" s="200"/>
      <c r="AD957" s="200"/>
      <c r="AE957" s="200"/>
      <c r="AF957" s="200"/>
      <c r="AG957" s="200"/>
      <c r="AH957" s="200"/>
      <c r="AI957" s="200"/>
      <c r="AJ957" s="200"/>
      <c r="AK957" s="200"/>
      <c r="AL957" s="200"/>
      <c r="AM957" s="200"/>
      <c r="AN957" s="200"/>
      <c r="AO957" s="200"/>
      <c r="AP957" s="200"/>
      <c r="AQ957" s="200"/>
      <c r="AR957" s="200"/>
      <c r="AS957" s="200"/>
      <c r="AT957" s="200"/>
    </row>
    <row r="958" spans="1:46" ht="16.5" customHeight="1">
      <c r="A958" s="307"/>
      <c r="B958" s="307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353"/>
      <c r="R958" s="353"/>
      <c r="S958" s="200"/>
      <c r="T958" s="353"/>
      <c r="U958" s="353"/>
      <c r="V958" s="353"/>
      <c r="W958" s="432"/>
      <c r="X958" s="200"/>
      <c r="Y958" s="200"/>
      <c r="Z958" s="200"/>
      <c r="AA958" s="200"/>
      <c r="AB958" s="200"/>
      <c r="AC958" s="200"/>
      <c r="AD958" s="200"/>
      <c r="AE958" s="200"/>
      <c r="AF958" s="200"/>
      <c r="AG958" s="200"/>
      <c r="AH958" s="200"/>
      <c r="AI958" s="200"/>
      <c r="AJ958" s="200"/>
      <c r="AK958" s="200"/>
      <c r="AL958" s="200"/>
      <c r="AM958" s="200"/>
      <c r="AN958" s="200"/>
      <c r="AO958" s="200"/>
      <c r="AP958" s="200"/>
      <c r="AQ958" s="200"/>
      <c r="AR958" s="200"/>
      <c r="AS958" s="200"/>
      <c r="AT958" s="200"/>
    </row>
    <row r="959" spans="1:46" ht="16.5" customHeight="1">
      <c r="A959" s="307"/>
      <c r="B959" s="307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353"/>
      <c r="R959" s="353"/>
      <c r="S959" s="200"/>
      <c r="T959" s="353"/>
      <c r="U959" s="353"/>
      <c r="V959" s="353"/>
      <c r="W959" s="432"/>
      <c r="X959" s="200"/>
      <c r="Y959" s="200"/>
      <c r="Z959" s="200"/>
      <c r="AA959" s="200"/>
      <c r="AB959" s="200"/>
      <c r="AC959" s="200"/>
      <c r="AD959" s="200"/>
      <c r="AE959" s="200"/>
      <c r="AF959" s="200"/>
      <c r="AG959" s="200"/>
      <c r="AH959" s="200"/>
      <c r="AI959" s="200"/>
      <c r="AJ959" s="200"/>
      <c r="AK959" s="200"/>
      <c r="AL959" s="200"/>
      <c r="AM959" s="200"/>
      <c r="AN959" s="200"/>
      <c r="AO959" s="200"/>
      <c r="AP959" s="200"/>
      <c r="AQ959" s="200"/>
      <c r="AR959" s="200"/>
      <c r="AS959" s="200"/>
      <c r="AT959" s="200"/>
    </row>
    <row r="960" spans="1:46" ht="16.5" customHeight="1">
      <c r="A960" s="307"/>
      <c r="B960" s="307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353"/>
      <c r="R960" s="353"/>
      <c r="S960" s="200"/>
      <c r="T960" s="353"/>
      <c r="U960" s="353"/>
      <c r="V960" s="353"/>
      <c r="W960" s="432"/>
      <c r="X960" s="200"/>
      <c r="Y960" s="200"/>
      <c r="Z960" s="200"/>
      <c r="AA960" s="200"/>
      <c r="AB960" s="200"/>
      <c r="AC960" s="200"/>
      <c r="AD960" s="200"/>
      <c r="AE960" s="200"/>
      <c r="AF960" s="200"/>
      <c r="AG960" s="200"/>
      <c r="AH960" s="200"/>
      <c r="AI960" s="200"/>
      <c r="AJ960" s="200"/>
      <c r="AK960" s="200"/>
      <c r="AL960" s="200"/>
      <c r="AM960" s="200"/>
      <c r="AN960" s="200"/>
      <c r="AO960" s="200"/>
      <c r="AP960" s="200"/>
      <c r="AQ960" s="200"/>
      <c r="AR960" s="200"/>
      <c r="AS960" s="200"/>
      <c r="AT960" s="200"/>
    </row>
    <row r="961" spans="1:46" ht="16.5" customHeight="1">
      <c r="A961" s="307"/>
      <c r="B961" s="307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353"/>
      <c r="R961" s="353"/>
      <c r="S961" s="200"/>
      <c r="T961" s="353"/>
      <c r="U961" s="353"/>
      <c r="V961" s="353"/>
      <c r="W961" s="432"/>
      <c r="X961" s="200"/>
      <c r="Y961" s="200"/>
      <c r="Z961" s="200"/>
      <c r="AA961" s="200"/>
      <c r="AB961" s="200"/>
      <c r="AC961" s="200"/>
      <c r="AD961" s="200"/>
      <c r="AE961" s="200"/>
      <c r="AF961" s="200"/>
      <c r="AG961" s="200"/>
      <c r="AH961" s="200"/>
      <c r="AI961" s="200"/>
      <c r="AJ961" s="200"/>
      <c r="AK961" s="200"/>
      <c r="AL961" s="200"/>
      <c r="AM961" s="200"/>
      <c r="AN961" s="200"/>
      <c r="AO961" s="200"/>
      <c r="AP961" s="200"/>
      <c r="AQ961" s="200"/>
      <c r="AR961" s="200"/>
      <c r="AS961" s="200"/>
      <c r="AT961" s="200"/>
    </row>
    <row r="962" spans="1:46" ht="16.5" customHeight="1">
      <c r="A962" s="307"/>
      <c r="B962" s="307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353"/>
      <c r="R962" s="353"/>
      <c r="S962" s="200"/>
      <c r="T962" s="353"/>
      <c r="U962" s="353"/>
      <c r="V962" s="353"/>
      <c r="W962" s="432"/>
      <c r="X962" s="200"/>
      <c r="Y962" s="200"/>
      <c r="Z962" s="200"/>
      <c r="AA962" s="200"/>
      <c r="AB962" s="200"/>
      <c r="AC962" s="200"/>
      <c r="AD962" s="200"/>
      <c r="AE962" s="200"/>
      <c r="AF962" s="200"/>
      <c r="AG962" s="200"/>
      <c r="AH962" s="200"/>
      <c r="AI962" s="200"/>
      <c r="AJ962" s="200"/>
      <c r="AK962" s="200"/>
      <c r="AL962" s="200"/>
      <c r="AM962" s="200"/>
      <c r="AN962" s="200"/>
      <c r="AO962" s="200"/>
      <c r="AP962" s="200"/>
      <c r="AQ962" s="200"/>
      <c r="AR962" s="200"/>
      <c r="AS962" s="200"/>
      <c r="AT962" s="200"/>
    </row>
    <row r="963" spans="1:46" ht="16.5" customHeight="1">
      <c r="A963" s="307"/>
      <c r="B963" s="307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353"/>
      <c r="R963" s="353"/>
      <c r="S963" s="200"/>
      <c r="T963" s="353"/>
      <c r="U963" s="353"/>
      <c r="V963" s="353"/>
      <c r="W963" s="432"/>
      <c r="X963" s="200"/>
      <c r="Y963" s="200"/>
      <c r="Z963" s="200"/>
      <c r="AA963" s="200"/>
      <c r="AB963" s="200"/>
      <c r="AC963" s="200"/>
      <c r="AD963" s="200"/>
      <c r="AE963" s="200"/>
      <c r="AF963" s="200"/>
      <c r="AG963" s="200"/>
      <c r="AH963" s="200"/>
      <c r="AI963" s="200"/>
      <c r="AJ963" s="200"/>
      <c r="AK963" s="200"/>
      <c r="AL963" s="200"/>
      <c r="AM963" s="200"/>
      <c r="AN963" s="200"/>
      <c r="AO963" s="200"/>
      <c r="AP963" s="200"/>
      <c r="AQ963" s="200"/>
      <c r="AR963" s="200"/>
      <c r="AS963" s="200"/>
      <c r="AT963" s="200"/>
    </row>
    <row r="964" spans="1:46" ht="16.5" customHeight="1">
      <c r="A964" s="307"/>
      <c r="B964" s="307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353"/>
      <c r="R964" s="353"/>
      <c r="S964" s="200"/>
      <c r="T964" s="353"/>
      <c r="U964" s="353"/>
      <c r="V964" s="353"/>
      <c r="W964" s="432"/>
      <c r="X964" s="200"/>
      <c r="Y964" s="200"/>
      <c r="Z964" s="200"/>
      <c r="AA964" s="200"/>
      <c r="AB964" s="200"/>
      <c r="AC964" s="200"/>
      <c r="AD964" s="200"/>
      <c r="AE964" s="200"/>
      <c r="AF964" s="200"/>
      <c r="AG964" s="200"/>
      <c r="AH964" s="200"/>
      <c r="AI964" s="200"/>
      <c r="AJ964" s="200"/>
      <c r="AK964" s="200"/>
      <c r="AL964" s="200"/>
      <c r="AM964" s="200"/>
      <c r="AN964" s="200"/>
      <c r="AO964" s="200"/>
      <c r="AP964" s="200"/>
      <c r="AQ964" s="200"/>
      <c r="AR964" s="200"/>
      <c r="AS964" s="200"/>
      <c r="AT964" s="200"/>
    </row>
    <row r="965" spans="1:46" ht="16.5" customHeight="1">
      <c r="A965" s="307"/>
      <c r="B965" s="307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353"/>
      <c r="R965" s="353"/>
      <c r="S965" s="200"/>
      <c r="T965" s="353"/>
      <c r="U965" s="353"/>
      <c r="V965" s="353"/>
      <c r="W965" s="432"/>
      <c r="X965" s="200"/>
      <c r="Y965" s="200"/>
      <c r="Z965" s="200"/>
      <c r="AA965" s="200"/>
      <c r="AB965" s="200"/>
      <c r="AC965" s="200"/>
      <c r="AD965" s="200"/>
      <c r="AE965" s="200"/>
      <c r="AF965" s="200"/>
      <c r="AG965" s="200"/>
      <c r="AH965" s="200"/>
      <c r="AI965" s="200"/>
      <c r="AJ965" s="200"/>
      <c r="AK965" s="200"/>
      <c r="AL965" s="200"/>
      <c r="AM965" s="200"/>
      <c r="AN965" s="200"/>
      <c r="AO965" s="200"/>
      <c r="AP965" s="200"/>
      <c r="AQ965" s="200"/>
      <c r="AR965" s="200"/>
      <c r="AS965" s="200"/>
      <c r="AT965" s="200"/>
    </row>
    <row r="966" spans="1:46" ht="16.5" customHeight="1">
      <c r="A966" s="307"/>
      <c r="B966" s="307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353"/>
      <c r="R966" s="353"/>
      <c r="S966" s="200"/>
      <c r="T966" s="353"/>
      <c r="U966" s="353"/>
      <c r="V966" s="353"/>
      <c r="W966" s="432"/>
      <c r="X966" s="200"/>
      <c r="Y966" s="200"/>
      <c r="Z966" s="200"/>
      <c r="AA966" s="200"/>
      <c r="AB966" s="200"/>
      <c r="AC966" s="200"/>
      <c r="AD966" s="200"/>
      <c r="AE966" s="200"/>
      <c r="AF966" s="200"/>
      <c r="AG966" s="200"/>
      <c r="AH966" s="200"/>
      <c r="AI966" s="200"/>
      <c r="AJ966" s="200"/>
      <c r="AK966" s="200"/>
      <c r="AL966" s="200"/>
      <c r="AM966" s="200"/>
      <c r="AN966" s="200"/>
      <c r="AO966" s="200"/>
      <c r="AP966" s="200"/>
      <c r="AQ966" s="200"/>
      <c r="AR966" s="200"/>
      <c r="AS966" s="200"/>
      <c r="AT966" s="200"/>
    </row>
    <row r="967" spans="1:46" ht="16.5" customHeight="1">
      <c r="A967" s="307"/>
      <c r="B967" s="307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353"/>
      <c r="R967" s="353"/>
      <c r="S967" s="200"/>
      <c r="T967" s="353"/>
      <c r="U967" s="353"/>
      <c r="V967" s="353"/>
      <c r="W967" s="432"/>
      <c r="X967" s="200"/>
      <c r="Y967" s="200"/>
      <c r="Z967" s="200"/>
      <c r="AA967" s="200"/>
      <c r="AB967" s="200"/>
      <c r="AC967" s="200"/>
      <c r="AD967" s="200"/>
      <c r="AE967" s="200"/>
      <c r="AF967" s="200"/>
      <c r="AG967" s="200"/>
      <c r="AH967" s="200"/>
      <c r="AI967" s="200"/>
      <c r="AJ967" s="200"/>
      <c r="AK967" s="200"/>
      <c r="AL967" s="200"/>
      <c r="AM967" s="200"/>
      <c r="AN967" s="200"/>
      <c r="AO967" s="200"/>
      <c r="AP967" s="200"/>
      <c r="AQ967" s="200"/>
      <c r="AR967" s="200"/>
      <c r="AS967" s="200"/>
      <c r="AT967" s="200"/>
    </row>
    <row r="968" spans="1:46" ht="16.5" customHeight="1">
      <c r="A968" s="307"/>
      <c r="B968" s="307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353"/>
      <c r="R968" s="353"/>
      <c r="S968" s="200"/>
      <c r="T968" s="353"/>
      <c r="U968" s="353"/>
      <c r="V968" s="353"/>
      <c r="W968" s="432"/>
      <c r="X968" s="200"/>
      <c r="Y968" s="200"/>
      <c r="Z968" s="200"/>
      <c r="AA968" s="200"/>
      <c r="AB968" s="200"/>
      <c r="AC968" s="200"/>
      <c r="AD968" s="200"/>
      <c r="AE968" s="200"/>
      <c r="AF968" s="200"/>
      <c r="AG968" s="200"/>
      <c r="AH968" s="200"/>
      <c r="AI968" s="200"/>
      <c r="AJ968" s="200"/>
      <c r="AK968" s="200"/>
      <c r="AL968" s="200"/>
      <c r="AM968" s="200"/>
      <c r="AN968" s="200"/>
      <c r="AO968" s="200"/>
      <c r="AP968" s="200"/>
      <c r="AQ968" s="200"/>
      <c r="AR968" s="200"/>
      <c r="AS968" s="200"/>
      <c r="AT968" s="200"/>
    </row>
    <row r="969" spans="1:46" ht="16.5" customHeight="1">
      <c r="A969" s="307"/>
      <c r="B969" s="307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353"/>
      <c r="R969" s="353"/>
      <c r="S969" s="200"/>
      <c r="T969" s="353"/>
      <c r="U969" s="353"/>
      <c r="V969" s="353"/>
      <c r="W969" s="432"/>
      <c r="X969" s="200"/>
      <c r="Y969" s="200"/>
      <c r="Z969" s="200"/>
      <c r="AA969" s="200"/>
      <c r="AB969" s="200"/>
      <c r="AC969" s="200"/>
      <c r="AD969" s="200"/>
      <c r="AE969" s="200"/>
      <c r="AF969" s="200"/>
      <c r="AG969" s="200"/>
      <c r="AH969" s="200"/>
      <c r="AI969" s="200"/>
      <c r="AJ969" s="200"/>
      <c r="AK969" s="200"/>
      <c r="AL969" s="200"/>
      <c r="AM969" s="200"/>
      <c r="AN969" s="200"/>
      <c r="AO969" s="200"/>
      <c r="AP969" s="200"/>
      <c r="AQ969" s="200"/>
      <c r="AR969" s="200"/>
      <c r="AS969" s="200"/>
      <c r="AT969" s="200"/>
    </row>
    <row r="970" spans="1:46" ht="16.5" customHeight="1">
      <c r="A970" s="307"/>
      <c r="B970" s="307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353"/>
      <c r="R970" s="353"/>
      <c r="S970" s="200"/>
      <c r="T970" s="353"/>
      <c r="U970" s="353"/>
      <c r="V970" s="353"/>
      <c r="W970" s="432"/>
      <c r="X970" s="200"/>
      <c r="Y970" s="200"/>
      <c r="Z970" s="200"/>
      <c r="AA970" s="200"/>
      <c r="AB970" s="200"/>
      <c r="AC970" s="200"/>
      <c r="AD970" s="200"/>
      <c r="AE970" s="200"/>
      <c r="AF970" s="200"/>
      <c r="AG970" s="200"/>
      <c r="AH970" s="200"/>
      <c r="AI970" s="200"/>
      <c r="AJ970" s="200"/>
      <c r="AK970" s="200"/>
      <c r="AL970" s="200"/>
      <c r="AM970" s="200"/>
      <c r="AN970" s="200"/>
      <c r="AO970" s="200"/>
      <c r="AP970" s="200"/>
      <c r="AQ970" s="200"/>
      <c r="AR970" s="200"/>
      <c r="AS970" s="200"/>
      <c r="AT970" s="200"/>
    </row>
    <row r="971" spans="1:46" ht="16.5" customHeight="1">
      <c r="A971" s="307"/>
      <c r="B971" s="307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353"/>
      <c r="R971" s="353"/>
      <c r="S971" s="200"/>
      <c r="T971" s="353"/>
      <c r="U971" s="353"/>
      <c r="V971" s="353"/>
      <c r="W971" s="432"/>
      <c r="X971" s="200"/>
      <c r="Y971" s="200"/>
      <c r="Z971" s="200"/>
      <c r="AA971" s="200"/>
      <c r="AB971" s="200"/>
      <c r="AC971" s="200"/>
      <c r="AD971" s="200"/>
      <c r="AE971" s="200"/>
      <c r="AF971" s="200"/>
      <c r="AG971" s="200"/>
      <c r="AH971" s="200"/>
      <c r="AI971" s="200"/>
      <c r="AJ971" s="200"/>
      <c r="AK971" s="200"/>
      <c r="AL971" s="200"/>
      <c r="AM971" s="200"/>
      <c r="AN971" s="200"/>
      <c r="AO971" s="200"/>
      <c r="AP971" s="200"/>
      <c r="AQ971" s="200"/>
      <c r="AR971" s="200"/>
      <c r="AS971" s="200"/>
      <c r="AT971" s="200"/>
    </row>
    <row r="972" spans="1:46" ht="16.5" customHeight="1">
      <c r="A972" s="307"/>
      <c r="B972" s="307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353"/>
      <c r="R972" s="353"/>
      <c r="S972" s="200"/>
      <c r="T972" s="353"/>
      <c r="U972" s="353"/>
      <c r="V972" s="353"/>
      <c r="W972" s="432"/>
      <c r="X972" s="200"/>
      <c r="Y972" s="200"/>
      <c r="Z972" s="200"/>
      <c r="AA972" s="200"/>
      <c r="AB972" s="200"/>
      <c r="AC972" s="200"/>
      <c r="AD972" s="200"/>
      <c r="AE972" s="200"/>
      <c r="AF972" s="200"/>
      <c r="AG972" s="200"/>
      <c r="AH972" s="200"/>
      <c r="AI972" s="200"/>
      <c r="AJ972" s="200"/>
      <c r="AK972" s="200"/>
      <c r="AL972" s="200"/>
      <c r="AM972" s="200"/>
      <c r="AN972" s="200"/>
      <c r="AO972" s="200"/>
      <c r="AP972" s="200"/>
      <c r="AQ972" s="200"/>
      <c r="AR972" s="200"/>
      <c r="AS972" s="200"/>
      <c r="AT972" s="200"/>
    </row>
    <row r="973" spans="1:46" ht="16.5" customHeight="1">
      <c r="A973" s="307"/>
      <c r="B973" s="307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353"/>
      <c r="R973" s="353"/>
      <c r="S973" s="200"/>
      <c r="T973" s="353"/>
      <c r="U973" s="353"/>
      <c r="V973" s="353"/>
      <c r="W973" s="432"/>
      <c r="X973" s="200"/>
      <c r="Y973" s="200"/>
      <c r="Z973" s="200"/>
      <c r="AA973" s="200"/>
      <c r="AB973" s="200"/>
      <c r="AC973" s="200"/>
      <c r="AD973" s="200"/>
      <c r="AE973" s="200"/>
      <c r="AF973" s="200"/>
      <c r="AG973" s="200"/>
      <c r="AH973" s="200"/>
      <c r="AI973" s="200"/>
      <c r="AJ973" s="200"/>
      <c r="AK973" s="200"/>
      <c r="AL973" s="200"/>
      <c r="AM973" s="200"/>
      <c r="AN973" s="200"/>
      <c r="AO973" s="200"/>
      <c r="AP973" s="200"/>
      <c r="AQ973" s="200"/>
      <c r="AR973" s="200"/>
      <c r="AS973" s="200"/>
      <c r="AT973" s="200"/>
    </row>
    <row r="974" spans="1:46" ht="16.5" customHeight="1">
      <c r="A974" s="307"/>
      <c r="B974" s="307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353"/>
      <c r="R974" s="353"/>
      <c r="S974" s="200"/>
      <c r="T974" s="353"/>
      <c r="U974" s="353"/>
      <c r="V974" s="353"/>
      <c r="W974" s="432"/>
      <c r="X974" s="200"/>
      <c r="Y974" s="200"/>
      <c r="Z974" s="200"/>
      <c r="AA974" s="200"/>
      <c r="AB974" s="200"/>
      <c r="AC974" s="200"/>
      <c r="AD974" s="200"/>
      <c r="AE974" s="200"/>
      <c r="AF974" s="200"/>
      <c r="AG974" s="200"/>
      <c r="AH974" s="200"/>
      <c r="AI974" s="200"/>
      <c r="AJ974" s="200"/>
      <c r="AK974" s="200"/>
      <c r="AL974" s="200"/>
      <c r="AM974" s="200"/>
      <c r="AN974" s="200"/>
      <c r="AO974" s="200"/>
      <c r="AP974" s="200"/>
      <c r="AQ974" s="200"/>
      <c r="AR974" s="200"/>
      <c r="AS974" s="200"/>
      <c r="AT974" s="200"/>
    </row>
    <row r="975" spans="1:46" ht="16.5" customHeight="1">
      <c r="A975" s="307"/>
      <c r="B975" s="307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353"/>
      <c r="R975" s="353"/>
      <c r="S975" s="200"/>
      <c r="T975" s="353"/>
      <c r="U975" s="353"/>
      <c r="V975" s="353"/>
      <c r="W975" s="432"/>
      <c r="X975" s="200"/>
      <c r="Y975" s="200"/>
      <c r="Z975" s="200"/>
      <c r="AA975" s="200"/>
      <c r="AB975" s="200"/>
      <c r="AC975" s="200"/>
      <c r="AD975" s="200"/>
      <c r="AE975" s="200"/>
      <c r="AF975" s="200"/>
      <c r="AG975" s="200"/>
      <c r="AH975" s="200"/>
      <c r="AI975" s="200"/>
      <c r="AJ975" s="200"/>
      <c r="AK975" s="200"/>
      <c r="AL975" s="200"/>
      <c r="AM975" s="200"/>
      <c r="AN975" s="200"/>
      <c r="AO975" s="200"/>
      <c r="AP975" s="200"/>
      <c r="AQ975" s="200"/>
      <c r="AR975" s="200"/>
      <c r="AS975" s="200"/>
      <c r="AT975" s="200"/>
    </row>
    <row r="976" spans="1:46" ht="16.5" customHeight="1">
      <c r="A976" s="307"/>
      <c r="B976" s="307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353"/>
      <c r="R976" s="353"/>
      <c r="S976" s="200"/>
      <c r="T976" s="353"/>
      <c r="U976" s="353"/>
      <c r="V976" s="353"/>
      <c r="W976" s="432"/>
      <c r="X976" s="200"/>
      <c r="Y976" s="200"/>
      <c r="Z976" s="200"/>
      <c r="AA976" s="200"/>
      <c r="AB976" s="200"/>
      <c r="AC976" s="200"/>
      <c r="AD976" s="200"/>
      <c r="AE976" s="200"/>
      <c r="AF976" s="200"/>
      <c r="AG976" s="200"/>
      <c r="AH976" s="200"/>
      <c r="AI976" s="200"/>
      <c r="AJ976" s="200"/>
      <c r="AK976" s="200"/>
      <c r="AL976" s="200"/>
      <c r="AM976" s="200"/>
      <c r="AN976" s="200"/>
      <c r="AO976" s="200"/>
      <c r="AP976" s="200"/>
      <c r="AQ976" s="200"/>
      <c r="AR976" s="200"/>
      <c r="AS976" s="200"/>
      <c r="AT976" s="200"/>
    </row>
    <row r="977" spans="1:46" ht="16.5" customHeight="1">
      <c r="A977" s="307"/>
      <c r="B977" s="307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353"/>
      <c r="R977" s="353"/>
      <c r="S977" s="200"/>
      <c r="T977" s="353"/>
      <c r="U977" s="353"/>
      <c r="V977" s="353"/>
      <c r="W977" s="432"/>
      <c r="X977" s="200"/>
      <c r="Y977" s="200"/>
      <c r="Z977" s="200"/>
      <c r="AA977" s="200"/>
      <c r="AB977" s="200"/>
      <c r="AC977" s="200"/>
      <c r="AD977" s="200"/>
      <c r="AE977" s="200"/>
      <c r="AF977" s="200"/>
      <c r="AG977" s="200"/>
      <c r="AH977" s="200"/>
      <c r="AI977" s="200"/>
      <c r="AJ977" s="200"/>
      <c r="AK977" s="200"/>
      <c r="AL977" s="200"/>
      <c r="AM977" s="200"/>
      <c r="AN977" s="200"/>
      <c r="AO977" s="200"/>
      <c r="AP977" s="200"/>
      <c r="AQ977" s="200"/>
      <c r="AR977" s="200"/>
      <c r="AS977" s="200"/>
      <c r="AT977" s="200"/>
    </row>
    <row r="978" spans="1:46" ht="16.5" customHeight="1">
      <c r="A978" s="307"/>
      <c r="B978" s="307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353"/>
      <c r="R978" s="353"/>
      <c r="S978" s="200"/>
      <c r="T978" s="353"/>
      <c r="U978" s="353"/>
      <c r="V978" s="353"/>
      <c r="W978" s="432"/>
      <c r="X978" s="200"/>
      <c r="Y978" s="200"/>
      <c r="Z978" s="200"/>
      <c r="AA978" s="200"/>
      <c r="AB978" s="200"/>
      <c r="AC978" s="200"/>
      <c r="AD978" s="200"/>
      <c r="AE978" s="200"/>
      <c r="AF978" s="200"/>
      <c r="AG978" s="200"/>
      <c r="AH978" s="200"/>
      <c r="AI978" s="200"/>
      <c r="AJ978" s="200"/>
      <c r="AK978" s="200"/>
      <c r="AL978" s="200"/>
      <c r="AM978" s="200"/>
      <c r="AN978" s="200"/>
      <c r="AO978" s="200"/>
      <c r="AP978" s="200"/>
      <c r="AQ978" s="200"/>
      <c r="AR978" s="200"/>
      <c r="AS978" s="200"/>
      <c r="AT978" s="200"/>
    </row>
    <row r="979" spans="1:46" ht="16.5" customHeight="1">
      <c r="A979" s="307"/>
      <c r="B979" s="307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353"/>
      <c r="R979" s="353"/>
      <c r="S979" s="200"/>
      <c r="T979" s="353"/>
      <c r="U979" s="353"/>
      <c r="V979" s="353"/>
      <c r="W979" s="432"/>
      <c r="X979" s="200"/>
      <c r="Y979" s="200"/>
      <c r="Z979" s="200"/>
      <c r="AA979" s="200"/>
      <c r="AB979" s="200"/>
      <c r="AC979" s="200"/>
      <c r="AD979" s="200"/>
      <c r="AE979" s="200"/>
      <c r="AF979" s="200"/>
      <c r="AG979" s="200"/>
      <c r="AH979" s="200"/>
      <c r="AI979" s="200"/>
      <c r="AJ979" s="200"/>
      <c r="AK979" s="200"/>
      <c r="AL979" s="200"/>
      <c r="AM979" s="200"/>
      <c r="AN979" s="200"/>
      <c r="AO979" s="200"/>
      <c r="AP979" s="200"/>
      <c r="AQ979" s="200"/>
      <c r="AR979" s="200"/>
      <c r="AS979" s="200"/>
      <c r="AT979" s="200"/>
    </row>
    <row r="980" spans="1:46" ht="16.5" customHeight="1">
      <c r="A980" s="307"/>
      <c r="B980" s="307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353"/>
      <c r="R980" s="353"/>
      <c r="S980" s="200"/>
      <c r="T980" s="353"/>
      <c r="U980" s="353"/>
      <c r="V980" s="353"/>
      <c r="W980" s="432"/>
      <c r="X980" s="200"/>
      <c r="Y980" s="200"/>
      <c r="Z980" s="200"/>
      <c r="AA980" s="200"/>
      <c r="AB980" s="200"/>
      <c r="AC980" s="200"/>
      <c r="AD980" s="200"/>
      <c r="AE980" s="200"/>
      <c r="AF980" s="200"/>
      <c r="AG980" s="200"/>
      <c r="AH980" s="200"/>
      <c r="AI980" s="200"/>
      <c r="AJ980" s="200"/>
      <c r="AK980" s="200"/>
      <c r="AL980" s="200"/>
      <c r="AM980" s="200"/>
      <c r="AN980" s="200"/>
      <c r="AO980" s="200"/>
      <c r="AP980" s="200"/>
      <c r="AQ980" s="200"/>
      <c r="AR980" s="200"/>
      <c r="AS980" s="200"/>
      <c r="AT980" s="200"/>
    </row>
    <row r="981" spans="1:46" ht="16.5" customHeight="1">
      <c r="A981" s="307"/>
      <c r="B981" s="307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353"/>
      <c r="R981" s="353"/>
      <c r="S981" s="200"/>
      <c r="T981" s="353"/>
      <c r="U981" s="353"/>
      <c r="V981" s="353"/>
      <c r="W981" s="432"/>
      <c r="X981" s="200"/>
      <c r="Y981" s="200"/>
      <c r="Z981" s="200"/>
      <c r="AA981" s="200"/>
      <c r="AB981" s="200"/>
      <c r="AC981" s="200"/>
      <c r="AD981" s="200"/>
      <c r="AE981" s="200"/>
      <c r="AF981" s="200"/>
      <c r="AG981" s="200"/>
      <c r="AH981" s="200"/>
      <c r="AI981" s="200"/>
      <c r="AJ981" s="200"/>
      <c r="AK981" s="200"/>
      <c r="AL981" s="200"/>
      <c r="AM981" s="200"/>
      <c r="AN981" s="200"/>
      <c r="AO981" s="200"/>
      <c r="AP981" s="200"/>
      <c r="AQ981" s="200"/>
      <c r="AR981" s="200"/>
      <c r="AS981" s="200"/>
      <c r="AT981" s="200"/>
    </row>
    <row r="982" spans="1:46" ht="16.5" customHeight="1">
      <c r="A982" s="307"/>
      <c r="B982" s="307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353"/>
      <c r="R982" s="353"/>
      <c r="S982" s="200"/>
      <c r="T982" s="353"/>
      <c r="U982" s="353"/>
      <c r="V982" s="353"/>
      <c r="W982" s="432"/>
      <c r="X982" s="200"/>
      <c r="Y982" s="200"/>
      <c r="Z982" s="200"/>
      <c r="AA982" s="200"/>
      <c r="AB982" s="200"/>
      <c r="AC982" s="200"/>
      <c r="AD982" s="200"/>
      <c r="AE982" s="200"/>
      <c r="AF982" s="200"/>
      <c r="AG982" s="200"/>
      <c r="AH982" s="200"/>
      <c r="AI982" s="200"/>
      <c r="AJ982" s="200"/>
      <c r="AK982" s="200"/>
      <c r="AL982" s="200"/>
      <c r="AM982" s="200"/>
      <c r="AN982" s="200"/>
      <c r="AO982" s="200"/>
      <c r="AP982" s="200"/>
      <c r="AQ982" s="200"/>
      <c r="AR982" s="200"/>
      <c r="AS982" s="200"/>
      <c r="AT982" s="200"/>
    </row>
    <row r="983" spans="1:46" ht="16.5" customHeight="1">
      <c r="A983" s="307"/>
      <c r="B983" s="307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353"/>
      <c r="R983" s="353"/>
      <c r="S983" s="200"/>
      <c r="T983" s="353"/>
      <c r="U983" s="353"/>
      <c r="V983" s="353"/>
      <c r="W983" s="432"/>
      <c r="X983" s="200"/>
      <c r="Y983" s="200"/>
      <c r="Z983" s="200"/>
      <c r="AA983" s="200"/>
      <c r="AB983" s="200"/>
      <c r="AC983" s="200"/>
      <c r="AD983" s="200"/>
      <c r="AE983" s="200"/>
      <c r="AF983" s="200"/>
      <c r="AG983" s="200"/>
      <c r="AH983" s="200"/>
      <c r="AI983" s="200"/>
      <c r="AJ983" s="200"/>
      <c r="AK983" s="200"/>
      <c r="AL983" s="200"/>
      <c r="AM983" s="200"/>
      <c r="AN983" s="200"/>
      <c r="AO983" s="200"/>
      <c r="AP983" s="200"/>
      <c r="AQ983" s="200"/>
      <c r="AR983" s="200"/>
      <c r="AS983" s="200"/>
      <c r="AT983" s="200"/>
    </row>
    <row r="984" spans="1:46" ht="16.5" customHeight="1">
      <c r="A984" s="307"/>
      <c r="B984" s="307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353"/>
      <c r="R984" s="353"/>
      <c r="S984" s="200"/>
      <c r="T984" s="353"/>
      <c r="U984" s="353"/>
      <c r="V984" s="353"/>
      <c r="W984" s="432"/>
      <c r="X984" s="200"/>
      <c r="Y984" s="200"/>
      <c r="Z984" s="200"/>
      <c r="AA984" s="200"/>
      <c r="AB984" s="200"/>
      <c r="AC984" s="200"/>
      <c r="AD984" s="200"/>
      <c r="AE984" s="200"/>
      <c r="AF984" s="200"/>
      <c r="AG984" s="200"/>
      <c r="AH984" s="200"/>
      <c r="AI984" s="200"/>
      <c r="AJ984" s="200"/>
      <c r="AK984" s="200"/>
      <c r="AL984" s="200"/>
      <c r="AM984" s="200"/>
      <c r="AN984" s="200"/>
      <c r="AO984" s="200"/>
      <c r="AP984" s="200"/>
      <c r="AQ984" s="200"/>
      <c r="AR984" s="200"/>
      <c r="AS984" s="200"/>
      <c r="AT984" s="200"/>
    </row>
    <row r="985" spans="1:46" ht="16.5" customHeight="1">
      <c r="A985" s="307"/>
      <c r="B985" s="307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353"/>
      <c r="R985" s="353"/>
      <c r="S985" s="200"/>
      <c r="T985" s="353"/>
      <c r="U985" s="353"/>
      <c r="V985" s="353"/>
      <c r="W985" s="432"/>
      <c r="X985" s="200"/>
      <c r="Y985" s="200"/>
      <c r="Z985" s="200"/>
      <c r="AA985" s="200"/>
      <c r="AB985" s="200"/>
      <c r="AC985" s="200"/>
      <c r="AD985" s="200"/>
      <c r="AE985" s="200"/>
      <c r="AF985" s="200"/>
      <c r="AG985" s="200"/>
      <c r="AH985" s="200"/>
      <c r="AI985" s="200"/>
      <c r="AJ985" s="200"/>
      <c r="AK985" s="200"/>
      <c r="AL985" s="200"/>
      <c r="AM985" s="200"/>
      <c r="AN985" s="200"/>
      <c r="AO985" s="200"/>
      <c r="AP985" s="200"/>
      <c r="AQ985" s="200"/>
      <c r="AR985" s="200"/>
      <c r="AS985" s="200"/>
      <c r="AT985" s="200"/>
    </row>
    <row r="986" spans="1:46" ht="16.5" customHeight="1">
      <c r="A986" s="307"/>
      <c r="B986" s="307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353"/>
      <c r="R986" s="353"/>
      <c r="S986" s="200"/>
      <c r="T986" s="353"/>
      <c r="U986" s="353"/>
      <c r="V986" s="353"/>
      <c r="W986" s="432"/>
      <c r="X986" s="200"/>
      <c r="Y986" s="200"/>
      <c r="Z986" s="200"/>
      <c r="AA986" s="200"/>
      <c r="AB986" s="200"/>
      <c r="AC986" s="200"/>
      <c r="AD986" s="200"/>
      <c r="AE986" s="200"/>
      <c r="AF986" s="200"/>
      <c r="AG986" s="200"/>
      <c r="AH986" s="200"/>
      <c r="AI986" s="200"/>
      <c r="AJ986" s="200"/>
      <c r="AK986" s="200"/>
      <c r="AL986" s="200"/>
      <c r="AM986" s="200"/>
      <c r="AN986" s="200"/>
      <c r="AO986" s="200"/>
      <c r="AP986" s="200"/>
      <c r="AQ986" s="200"/>
      <c r="AR986" s="200"/>
      <c r="AS986" s="200"/>
      <c r="AT986" s="200"/>
    </row>
    <row r="987" spans="1:46" ht="16.5" customHeight="1">
      <c r="A987" s="307"/>
      <c r="B987" s="307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353"/>
      <c r="R987" s="353"/>
      <c r="S987" s="200"/>
      <c r="T987" s="353"/>
      <c r="U987" s="353"/>
      <c r="V987" s="353"/>
      <c r="W987" s="432"/>
      <c r="X987" s="200"/>
      <c r="Y987" s="200"/>
      <c r="Z987" s="200"/>
      <c r="AA987" s="200"/>
      <c r="AB987" s="200"/>
      <c r="AC987" s="200"/>
      <c r="AD987" s="200"/>
      <c r="AE987" s="200"/>
      <c r="AF987" s="200"/>
      <c r="AG987" s="200"/>
      <c r="AH987" s="200"/>
      <c r="AI987" s="200"/>
      <c r="AJ987" s="200"/>
      <c r="AK987" s="200"/>
      <c r="AL987" s="200"/>
      <c r="AM987" s="200"/>
      <c r="AN987" s="200"/>
      <c r="AO987" s="200"/>
      <c r="AP987" s="200"/>
      <c r="AQ987" s="200"/>
      <c r="AR987" s="200"/>
      <c r="AS987" s="200"/>
      <c r="AT987" s="200"/>
    </row>
    <row r="988" spans="1:46" ht="16.5" customHeight="1">
      <c r="A988" s="307"/>
      <c r="B988" s="307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353"/>
      <c r="R988" s="353"/>
      <c r="S988" s="200"/>
      <c r="T988" s="353"/>
      <c r="U988" s="353"/>
      <c r="V988" s="353"/>
      <c r="W988" s="432"/>
      <c r="X988" s="200"/>
      <c r="Y988" s="200"/>
      <c r="Z988" s="200"/>
      <c r="AA988" s="200"/>
      <c r="AB988" s="200"/>
      <c r="AC988" s="200"/>
      <c r="AD988" s="200"/>
      <c r="AE988" s="200"/>
      <c r="AF988" s="200"/>
      <c r="AG988" s="200"/>
      <c r="AH988" s="200"/>
      <c r="AI988" s="200"/>
      <c r="AJ988" s="200"/>
      <c r="AK988" s="200"/>
      <c r="AL988" s="200"/>
      <c r="AM988" s="200"/>
      <c r="AN988" s="200"/>
      <c r="AO988" s="200"/>
      <c r="AP988" s="200"/>
      <c r="AQ988" s="200"/>
      <c r="AR988" s="200"/>
      <c r="AS988" s="200"/>
      <c r="AT988" s="200"/>
    </row>
    <row r="989" spans="1:46" ht="16.5" customHeight="1">
      <c r="A989" s="307"/>
      <c r="B989" s="307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353"/>
      <c r="R989" s="353"/>
      <c r="S989" s="200"/>
      <c r="T989" s="353"/>
      <c r="U989" s="353"/>
      <c r="V989" s="353"/>
      <c r="W989" s="432"/>
      <c r="X989" s="200"/>
      <c r="Y989" s="200"/>
      <c r="Z989" s="200"/>
      <c r="AA989" s="200"/>
      <c r="AB989" s="200"/>
      <c r="AC989" s="200"/>
      <c r="AD989" s="200"/>
      <c r="AE989" s="200"/>
      <c r="AF989" s="200"/>
      <c r="AG989" s="200"/>
      <c r="AH989" s="200"/>
      <c r="AI989" s="200"/>
      <c r="AJ989" s="200"/>
      <c r="AK989" s="200"/>
      <c r="AL989" s="200"/>
      <c r="AM989" s="200"/>
      <c r="AN989" s="200"/>
      <c r="AO989" s="200"/>
      <c r="AP989" s="200"/>
      <c r="AQ989" s="200"/>
      <c r="AR989" s="200"/>
      <c r="AS989" s="200"/>
      <c r="AT989" s="200"/>
    </row>
    <row r="990" spans="1:46" ht="16.5" customHeight="1">
      <c r="A990" s="307"/>
      <c r="B990" s="307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353"/>
      <c r="R990" s="353"/>
      <c r="S990" s="200"/>
      <c r="T990" s="353"/>
      <c r="U990" s="353"/>
      <c r="V990" s="353"/>
      <c r="W990" s="432"/>
      <c r="X990" s="200"/>
      <c r="Y990" s="200"/>
      <c r="Z990" s="200"/>
      <c r="AA990" s="200"/>
      <c r="AB990" s="200"/>
      <c r="AC990" s="200"/>
      <c r="AD990" s="200"/>
      <c r="AE990" s="200"/>
      <c r="AF990" s="200"/>
      <c r="AG990" s="200"/>
      <c r="AH990" s="200"/>
      <c r="AI990" s="200"/>
      <c r="AJ990" s="200"/>
      <c r="AK990" s="200"/>
      <c r="AL990" s="200"/>
      <c r="AM990" s="200"/>
      <c r="AN990" s="200"/>
      <c r="AO990" s="200"/>
      <c r="AP990" s="200"/>
      <c r="AQ990" s="200"/>
      <c r="AR990" s="200"/>
      <c r="AS990" s="200"/>
      <c r="AT990" s="200"/>
    </row>
    <row r="991" spans="1:46" ht="16.5" customHeight="1">
      <c r="A991" s="307"/>
      <c r="B991" s="307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353"/>
      <c r="R991" s="353"/>
      <c r="S991" s="200"/>
      <c r="T991" s="353"/>
      <c r="U991" s="353"/>
      <c r="V991" s="353"/>
      <c r="W991" s="432"/>
      <c r="X991" s="200"/>
      <c r="Y991" s="200"/>
      <c r="Z991" s="200"/>
      <c r="AA991" s="200"/>
      <c r="AB991" s="200"/>
      <c r="AC991" s="200"/>
      <c r="AD991" s="200"/>
      <c r="AE991" s="200"/>
      <c r="AF991" s="200"/>
      <c r="AG991" s="200"/>
      <c r="AH991" s="200"/>
      <c r="AI991" s="200"/>
      <c r="AJ991" s="200"/>
      <c r="AK991" s="200"/>
      <c r="AL991" s="200"/>
      <c r="AM991" s="200"/>
      <c r="AN991" s="200"/>
      <c r="AO991" s="200"/>
      <c r="AP991" s="200"/>
      <c r="AQ991" s="200"/>
      <c r="AR991" s="200"/>
      <c r="AS991" s="200"/>
      <c r="AT991" s="200"/>
    </row>
    <row r="992" spans="1:46" ht="16.5" customHeight="1">
      <c r="A992" s="307"/>
      <c r="B992" s="307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353"/>
      <c r="R992" s="353"/>
      <c r="S992" s="200"/>
      <c r="T992" s="353"/>
      <c r="U992" s="353"/>
      <c r="V992" s="353"/>
      <c r="W992" s="432"/>
      <c r="X992" s="200"/>
      <c r="Y992" s="200"/>
      <c r="Z992" s="200"/>
      <c r="AA992" s="200"/>
      <c r="AB992" s="200"/>
      <c r="AC992" s="200"/>
      <c r="AD992" s="200"/>
      <c r="AE992" s="200"/>
      <c r="AF992" s="200"/>
      <c r="AG992" s="200"/>
      <c r="AH992" s="200"/>
      <c r="AI992" s="200"/>
      <c r="AJ992" s="200"/>
      <c r="AK992" s="200"/>
      <c r="AL992" s="200"/>
      <c r="AM992" s="200"/>
      <c r="AN992" s="200"/>
      <c r="AO992" s="200"/>
      <c r="AP992" s="200"/>
      <c r="AQ992" s="200"/>
      <c r="AR992" s="200"/>
      <c r="AS992" s="200"/>
      <c r="AT992" s="200"/>
    </row>
    <row r="993" spans="1:46" ht="16.5" customHeight="1">
      <c r="A993" s="307"/>
      <c r="B993" s="307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353"/>
      <c r="R993" s="353"/>
      <c r="S993" s="200"/>
      <c r="T993" s="353"/>
      <c r="U993" s="353"/>
      <c r="V993" s="353"/>
      <c r="W993" s="432"/>
      <c r="X993" s="200"/>
      <c r="Y993" s="200"/>
      <c r="Z993" s="200"/>
      <c r="AA993" s="200"/>
      <c r="AB993" s="200"/>
      <c r="AC993" s="200"/>
      <c r="AD993" s="200"/>
      <c r="AE993" s="200"/>
      <c r="AF993" s="200"/>
      <c r="AG993" s="200"/>
      <c r="AH993" s="200"/>
      <c r="AI993" s="200"/>
      <c r="AJ993" s="200"/>
      <c r="AK993" s="200"/>
      <c r="AL993" s="200"/>
      <c r="AM993" s="200"/>
      <c r="AN993" s="200"/>
      <c r="AO993" s="200"/>
      <c r="AP993" s="200"/>
      <c r="AQ993" s="200"/>
      <c r="AR993" s="200"/>
      <c r="AS993" s="200"/>
      <c r="AT993" s="200"/>
    </row>
    <row r="994" spans="1:46" ht="16.5" customHeight="1">
      <c r="A994" s="307"/>
      <c r="B994" s="307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353"/>
      <c r="R994" s="353"/>
      <c r="S994" s="200"/>
      <c r="T994" s="353"/>
      <c r="U994" s="353"/>
      <c r="V994" s="353"/>
      <c r="W994" s="432"/>
      <c r="X994" s="200"/>
      <c r="Y994" s="200"/>
      <c r="Z994" s="200"/>
      <c r="AA994" s="200"/>
      <c r="AB994" s="200"/>
      <c r="AC994" s="200"/>
      <c r="AD994" s="200"/>
      <c r="AE994" s="200"/>
      <c r="AF994" s="200"/>
      <c r="AG994" s="200"/>
      <c r="AH994" s="200"/>
      <c r="AI994" s="200"/>
      <c r="AJ994" s="200"/>
      <c r="AK994" s="200"/>
      <c r="AL994" s="200"/>
      <c r="AM994" s="200"/>
      <c r="AN994" s="200"/>
      <c r="AO994" s="200"/>
      <c r="AP994" s="200"/>
      <c r="AQ994" s="200"/>
      <c r="AR994" s="200"/>
      <c r="AS994" s="200"/>
      <c r="AT994" s="200"/>
    </row>
    <row r="995" spans="1:46" ht="16.5" customHeight="1">
      <c r="A995" s="307"/>
      <c r="B995" s="307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353"/>
      <c r="R995" s="353"/>
      <c r="S995" s="200"/>
      <c r="T995" s="353"/>
      <c r="U995" s="353"/>
      <c r="V995" s="353"/>
      <c r="W995" s="432"/>
      <c r="X995" s="200"/>
      <c r="Y995" s="200"/>
      <c r="Z995" s="200"/>
      <c r="AA995" s="200"/>
      <c r="AB995" s="200"/>
      <c r="AC995" s="200"/>
      <c r="AD995" s="200"/>
      <c r="AE995" s="200"/>
      <c r="AF995" s="200"/>
      <c r="AG995" s="200"/>
      <c r="AH995" s="200"/>
      <c r="AI995" s="200"/>
      <c r="AJ995" s="200"/>
      <c r="AK995" s="200"/>
      <c r="AL995" s="200"/>
      <c r="AM995" s="200"/>
      <c r="AN995" s="200"/>
      <c r="AO995" s="200"/>
      <c r="AP995" s="200"/>
      <c r="AQ995" s="200"/>
      <c r="AR995" s="200"/>
      <c r="AS995" s="200"/>
      <c r="AT995" s="200"/>
    </row>
    <row r="996" spans="1:46" ht="16.5" customHeight="1">
      <c r="A996" s="307"/>
      <c r="B996" s="307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353"/>
      <c r="R996" s="353"/>
      <c r="S996" s="200"/>
      <c r="T996" s="353"/>
      <c r="U996" s="353"/>
      <c r="V996" s="353"/>
      <c r="W996" s="432"/>
      <c r="X996" s="200"/>
      <c r="Y996" s="200"/>
      <c r="Z996" s="200"/>
      <c r="AA996" s="200"/>
      <c r="AB996" s="200"/>
      <c r="AC996" s="200"/>
      <c r="AD996" s="200"/>
      <c r="AE996" s="200"/>
      <c r="AF996" s="200"/>
      <c r="AG996" s="200"/>
      <c r="AH996" s="200"/>
      <c r="AI996" s="200"/>
      <c r="AJ996" s="200"/>
      <c r="AK996" s="200"/>
      <c r="AL996" s="200"/>
      <c r="AM996" s="200"/>
      <c r="AN996" s="200"/>
      <c r="AO996" s="200"/>
      <c r="AP996" s="200"/>
      <c r="AQ996" s="200"/>
      <c r="AR996" s="200"/>
      <c r="AS996" s="200"/>
      <c r="AT996" s="200"/>
    </row>
    <row r="997" spans="1:46" ht="16.5" customHeight="1">
      <c r="A997" s="307"/>
      <c r="B997" s="307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353"/>
      <c r="R997" s="353"/>
      <c r="S997" s="200"/>
      <c r="T997" s="353"/>
      <c r="U997" s="353"/>
      <c r="V997" s="353"/>
      <c r="W997" s="432"/>
      <c r="X997" s="200"/>
      <c r="Y997" s="200"/>
      <c r="Z997" s="200"/>
      <c r="AA997" s="200"/>
      <c r="AB997" s="200"/>
      <c r="AC997" s="200"/>
      <c r="AD997" s="200"/>
      <c r="AE997" s="200"/>
      <c r="AF997" s="200"/>
      <c r="AG997" s="200"/>
      <c r="AH997" s="200"/>
      <c r="AI997" s="200"/>
      <c r="AJ997" s="200"/>
      <c r="AK997" s="200"/>
      <c r="AL997" s="200"/>
      <c r="AM997" s="200"/>
      <c r="AN997" s="200"/>
      <c r="AO997" s="200"/>
      <c r="AP997" s="200"/>
      <c r="AQ997" s="200"/>
      <c r="AR997" s="200"/>
      <c r="AS997" s="200"/>
      <c r="AT997" s="200"/>
    </row>
    <row r="998" spans="1:46" ht="16.5" customHeight="1">
      <c r="A998" s="307"/>
      <c r="B998" s="307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353"/>
      <c r="R998" s="353"/>
      <c r="S998" s="200"/>
      <c r="T998" s="353"/>
      <c r="U998" s="353"/>
      <c r="V998" s="353"/>
      <c r="W998" s="432"/>
      <c r="X998" s="200"/>
      <c r="Y998" s="200"/>
      <c r="Z998" s="200"/>
      <c r="AA998" s="200"/>
      <c r="AB998" s="200"/>
      <c r="AC998" s="200"/>
      <c r="AD998" s="200"/>
      <c r="AE998" s="200"/>
      <c r="AF998" s="200"/>
      <c r="AG998" s="200"/>
      <c r="AH998" s="200"/>
      <c r="AI998" s="200"/>
      <c r="AJ998" s="200"/>
      <c r="AK998" s="200"/>
      <c r="AL998" s="200"/>
      <c r="AM998" s="200"/>
      <c r="AN998" s="200"/>
      <c r="AO998" s="200"/>
      <c r="AP998" s="200"/>
      <c r="AQ998" s="200"/>
      <c r="AR998" s="200"/>
      <c r="AS998" s="200"/>
      <c r="AT998" s="200"/>
    </row>
    <row r="999" spans="1:46" ht="16.5" customHeight="1">
      <c r="A999" s="307"/>
      <c r="B999" s="307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353"/>
      <c r="R999" s="353"/>
      <c r="S999" s="200"/>
      <c r="T999" s="353"/>
      <c r="U999" s="353"/>
      <c r="V999" s="353"/>
      <c r="W999" s="432"/>
      <c r="X999" s="200"/>
      <c r="Y999" s="200"/>
      <c r="Z999" s="200"/>
      <c r="AA999" s="200"/>
      <c r="AB999" s="200"/>
      <c r="AC999" s="200"/>
      <c r="AD999" s="200"/>
      <c r="AE999" s="200"/>
      <c r="AF999" s="200"/>
      <c r="AG999" s="200"/>
      <c r="AH999" s="200"/>
      <c r="AI999" s="200"/>
      <c r="AJ999" s="200"/>
      <c r="AK999" s="200"/>
      <c r="AL999" s="200"/>
      <c r="AM999" s="200"/>
      <c r="AN999" s="200"/>
      <c r="AO999" s="200"/>
      <c r="AP999" s="200"/>
      <c r="AQ999" s="200"/>
      <c r="AR999" s="200"/>
      <c r="AS999" s="200"/>
      <c r="AT999" s="200"/>
    </row>
    <row r="1000" spans="1:46" ht="16.5" customHeight="1">
      <c r="A1000" s="307"/>
      <c r="B1000" s="307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353"/>
      <c r="R1000" s="353"/>
      <c r="S1000" s="200"/>
      <c r="T1000" s="353"/>
      <c r="U1000" s="353"/>
      <c r="V1000" s="353"/>
      <c r="W1000" s="432"/>
      <c r="X1000" s="200"/>
      <c r="Y1000" s="200"/>
      <c r="Z1000" s="200"/>
      <c r="AA1000" s="200"/>
      <c r="AB1000" s="200"/>
      <c r="AC1000" s="200"/>
      <c r="AD1000" s="200"/>
      <c r="AE1000" s="200"/>
      <c r="AF1000" s="200"/>
      <c r="AG1000" s="200"/>
      <c r="AH1000" s="200"/>
      <c r="AI1000" s="200"/>
      <c r="AJ1000" s="200"/>
      <c r="AK1000" s="200"/>
      <c r="AL1000" s="200"/>
      <c r="AM1000" s="200"/>
      <c r="AN1000" s="200"/>
      <c r="AO1000" s="200"/>
      <c r="AP1000" s="200"/>
      <c r="AQ1000" s="200"/>
      <c r="AR1000" s="200"/>
      <c r="AS1000" s="200"/>
      <c r="AT1000" s="200"/>
    </row>
    <row r="1001" spans="1:46" ht="16.5" customHeight="1">
      <c r="A1001" s="307"/>
      <c r="B1001" s="307"/>
      <c r="C1001" s="200"/>
      <c r="D1001" s="200"/>
      <c r="E1001" s="200"/>
      <c r="F1001" s="200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353"/>
      <c r="R1001" s="353"/>
      <c r="S1001" s="200"/>
      <c r="T1001" s="353"/>
      <c r="U1001" s="353"/>
      <c r="V1001" s="353"/>
      <c r="W1001" s="432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0"/>
      <c r="AK1001" s="200"/>
      <c r="AL1001" s="200"/>
      <c r="AM1001" s="200"/>
      <c r="AN1001" s="200"/>
      <c r="AO1001" s="200"/>
      <c r="AP1001" s="200"/>
      <c r="AQ1001" s="200"/>
      <c r="AR1001" s="200"/>
      <c r="AS1001" s="200"/>
      <c r="AT1001" s="200"/>
    </row>
    <row r="1002" spans="1:46" ht="16.5" customHeight="1">
      <c r="A1002" s="307"/>
      <c r="B1002" s="307"/>
      <c r="C1002" s="200"/>
      <c r="D1002" s="200"/>
      <c r="E1002" s="200"/>
      <c r="F1002" s="200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353"/>
      <c r="R1002" s="353"/>
      <c r="S1002" s="200"/>
      <c r="T1002" s="353"/>
      <c r="U1002" s="353"/>
      <c r="V1002" s="353"/>
      <c r="W1002" s="432"/>
      <c r="X1002" s="200"/>
      <c r="Y1002" s="200"/>
      <c r="Z1002" s="200"/>
      <c r="AA1002" s="200"/>
      <c r="AB1002" s="200"/>
      <c r="AC1002" s="200"/>
      <c r="AD1002" s="200"/>
      <c r="AE1002" s="200"/>
      <c r="AF1002" s="200"/>
      <c r="AG1002" s="200"/>
      <c r="AH1002" s="200"/>
      <c r="AI1002" s="200"/>
      <c r="AJ1002" s="200"/>
      <c r="AK1002" s="200"/>
      <c r="AL1002" s="200"/>
      <c r="AM1002" s="200"/>
      <c r="AN1002" s="200"/>
      <c r="AO1002" s="200"/>
      <c r="AP1002" s="200"/>
      <c r="AQ1002" s="200"/>
      <c r="AR1002" s="200"/>
      <c r="AS1002" s="200"/>
      <c r="AT1002" s="200"/>
    </row>
    <row r="1003" spans="1:46" ht="16.5" customHeight="1">
      <c r="A1003" s="307"/>
      <c r="B1003" s="307"/>
      <c r="C1003" s="200"/>
      <c r="D1003" s="200"/>
      <c r="E1003" s="200"/>
      <c r="F1003" s="200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353"/>
      <c r="R1003" s="353"/>
      <c r="S1003" s="200"/>
      <c r="T1003" s="353"/>
      <c r="U1003" s="353"/>
      <c r="V1003" s="353"/>
      <c r="W1003" s="432"/>
      <c r="X1003" s="200"/>
      <c r="Y1003" s="200"/>
      <c r="Z1003" s="200"/>
      <c r="AA1003" s="200"/>
      <c r="AB1003" s="200"/>
      <c r="AC1003" s="200"/>
      <c r="AD1003" s="200"/>
      <c r="AE1003" s="200"/>
      <c r="AF1003" s="200"/>
      <c r="AG1003" s="200"/>
      <c r="AH1003" s="200"/>
      <c r="AI1003" s="200"/>
      <c r="AJ1003" s="200"/>
      <c r="AK1003" s="200"/>
      <c r="AL1003" s="200"/>
      <c r="AM1003" s="200"/>
      <c r="AN1003" s="200"/>
      <c r="AO1003" s="200"/>
      <c r="AP1003" s="200"/>
      <c r="AQ1003" s="200"/>
      <c r="AR1003" s="200"/>
      <c r="AS1003" s="200"/>
      <c r="AT1003" s="200"/>
    </row>
    <row r="1004" spans="1:46" ht="16.5" customHeight="1">
      <c r="A1004" s="307"/>
      <c r="B1004" s="307"/>
      <c r="C1004" s="200"/>
      <c r="D1004" s="200"/>
      <c r="E1004" s="200"/>
      <c r="F1004" s="200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353"/>
      <c r="R1004" s="353"/>
      <c r="S1004" s="200"/>
      <c r="T1004" s="353"/>
      <c r="U1004" s="353"/>
      <c r="V1004" s="353"/>
      <c r="W1004" s="432"/>
      <c r="X1004" s="200"/>
      <c r="Y1004" s="200"/>
      <c r="Z1004" s="200"/>
      <c r="AA1004" s="200"/>
      <c r="AB1004" s="200"/>
      <c r="AC1004" s="200"/>
      <c r="AD1004" s="200"/>
      <c r="AE1004" s="200"/>
      <c r="AF1004" s="200"/>
      <c r="AG1004" s="200"/>
      <c r="AH1004" s="200"/>
      <c r="AI1004" s="200"/>
      <c r="AJ1004" s="200"/>
      <c r="AK1004" s="200"/>
      <c r="AL1004" s="200"/>
      <c r="AM1004" s="200"/>
      <c r="AN1004" s="200"/>
      <c r="AO1004" s="200"/>
      <c r="AP1004" s="200"/>
      <c r="AQ1004" s="200"/>
      <c r="AR1004" s="200"/>
      <c r="AS1004" s="200"/>
      <c r="AT1004" s="200"/>
    </row>
    <row r="1005" spans="1:46" ht="16.5" customHeight="1">
      <c r="A1005" s="307"/>
      <c r="B1005" s="307"/>
      <c r="C1005" s="200"/>
      <c r="D1005" s="200"/>
      <c r="E1005" s="200"/>
      <c r="F1005" s="200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353"/>
      <c r="R1005" s="353"/>
      <c r="S1005" s="200"/>
      <c r="T1005" s="353"/>
      <c r="U1005" s="353"/>
      <c r="V1005" s="353"/>
      <c r="W1005" s="432"/>
      <c r="X1005" s="200"/>
      <c r="Y1005" s="200"/>
      <c r="Z1005" s="200"/>
      <c r="AA1005" s="200"/>
      <c r="AB1005" s="200"/>
      <c r="AC1005" s="200"/>
      <c r="AD1005" s="200"/>
      <c r="AE1005" s="200"/>
      <c r="AF1005" s="200"/>
      <c r="AG1005" s="200"/>
      <c r="AH1005" s="200"/>
      <c r="AI1005" s="200"/>
      <c r="AJ1005" s="200"/>
      <c r="AK1005" s="200"/>
      <c r="AL1005" s="200"/>
      <c r="AM1005" s="200"/>
      <c r="AN1005" s="200"/>
      <c r="AO1005" s="200"/>
      <c r="AP1005" s="200"/>
      <c r="AQ1005" s="200"/>
      <c r="AR1005" s="200"/>
      <c r="AS1005" s="200"/>
      <c r="AT1005" s="200"/>
    </row>
    <row r="1006" spans="1:46" ht="16.5" customHeight="1">
      <c r="A1006" s="307"/>
      <c r="B1006" s="307"/>
      <c r="C1006" s="200"/>
      <c r="D1006" s="200"/>
      <c r="E1006" s="200"/>
      <c r="F1006" s="200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353"/>
      <c r="R1006" s="353"/>
      <c r="S1006" s="200"/>
      <c r="T1006" s="353"/>
      <c r="U1006" s="353"/>
      <c r="V1006" s="353"/>
      <c r="W1006" s="432"/>
      <c r="X1006" s="200"/>
      <c r="Y1006" s="200"/>
      <c r="Z1006" s="200"/>
      <c r="AA1006" s="200"/>
      <c r="AB1006" s="200"/>
      <c r="AC1006" s="200"/>
      <c r="AD1006" s="200"/>
      <c r="AE1006" s="200"/>
      <c r="AF1006" s="200"/>
      <c r="AG1006" s="200"/>
      <c r="AH1006" s="200"/>
      <c r="AI1006" s="200"/>
      <c r="AJ1006" s="200"/>
      <c r="AK1006" s="200"/>
      <c r="AL1006" s="200"/>
      <c r="AM1006" s="200"/>
      <c r="AN1006" s="200"/>
      <c r="AO1006" s="200"/>
      <c r="AP1006" s="200"/>
      <c r="AQ1006" s="200"/>
      <c r="AR1006" s="200"/>
      <c r="AS1006" s="200"/>
      <c r="AT1006" s="200"/>
    </row>
    <row r="1007" spans="1:46" ht="16.5" customHeight="1">
      <c r="A1007" s="307"/>
      <c r="B1007" s="307"/>
      <c r="C1007" s="200"/>
      <c r="D1007" s="200"/>
      <c r="E1007" s="200"/>
      <c r="F1007" s="200"/>
      <c r="G1007" s="200"/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353"/>
      <c r="R1007" s="353"/>
      <c r="S1007" s="200"/>
      <c r="T1007" s="353"/>
      <c r="U1007" s="353"/>
      <c r="V1007" s="353"/>
      <c r="W1007" s="432"/>
      <c r="X1007" s="200"/>
      <c r="Y1007" s="200"/>
      <c r="Z1007" s="200"/>
      <c r="AA1007" s="200"/>
      <c r="AB1007" s="200"/>
      <c r="AC1007" s="200"/>
      <c r="AD1007" s="200"/>
      <c r="AE1007" s="200"/>
      <c r="AF1007" s="200"/>
      <c r="AG1007" s="200"/>
      <c r="AH1007" s="200"/>
      <c r="AI1007" s="200"/>
      <c r="AJ1007" s="200"/>
      <c r="AK1007" s="200"/>
      <c r="AL1007" s="200"/>
      <c r="AM1007" s="200"/>
      <c r="AN1007" s="200"/>
      <c r="AO1007" s="200"/>
      <c r="AP1007" s="200"/>
      <c r="AQ1007" s="200"/>
      <c r="AR1007" s="200"/>
      <c r="AS1007" s="200"/>
      <c r="AT1007" s="200"/>
    </row>
    <row r="1008" spans="1:46" ht="16.5" customHeight="1">
      <c r="A1008" s="307"/>
      <c r="B1008" s="307"/>
      <c r="C1008" s="200"/>
      <c r="D1008" s="200"/>
      <c r="E1008" s="200"/>
      <c r="F1008" s="200"/>
      <c r="G1008" s="200"/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353"/>
      <c r="R1008" s="353"/>
      <c r="S1008" s="200"/>
      <c r="T1008" s="353"/>
      <c r="U1008" s="353"/>
      <c r="V1008" s="353"/>
      <c r="W1008" s="432"/>
      <c r="X1008" s="200"/>
      <c r="Y1008" s="200"/>
      <c r="Z1008" s="200"/>
      <c r="AA1008" s="200"/>
      <c r="AB1008" s="200"/>
      <c r="AC1008" s="200"/>
      <c r="AD1008" s="200"/>
      <c r="AE1008" s="200"/>
      <c r="AF1008" s="200"/>
      <c r="AG1008" s="200"/>
      <c r="AH1008" s="200"/>
      <c r="AI1008" s="200"/>
      <c r="AJ1008" s="200"/>
      <c r="AK1008" s="200"/>
      <c r="AL1008" s="200"/>
      <c r="AM1008" s="200"/>
      <c r="AN1008" s="200"/>
      <c r="AO1008" s="200"/>
      <c r="AP1008" s="200"/>
      <c r="AQ1008" s="200"/>
      <c r="AR1008" s="200"/>
      <c r="AS1008" s="200"/>
      <c r="AT1008" s="200"/>
    </row>
    <row r="1009" spans="1:46" ht="16.5" customHeight="1">
      <c r="A1009" s="307"/>
      <c r="B1009" s="307"/>
      <c r="C1009" s="200"/>
      <c r="D1009" s="200"/>
      <c r="E1009" s="200"/>
      <c r="F1009" s="200"/>
      <c r="G1009" s="200"/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353"/>
      <c r="R1009" s="353"/>
      <c r="S1009" s="200"/>
      <c r="T1009" s="353"/>
      <c r="U1009" s="353"/>
      <c r="V1009" s="353"/>
      <c r="W1009" s="432"/>
      <c r="X1009" s="200"/>
      <c r="Y1009" s="200"/>
      <c r="Z1009" s="200"/>
      <c r="AA1009" s="200"/>
      <c r="AB1009" s="200"/>
      <c r="AC1009" s="200"/>
      <c r="AD1009" s="200"/>
      <c r="AE1009" s="200"/>
      <c r="AF1009" s="200"/>
      <c r="AG1009" s="200"/>
      <c r="AH1009" s="200"/>
      <c r="AI1009" s="200"/>
      <c r="AJ1009" s="200"/>
      <c r="AK1009" s="200"/>
      <c r="AL1009" s="200"/>
      <c r="AM1009" s="200"/>
      <c r="AN1009" s="200"/>
      <c r="AO1009" s="200"/>
      <c r="AP1009" s="200"/>
      <c r="AQ1009" s="200"/>
      <c r="AR1009" s="200"/>
      <c r="AS1009" s="200"/>
      <c r="AT1009" s="200"/>
    </row>
    <row r="1010" spans="1:46" ht="16.5" customHeight="1">
      <c r="A1010" s="307"/>
      <c r="B1010" s="307"/>
      <c r="C1010" s="200"/>
      <c r="D1010" s="200"/>
      <c r="E1010" s="200"/>
      <c r="F1010" s="200"/>
      <c r="G1010" s="200"/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353"/>
      <c r="R1010" s="353"/>
      <c r="S1010" s="200"/>
      <c r="T1010" s="353"/>
      <c r="U1010" s="353"/>
      <c r="V1010" s="353"/>
      <c r="W1010" s="432"/>
      <c r="X1010" s="200"/>
      <c r="Y1010" s="200"/>
      <c r="Z1010" s="200"/>
      <c r="AA1010" s="200"/>
      <c r="AB1010" s="200"/>
      <c r="AC1010" s="200"/>
      <c r="AD1010" s="200"/>
      <c r="AE1010" s="200"/>
      <c r="AF1010" s="200"/>
      <c r="AG1010" s="200"/>
      <c r="AH1010" s="200"/>
      <c r="AI1010" s="200"/>
      <c r="AJ1010" s="200"/>
      <c r="AK1010" s="200"/>
      <c r="AL1010" s="200"/>
      <c r="AM1010" s="200"/>
      <c r="AN1010" s="200"/>
      <c r="AO1010" s="200"/>
      <c r="AP1010" s="200"/>
      <c r="AQ1010" s="200"/>
      <c r="AR1010" s="200"/>
      <c r="AS1010" s="200"/>
      <c r="AT1010" s="200"/>
    </row>
    <row r="1011" spans="1:46" ht="16.5" customHeight="1">
      <c r="A1011" s="307"/>
      <c r="B1011" s="307"/>
      <c r="C1011" s="200"/>
      <c r="D1011" s="200"/>
      <c r="E1011" s="200"/>
      <c r="F1011" s="200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353"/>
      <c r="R1011" s="353"/>
      <c r="S1011" s="200"/>
      <c r="T1011" s="353"/>
      <c r="U1011" s="353"/>
      <c r="V1011" s="353"/>
      <c r="W1011" s="432"/>
      <c r="X1011" s="200"/>
      <c r="Y1011" s="200"/>
      <c r="Z1011" s="200"/>
      <c r="AA1011" s="200"/>
      <c r="AB1011" s="200"/>
      <c r="AC1011" s="200"/>
      <c r="AD1011" s="200"/>
      <c r="AE1011" s="200"/>
      <c r="AF1011" s="200"/>
      <c r="AG1011" s="200"/>
      <c r="AH1011" s="200"/>
      <c r="AI1011" s="200"/>
      <c r="AJ1011" s="200"/>
      <c r="AK1011" s="200"/>
      <c r="AL1011" s="200"/>
      <c r="AM1011" s="200"/>
      <c r="AN1011" s="200"/>
      <c r="AO1011" s="200"/>
      <c r="AP1011" s="200"/>
      <c r="AQ1011" s="200"/>
      <c r="AR1011" s="200"/>
      <c r="AS1011" s="200"/>
      <c r="AT1011" s="200"/>
    </row>
    <row r="1012" spans="1:46" ht="16.5" customHeight="1">
      <c r="A1012" s="307"/>
      <c r="B1012" s="307"/>
      <c r="C1012" s="200"/>
      <c r="D1012" s="200"/>
      <c r="E1012" s="200"/>
      <c r="F1012" s="200"/>
      <c r="G1012" s="200"/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353"/>
      <c r="R1012" s="353"/>
      <c r="S1012" s="200"/>
      <c r="T1012" s="353"/>
      <c r="U1012" s="353"/>
      <c r="V1012" s="353"/>
      <c r="W1012" s="432"/>
      <c r="X1012" s="200"/>
      <c r="Y1012" s="200"/>
      <c r="Z1012" s="200"/>
      <c r="AA1012" s="200"/>
      <c r="AB1012" s="200"/>
      <c r="AC1012" s="200"/>
      <c r="AD1012" s="200"/>
      <c r="AE1012" s="200"/>
      <c r="AF1012" s="200"/>
      <c r="AG1012" s="200"/>
      <c r="AH1012" s="200"/>
      <c r="AI1012" s="200"/>
      <c r="AJ1012" s="200"/>
      <c r="AK1012" s="200"/>
      <c r="AL1012" s="200"/>
      <c r="AM1012" s="200"/>
      <c r="AN1012" s="200"/>
      <c r="AO1012" s="200"/>
      <c r="AP1012" s="200"/>
      <c r="AQ1012" s="200"/>
      <c r="AR1012" s="200"/>
      <c r="AS1012" s="200"/>
      <c r="AT1012" s="200"/>
    </row>
    <row r="1013" spans="1:46" ht="16.5" customHeight="1">
      <c r="A1013" s="307"/>
      <c r="B1013" s="307"/>
      <c r="C1013" s="200"/>
      <c r="D1013" s="200"/>
      <c r="E1013" s="200"/>
      <c r="F1013" s="200"/>
      <c r="G1013" s="200"/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353"/>
      <c r="R1013" s="353"/>
      <c r="S1013" s="200"/>
      <c r="T1013" s="353"/>
      <c r="U1013" s="353"/>
      <c r="V1013" s="353"/>
      <c r="W1013" s="432"/>
      <c r="X1013" s="200"/>
      <c r="Y1013" s="200"/>
      <c r="Z1013" s="200"/>
      <c r="AA1013" s="200"/>
      <c r="AB1013" s="200"/>
      <c r="AC1013" s="200"/>
      <c r="AD1013" s="200"/>
      <c r="AE1013" s="200"/>
      <c r="AF1013" s="200"/>
      <c r="AG1013" s="200"/>
      <c r="AH1013" s="200"/>
      <c r="AI1013" s="200"/>
      <c r="AJ1013" s="200"/>
      <c r="AK1013" s="200"/>
      <c r="AL1013" s="200"/>
      <c r="AM1013" s="200"/>
      <c r="AN1013" s="200"/>
      <c r="AO1013" s="200"/>
      <c r="AP1013" s="200"/>
      <c r="AQ1013" s="200"/>
      <c r="AR1013" s="200"/>
      <c r="AS1013" s="200"/>
      <c r="AT1013" s="200"/>
    </row>
    <row r="1014" spans="1:46" ht="16.5" customHeight="1">
      <c r="A1014" s="307"/>
      <c r="B1014" s="307"/>
      <c r="C1014" s="200"/>
      <c r="D1014" s="200"/>
      <c r="E1014" s="200"/>
      <c r="F1014" s="200"/>
      <c r="G1014" s="200"/>
      <c r="H1014" s="200"/>
      <c r="I1014" s="200"/>
      <c r="J1014" s="200"/>
      <c r="K1014" s="200"/>
      <c r="L1014" s="200"/>
      <c r="M1014" s="200"/>
      <c r="N1014" s="200"/>
      <c r="O1014" s="200"/>
      <c r="P1014" s="200"/>
      <c r="Q1014" s="353"/>
      <c r="R1014" s="353"/>
      <c r="S1014" s="200"/>
      <c r="T1014" s="353"/>
      <c r="U1014" s="353"/>
      <c r="V1014" s="353"/>
      <c r="W1014" s="432"/>
      <c r="X1014" s="200"/>
      <c r="Y1014" s="200"/>
      <c r="Z1014" s="200"/>
      <c r="AA1014" s="200"/>
      <c r="AB1014" s="200"/>
      <c r="AC1014" s="200"/>
      <c r="AD1014" s="200"/>
      <c r="AE1014" s="200"/>
      <c r="AF1014" s="200"/>
      <c r="AG1014" s="200"/>
      <c r="AH1014" s="200"/>
      <c r="AI1014" s="200"/>
      <c r="AJ1014" s="200"/>
      <c r="AK1014" s="200"/>
      <c r="AL1014" s="200"/>
      <c r="AM1014" s="200"/>
      <c r="AN1014" s="200"/>
      <c r="AO1014" s="200"/>
      <c r="AP1014" s="200"/>
      <c r="AQ1014" s="200"/>
      <c r="AR1014" s="200"/>
      <c r="AS1014" s="200"/>
      <c r="AT1014" s="200"/>
    </row>
    <row r="1015" spans="1:46" ht="16.5" customHeight="1">
      <c r="A1015" s="307"/>
      <c r="B1015" s="307"/>
      <c r="C1015" s="200"/>
      <c r="D1015" s="200"/>
      <c r="E1015" s="200"/>
      <c r="F1015" s="200"/>
      <c r="G1015" s="200"/>
      <c r="H1015" s="200"/>
      <c r="I1015" s="200"/>
      <c r="J1015" s="200"/>
      <c r="K1015" s="200"/>
      <c r="L1015" s="200"/>
      <c r="M1015" s="200"/>
      <c r="N1015" s="200"/>
      <c r="O1015" s="200"/>
      <c r="P1015" s="200"/>
      <c r="Q1015" s="353"/>
      <c r="R1015" s="353"/>
      <c r="S1015" s="200"/>
      <c r="T1015" s="353"/>
      <c r="U1015" s="353"/>
      <c r="V1015" s="353"/>
      <c r="W1015" s="432"/>
      <c r="X1015" s="200"/>
      <c r="Y1015" s="200"/>
      <c r="Z1015" s="200"/>
      <c r="AA1015" s="200"/>
      <c r="AB1015" s="200"/>
      <c r="AC1015" s="200"/>
      <c r="AD1015" s="200"/>
      <c r="AE1015" s="200"/>
      <c r="AF1015" s="200"/>
      <c r="AG1015" s="200"/>
      <c r="AH1015" s="200"/>
      <c r="AI1015" s="200"/>
      <c r="AJ1015" s="200"/>
      <c r="AK1015" s="200"/>
      <c r="AL1015" s="200"/>
      <c r="AM1015" s="200"/>
      <c r="AN1015" s="200"/>
      <c r="AO1015" s="200"/>
      <c r="AP1015" s="200"/>
      <c r="AQ1015" s="200"/>
      <c r="AR1015" s="200"/>
      <c r="AS1015" s="200"/>
      <c r="AT1015" s="200"/>
    </row>
    <row r="1016" spans="1:46" ht="16.5" customHeight="1">
      <c r="A1016" s="307"/>
      <c r="B1016" s="307"/>
      <c r="C1016" s="200"/>
      <c r="D1016" s="200"/>
      <c r="E1016" s="200"/>
      <c r="F1016" s="200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353"/>
      <c r="R1016" s="353"/>
      <c r="S1016" s="200"/>
      <c r="T1016" s="353"/>
      <c r="U1016" s="353"/>
      <c r="V1016" s="353"/>
      <c r="W1016" s="432"/>
      <c r="X1016" s="200"/>
      <c r="Y1016" s="200"/>
      <c r="Z1016" s="200"/>
      <c r="AA1016" s="200"/>
      <c r="AB1016" s="200"/>
      <c r="AC1016" s="200"/>
      <c r="AD1016" s="200"/>
      <c r="AE1016" s="200"/>
      <c r="AF1016" s="200"/>
      <c r="AG1016" s="200"/>
      <c r="AH1016" s="200"/>
      <c r="AI1016" s="200"/>
      <c r="AJ1016" s="200"/>
      <c r="AK1016" s="200"/>
      <c r="AL1016" s="200"/>
      <c r="AM1016" s="200"/>
      <c r="AN1016" s="200"/>
      <c r="AO1016" s="200"/>
      <c r="AP1016" s="200"/>
      <c r="AQ1016" s="200"/>
      <c r="AR1016" s="200"/>
      <c r="AS1016" s="200"/>
      <c r="AT1016" s="200"/>
    </row>
    <row r="1017" spans="1:46" ht="16.5" customHeight="1">
      <c r="A1017" s="307"/>
      <c r="B1017" s="307"/>
      <c r="C1017" s="200"/>
      <c r="D1017" s="200"/>
      <c r="E1017" s="200"/>
      <c r="F1017" s="200"/>
      <c r="G1017" s="200"/>
      <c r="H1017" s="200"/>
      <c r="I1017" s="200"/>
      <c r="J1017" s="200"/>
      <c r="K1017" s="200"/>
      <c r="L1017" s="200"/>
      <c r="M1017" s="200"/>
      <c r="N1017" s="200"/>
      <c r="O1017" s="200"/>
      <c r="P1017" s="200"/>
      <c r="Q1017" s="353"/>
      <c r="R1017" s="353"/>
      <c r="S1017" s="200"/>
      <c r="T1017" s="353"/>
      <c r="U1017" s="353"/>
      <c r="V1017" s="353"/>
      <c r="W1017" s="432"/>
      <c r="X1017" s="200"/>
      <c r="Y1017" s="200"/>
      <c r="Z1017" s="200"/>
      <c r="AA1017" s="200"/>
      <c r="AB1017" s="200"/>
      <c r="AC1017" s="200"/>
      <c r="AD1017" s="200"/>
      <c r="AE1017" s="200"/>
      <c r="AF1017" s="200"/>
      <c r="AG1017" s="200"/>
      <c r="AH1017" s="200"/>
      <c r="AI1017" s="200"/>
      <c r="AJ1017" s="200"/>
      <c r="AK1017" s="200"/>
      <c r="AL1017" s="200"/>
      <c r="AM1017" s="200"/>
      <c r="AN1017" s="200"/>
      <c r="AO1017" s="200"/>
      <c r="AP1017" s="200"/>
      <c r="AQ1017" s="200"/>
      <c r="AR1017" s="200"/>
      <c r="AS1017" s="200"/>
      <c r="AT1017" s="200"/>
    </row>
    <row r="1018" spans="1:46" ht="16.5" customHeight="1">
      <c r="A1018" s="307"/>
      <c r="B1018" s="307"/>
      <c r="C1018" s="200"/>
      <c r="D1018" s="200"/>
      <c r="E1018" s="200"/>
      <c r="F1018" s="200"/>
      <c r="G1018" s="200"/>
      <c r="H1018" s="200"/>
      <c r="I1018" s="200"/>
      <c r="J1018" s="200"/>
      <c r="K1018" s="200"/>
      <c r="L1018" s="200"/>
      <c r="M1018" s="200"/>
      <c r="N1018" s="200"/>
      <c r="O1018" s="200"/>
      <c r="P1018" s="200"/>
      <c r="Q1018" s="353"/>
      <c r="R1018" s="353"/>
      <c r="S1018" s="200"/>
      <c r="T1018" s="353"/>
      <c r="U1018" s="353"/>
      <c r="V1018" s="353"/>
      <c r="W1018" s="432"/>
      <c r="X1018" s="200"/>
      <c r="Y1018" s="200"/>
      <c r="Z1018" s="200"/>
      <c r="AA1018" s="200"/>
      <c r="AB1018" s="200"/>
      <c r="AC1018" s="200"/>
      <c r="AD1018" s="200"/>
      <c r="AE1018" s="200"/>
      <c r="AF1018" s="200"/>
      <c r="AG1018" s="200"/>
      <c r="AH1018" s="200"/>
      <c r="AI1018" s="200"/>
      <c r="AJ1018" s="200"/>
      <c r="AK1018" s="200"/>
      <c r="AL1018" s="200"/>
      <c r="AM1018" s="200"/>
      <c r="AN1018" s="200"/>
      <c r="AO1018" s="200"/>
      <c r="AP1018" s="200"/>
      <c r="AQ1018" s="200"/>
      <c r="AR1018" s="200"/>
      <c r="AS1018" s="200"/>
      <c r="AT1018" s="200"/>
    </row>
    <row r="1019" spans="1:46" ht="16.5" customHeight="1">
      <c r="A1019" s="307"/>
      <c r="B1019" s="307"/>
      <c r="C1019" s="200"/>
      <c r="D1019" s="200"/>
      <c r="E1019" s="200"/>
      <c r="F1019" s="200"/>
      <c r="G1019" s="200"/>
      <c r="H1019" s="200"/>
      <c r="I1019" s="200"/>
      <c r="J1019" s="200"/>
      <c r="K1019" s="200"/>
      <c r="L1019" s="200"/>
      <c r="M1019" s="200"/>
      <c r="N1019" s="200"/>
      <c r="O1019" s="200"/>
      <c r="P1019" s="200"/>
      <c r="Q1019" s="353"/>
      <c r="R1019" s="353"/>
      <c r="S1019" s="200"/>
      <c r="T1019" s="353"/>
      <c r="U1019" s="353"/>
      <c r="V1019" s="353"/>
      <c r="W1019" s="432"/>
      <c r="X1019" s="200"/>
      <c r="Y1019" s="200"/>
      <c r="Z1019" s="200"/>
      <c r="AA1019" s="200"/>
      <c r="AB1019" s="200"/>
      <c r="AC1019" s="200"/>
      <c r="AD1019" s="200"/>
      <c r="AE1019" s="200"/>
      <c r="AF1019" s="200"/>
      <c r="AG1019" s="200"/>
      <c r="AH1019" s="200"/>
      <c r="AI1019" s="200"/>
      <c r="AJ1019" s="200"/>
      <c r="AK1019" s="200"/>
      <c r="AL1019" s="200"/>
      <c r="AM1019" s="200"/>
      <c r="AN1019" s="200"/>
      <c r="AO1019" s="200"/>
      <c r="AP1019" s="200"/>
      <c r="AQ1019" s="200"/>
      <c r="AR1019" s="200"/>
      <c r="AS1019" s="200"/>
      <c r="AT1019" s="200"/>
    </row>
    <row r="1020" spans="1:46" ht="16.5" customHeight="1">
      <c r="A1020" s="307"/>
      <c r="B1020" s="307"/>
      <c r="C1020" s="200"/>
      <c r="D1020" s="200"/>
      <c r="E1020" s="200"/>
      <c r="F1020" s="200"/>
      <c r="G1020" s="200"/>
      <c r="H1020" s="200"/>
      <c r="I1020" s="200"/>
      <c r="J1020" s="200"/>
      <c r="K1020" s="200"/>
      <c r="L1020" s="200"/>
      <c r="M1020" s="200"/>
      <c r="N1020" s="200"/>
      <c r="O1020" s="200"/>
      <c r="P1020" s="200"/>
      <c r="Q1020" s="353"/>
      <c r="R1020" s="353"/>
      <c r="S1020" s="200"/>
      <c r="T1020" s="353"/>
      <c r="U1020" s="353"/>
      <c r="V1020" s="353"/>
      <c r="W1020" s="432"/>
      <c r="X1020" s="200"/>
      <c r="Y1020" s="200"/>
      <c r="Z1020" s="200"/>
      <c r="AA1020" s="200"/>
      <c r="AB1020" s="200"/>
      <c r="AC1020" s="200"/>
      <c r="AD1020" s="200"/>
      <c r="AE1020" s="200"/>
      <c r="AF1020" s="200"/>
      <c r="AG1020" s="200"/>
      <c r="AH1020" s="200"/>
      <c r="AI1020" s="200"/>
      <c r="AJ1020" s="200"/>
      <c r="AK1020" s="200"/>
      <c r="AL1020" s="200"/>
      <c r="AM1020" s="200"/>
      <c r="AN1020" s="200"/>
      <c r="AO1020" s="200"/>
      <c r="AP1020" s="200"/>
      <c r="AQ1020" s="200"/>
      <c r="AR1020" s="200"/>
      <c r="AS1020" s="200"/>
      <c r="AT1020" s="200"/>
    </row>
    <row r="1021" spans="1:46" ht="16.5" customHeight="1">
      <c r="A1021" s="307"/>
      <c r="B1021" s="307"/>
      <c r="C1021" s="200"/>
      <c r="D1021" s="200"/>
      <c r="E1021" s="200"/>
      <c r="F1021" s="200"/>
      <c r="G1021" s="200"/>
      <c r="H1021" s="200"/>
      <c r="I1021" s="200"/>
      <c r="J1021" s="200"/>
      <c r="K1021" s="200"/>
      <c r="L1021" s="200"/>
      <c r="M1021" s="200"/>
      <c r="N1021" s="200"/>
      <c r="O1021" s="200"/>
      <c r="P1021" s="200"/>
      <c r="Q1021" s="353"/>
      <c r="R1021" s="353"/>
      <c r="S1021" s="200"/>
      <c r="T1021" s="353"/>
      <c r="U1021" s="353"/>
      <c r="V1021" s="353"/>
      <c r="W1021" s="432"/>
      <c r="X1021" s="200"/>
      <c r="Y1021" s="200"/>
      <c r="Z1021" s="200"/>
      <c r="AA1021" s="200"/>
      <c r="AB1021" s="200"/>
      <c r="AC1021" s="200"/>
      <c r="AD1021" s="200"/>
      <c r="AE1021" s="200"/>
      <c r="AF1021" s="200"/>
      <c r="AG1021" s="200"/>
      <c r="AH1021" s="200"/>
      <c r="AI1021" s="200"/>
      <c r="AJ1021" s="200"/>
      <c r="AK1021" s="200"/>
      <c r="AL1021" s="200"/>
      <c r="AM1021" s="200"/>
      <c r="AN1021" s="200"/>
      <c r="AO1021" s="200"/>
      <c r="AP1021" s="200"/>
      <c r="AQ1021" s="200"/>
      <c r="AR1021" s="200"/>
      <c r="AS1021" s="200"/>
      <c r="AT1021" s="200"/>
    </row>
    <row r="1022" spans="1:46" ht="16.5" customHeight="1">
      <c r="A1022" s="307"/>
      <c r="B1022" s="307"/>
      <c r="C1022" s="200"/>
      <c r="D1022" s="200"/>
      <c r="E1022" s="200"/>
      <c r="F1022" s="200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200"/>
      <c r="Q1022" s="353"/>
      <c r="R1022" s="353"/>
      <c r="S1022" s="200"/>
      <c r="T1022" s="353"/>
      <c r="U1022" s="353"/>
      <c r="V1022" s="353"/>
      <c r="W1022" s="432"/>
      <c r="X1022" s="200"/>
      <c r="Y1022" s="200"/>
      <c r="Z1022" s="200"/>
      <c r="AA1022" s="200"/>
      <c r="AB1022" s="200"/>
      <c r="AC1022" s="200"/>
      <c r="AD1022" s="200"/>
      <c r="AE1022" s="200"/>
      <c r="AF1022" s="200"/>
      <c r="AG1022" s="200"/>
      <c r="AH1022" s="200"/>
      <c r="AI1022" s="200"/>
      <c r="AJ1022" s="200"/>
      <c r="AK1022" s="200"/>
      <c r="AL1022" s="200"/>
      <c r="AM1022" s="200"/>
      <c r="AN1022" s="200"/>
      <c r="AO1022" s="200"/>
      <c r="AP1022" s="200"/>
      <c r="AQ1022" s="200"/>
      <c r="AR1022" s="200"/>
      <c r="AS1022" s="200"/>
      <c r="AT1022" s="200"/>
    </row>
    <row r="1023" spans="1:46" ht="16.5" customHeight="1">
      <c r="A1023" s="307"/>
      <c r="B1023" s="307"/>
      <c r="C1023" s="200"/>
      <c r="D1023" s="200"/>
      <c r="E1023" s="200"/>
      <c r="F1023" s="200"/>
      <c r="G1023" s="200"/>
      <c r="H1023" s="200"/>
      <c r="I1023" s="200"/>
      <c r="J1023" s="200"/>
      <c r="K1023" s="200"/>
      <c r="L1023" s="200"/>
      <c r="M1023" s="200"/>
      <c r="N1023" s="200"/>
      <c r="O1023" s="200"/>
      <c r="P1023" s="200"/>
      <c r="Q1023" s="353"/>
      <c r="R1023" s="353"/>
      <c r="S1023" s="200"/>
      <c r="T1023" s="353"/>
      <c r="U1023" s="353"/>
      <c r="V1023" s="353"/>
      <c r="W1023" s="432"/>
      <c r="X1023" s="200"/>
      <c r="Y1023" s="200"/>
      <c r="Z1023" s="200"/>
      <c r="AA1023" s="200"/>
      <c r="AB1023" s="200"/>
      <c r="AC1023" s="200"/>
      <c r="AD1023" s="200"/>
      <c r="AE1023" s="200"/>
      <c r="AF1023" s="200"/>
      <c r="AG1023" s="200"/>
      <c r="AH1023" s="200"/>
      <c r="AI1023" s="200"/>
      <c r="AJ1023" s="200"/>
      <c r="AK1023" s="200"/>
      <c r="AL1023" s="200"/>
      <c r="AM1023" s="200"/>
      <c r="AN1023" s="200"/>
      <c r="AO1023" s="200"/>
      <c r="AP1023" s="200"/>
      <c r="AQ1023" s="200"/>
      <c r="AR1023" s="200"/>
      <c r="AS1023" s="200"/>
      <c r="AT1023" s="200"/>
    </row>
    <row r="1024" spans="1:46" ht="16.5" customHeight="1">
      <c r="A1024" s="307"/>
      <c r="B1024" s="307"/>
      <c r="C1024" s="200"/>
      <c r="D1024" s="200"/>
      <c r="E1024" s="200"/>
      <c r="F1024" s="200"/>
      <c r="G1024" s="200"/>
      <c r="H1024" s="200"/>
      <c r="I1024" s="200"/>
      <c r="J1024" s="200"/>
      <c r="K1024" s="200"/>
      <c r="L1024" s="200"/>
      <c r="M1024" s="200"/>
      <c r="N1024" s="200"/>
      <c r="O1024" s="200"/>
      <c r="P1024" s="200"/>
      <c r="Q1024" s="353"/>
      <c r="R1024" s="353"/>
      <c r="S1024" s="200"/>
      <c r="T1024" s="353"/>
      <c r="U1024" s="353"/>
      <c r="V1024" s="353"/>
      <c r="W1024" s="432"/>
      <c r="X1024" s="200"/>
      <c r="Y1024" s="200"/>
      <c r="Z1024" s="200"/>
      <c r="AA1024" s="200"/>
      <c r="AB1024" s="200"/>
      <c r="AC1024" s="200"/>
      <c r="AD1024" s="200"/>
      <c r="AE1024" s="200"/>
      <c r="AF1024" s="200"/>
      <c r="AG1024" s="200"/>
      <c r="AH1024" s="200"/>
      <c r="AI1024" s="200"/>
      <c r="AJ1024" s="200"/>
      <c r="AK1024" s="200"/>
      <c r="AL1024" s="200"/>
      <c r="AM1024" s="200"/>
      <c r="AN1024" s="200"/>
      <c r="AO1024" s="200"/>
      <c r="AP1024" s="200"/>
      <c r="AQ1024" s="200"/>
      <c r="AR1024" s="200"/>
      <c r="AS1024" s="200"/>
      <c r="AT1024" s="200"/>
    </row>
    <row r="1025" spans="1:46" ht="16.5" customHeight="1">
      <c r="A1025" s="307"/>
      <c r="B1025" s="307"/>
      <c r="C1025" s="200"/>
      <c r="D1025" s="200"/>
      <c r="E1025" s="200"/>
      <c r="F1025" s="200"/>
      <c r="G1025" s="200"/>
      <c r="H1025" s="200"/>
      <c r="I1025" s="200"/>
      <c r="J1025" s="200"/>
      <c r="K1025" s="200"/>
      <c r="L1025" s="200"/>
      <c r="M1025" s="200"/>
      <c r="N1025" s="200"/>
      <c r="O1025" s="200"/>
      <c r="P1025" s="200"/>
      <c r="Q1025" s="353"/>
      <c r="R1025" s="353"/>
      <c r="S1025" s="200"/>
      <c r="T1025" s="353"/>
      <c r="U1025" s="353"/>
      <c r="V1025" s="353"/>
      <c r="W1025" s="432"/>
      <c r="X1025" s="200"/>
      <c r="Y1025" s="200"/>
      <c r="Z1025" s="200"/>
      <c r="AA1025" s="200"/>
      <c r="AB1025" s="200"/>
      <c r="AC1025" s="200"/>
      <c r="AD1025" s="200"/>
      <c r="AE1025" s="200"/>
      <c r="AF1025" s="200"/>
      <c r="AG1025" s="200"/>
      <c r="AH1025" s="200"/>
      <c r="AI1025" s="200"/>
      <c r="AJ1025" s="200"/>
      <c r="AK1025" s="200"/>
      <c r="AL1025" s="200"/>
      <c r="AM1025" s="200"/>
      <c r="AN1025" s="200"/>
      <c r="AO1025" s="200"/>
      <c r="AP1025" s="200"/>
      <c r="AQ1025" s="200"/>
      <c r="AR1025" s="200"/>
      <c r="AS1025" s="200"/>
      <c r="AT1025" s="200"/>
    </row>
    <row r="1026" spans="1:46" ht="16.5" customHeight="1">
      <c r="A1026" s="307"/>
      <c r="B1026" s="307"/>
      <c r="C1026" s="200"/>
      <c r="D1026" s="200"/>
      <c r="E1026" s="200"/>
      <c r="F1026" s="200"/>
      <c r="G1026" s="200"/>
      <c r="H1026" s="200"/>
      <c r="I1026" s="200"/>
      <c r="J1026" s="200"/>
      <c r="K1026" s="200"/>
      <c r="L1026" s="200"/>
      <c r="M1026" s="200"/>
      <c r="N1026" s="200"/>
      <c r="O1026" s="200"/>
      <c r="P1026" s="200"/>
      <c r="Q1026" s="353"/>
      <c r="R1026" s="353"/>
      <c r="S1026" s="200"/>
      <c r="T1026" s="353"/>
      <c r="U1026" s="353"/>
      <c r="V1026" s="353"/>
      <c r="W1026" s="432"/>
      <c r="X1026" s="200"/>
      <c r="Y1026" s="200"/>
      <c r="Z1026" s="200"/>
      <c r="AA1026" s="200"/>
      <c r="AB1026" s="200"/>
      <c r="AC1026" s="200"/>
      <c r="AD1026" s="200"/>
      <c r="AE1026" s="200"/>
      <c r="AF1026" s="200"/>
      <c r="AG1026" s="200"/>
      <c r="AH1026" s="200"/>
      <c r="AI1026" s="200"/>
      <c r="AJ1026" s="200"/>
      <c r="AK1026" s="200"/>
      <c r="AL1026" s="200"/>
      <c r="AM1026" s="200"/>
      <c r="AN1026" s="200"/>
      <c r="AO1026" s="200"/>
      <c r="AP1026" s="200"/>
      <c r="AQ1026" s="200"/>
      <c r="AR1026" s="200"/>
      <c r="AS1026" s="200"/>
      <c r="AT1026" s="200"/>
    </row>
    <row r="1027" spans="1:46" ht="16.5" customHeight="1">
      <c r="A1027" s="307"/>
      <c r="B1027" s="307"/>
      <c r="C1027" s="200"/>
      <c r="D1027" s="200"/>
      <c r="E1027" s="200"/>
      <c r="F1027" s="200"/>
      <c r="G1027" s="200"/>
      <c r="H1027" s="200"/>
      <c r="I1027" s="200"/>
      <c r="J1027" s="200"/>
      <c r="K1027" s="200"/>
      <c r="L1027" s="200"/>
      <c r="M1027" s="200"/>
      <c r="N1027" s="200"/>
      <c r="O1027" s="200"/>
      <c r="P1027" s="200"/>
      <c r="Q1027" s="353"/>
      <c r="R1027" s="353"/>
      <c r="S1027" s="200"/>
      <c r="T1027" s="353"/>
      <c r="U1027" s="353"/>
      <c r="V1027" s="353"/>
      <c r="W1027" s="432"/>
      <c r="X1027" s="200"/>
      <c r="Y1027" s="200"/>
      <c r="Z1027" s="200"/>
      <c r="AA1027" s="200"/>
      <c r="AB1027" s="200"/>
      <c r="AC1027" s="200"/>
      <c r="AD1027" s="200"/>
      <c r="AE1027" s="200"/>
      <c r="AF1027" s="200"/>
      <c r="AG1027" s="200"/>
      <c r="AH1027" s="200"/>
      <c r="AI1027" s="200"/>
      <c r="AJ1027" s="200"/>
      <c r="AK1027" s="200"/>
      <c r="AL1027" s="200"/>
      <c r="AM1027" s="200"/>
      <c r="AN1027" s="200"/>
      <c r="AO1027" s="200"/>
      <c r="AP1027" s="200"/>
      <c r="AQ1027" s="200"/>
      <c r="AR1027" s="200"/>
      <c r="AS1027" s="200"/>
      <c r="AT1027" s="200"/>
    </row>
    <row r="1028" spans="1:46" ht="16.5" customHeight="1">
      <c r="A1028" s="307"/>
      <c r="B1028" s="307"/>
      <c r="C1028" s="200"/>
      <c r="D1028" s="200"/>
      <c r="E1028" s="200"/>
      <c r="F1028" s="200"/>
      <c r="G1028" s="200"/>
      <c r="H1028" s="200"/>
      <c r="I1028" s="200"/>
      <c r="J1028" s="200"/>
      <c r="K1028" s="200"/>
      <c r="L1028" s="200"/>
      <c r="M1028" s="200"/>
      <c r="N1028" s="200"/>
      <c r="O1028" s="200"/>
      <c r="P1028" s="200"/>
      <c r="Q1028" s="353"/>
      <c r="R1028" s="353"/>
      <c r="S1028" s="200"/>
      <c r="T1028" s="353"/>
      <c r="U1028" s="353"/>
      <c r="V1028" s="353"/>
      <c r="W1028" s="432"/>
      <c r="X1028" s="200"/>
      <c r="Y1028" s="200"/>
      <c r="Z1028" s="200"/>
      <c r="AA1028" s="200"/>
      <c r="AB1028" s="200"/>
      <c r="AC1028" s="200"/>
      <c r="AD1028" s="200"/>
      <c r="AE1028" s="200"/>
      <c r="AF1028" s="200"/>
      <c r="AG1028" s="200"/>
      <c r="AH1028" s="200"/>
      <c r="AI1028" s="200"/>
      <c r="AJ1028" s="200"/>
      <c r="AK1028" s="200"/>
      <c r="AL1028" s="200"/>
      <c r="AM1028" s="200"/>
      <c r="AN1028" s="200"/>
      <c r="AO1028" s="200"/>
      <c r="AP1028" s="200"/>
      <c r="AQ1028" s="200"/>
      <c r="AR1028" s="200"/>
      <c r="AS1028" s="200"/>
      <c r="AT1028" s="200"/>
    </row>
    <row r="1029" spans="1:46" ht="16.5" customHeight="1">
      <c r="A1029" s="307"/>
      <c r="B1029" s="307"/>
      <c r="C1029" s="200"/>
      <c r="D1029" s="200"/>
      <c r="E1029" s="200"/>
      <c r="F1029" s="200"/>
      <c r="G1029" s="200"/>
      <c r="H1029" s="200"/>
      <c r="I1029" s="200"/>
      <c r="J1029" s="200"/>
      <c r="K1029" s="200"/>
      <c r="L1029" s="200"/>
      <c r="M1029" s="200"/>
      <c r="N1029" s="200"/>
      <c r="O1029" s="200"/>
      <c r="P1029" s="200"/>
      <c r="Q1029" s="353"/>
      <c r="R1029" s="353"/>
      <c r="S1029" s="200"/>
      <c r="T1029" s="353"/>
      <c r="U1029" s="353"/>
      <c r="V1029" s="353"/>
      <c r="W1029" s="432"/>
      <c r="X1029" s="200"/>
      <c r="Y1029" s="200"/>
      <c r="Z1029" s="200"/>
      <c r="AA1029" s="200"/>
      <c r="AB1029" s="200"/>
      <c r="AC1029" s="200"/>
      <c r="AD1029" s="200"/>
      <c r="AE1029" s="200"/>
      <c r="AF1029" s="200"/>
      <c r="AG1029" s="200"/>
      <c r="AH1029" s="200"/>
      <c r="AI1029" s="200"/>
      <c r="AJ1029" s="200"/>
      <c r="AK1029" s="200"/>
      <c r="AL1029" s="200"/>
      <c r="AM1029" s="200"/>
      <c r="AN1029" s="200"/>
      <c r="AO1029" s="200"/>
      <c r="AP1029" s="200"/>
      <c r="AQ1029" s="200"/>
      <c r="AR1029" s="200"/>
      <c r="AS1029" s="200"/>
      <c r="AT1029" s="200"/>
    </row>
    <row r="1030" spans="1:46" ht="16.5" customHeight="1">
      <c r="A1030" s="307"/>
      <c r="B1030" s="307"/>
      <c r="C1030" s="200"/>
      <c r="D1030" s="200"/>
      <c r="E1030" s="200"/>
      <c r="F1030" s="200"/>
      <c r="G1030" s="200"/>
      <c r="H1030" s="200"/>
      <c r="I1030" s="200"/>
      <c r="J1030" s="200"/>
      <c r="K1030" s="200"/>
      <c r="L1030" s="200"/>
      <c r="M1030" s="200"/>
      <c r="N1030" s="200"/>
      <c r="O1030" s="200"/>
      <c r="P1030" s="200"/>
      <c r="Q1030" s="353"/>
      <c r="R1030" s="353"/>
      <c r="S1030" s="200"/>
      <c r="T1030" s="353"/>
      <c r="U1030" s="353"/>
      <c r="V1030" s="353"/>
      <c r="W1030" s="432"/>
      <c r="X1030" s="200"/>
      <c r="Y1030" s="200"/>
      <c r="Z1030" s="200"/>
      <c r="AA1030" s="200"/>
      <c r="AB1030" s="200"/>
      <c r="AC1030" s="200"/>
      <c r="AD1030" s="200"/>
      <c r="AE1030" s="200"/>
      <c r="AF1030" s="200"/>
      <c r="AG1030" s="200"/>
      <c r="AH1030" s="200"/>
      <c r="AI1030" s="200"/>
      <c r="AJ1030" s="200"/>
      <c r="AK1030" s="200"/>
      <c r="AL1030" s="200"/>
      <c r="AM1030" s="200"/>
      <c r="AN1030" s="200"/>
      <c r="AO1030" s="200"/>
      <c r="AP1030" s="200"/>
      <c r="AQ1030" s="200"/>
      <c r="AR1030" s="200"/>
      <c r="AS1030" s="200"/>
      <c r="AT1030" s="200"/>
    </row>
    <row r="1031" spans="1:46" ht="16.5" customHeight="1">
      <c r="A1031" s="307"/>
      <c r="B1031" s="307"/>
      <c r="C1031" s="200"/>
      <c r="D1031" s="200"/>
      <c r="E1031" s="200"/>
      <c r="F1031" s="200"/>
      <c r="G1031" s="200"/>
      <c r="H1031" s="200"/>
      <c r="I1031" s="200"/>
      <c r="J1031" s="200"/>
      <c r="K1031" s="200"/>
      <c r="L1031" s="200"/>
      <c r="M1031" s="200"/>
      <c r="N1031" s="200"/>
      <c r="O1031" s="200"/>
      <c r="P1031" s="200"/>
      <c r="Q1031" s="353"/>
      <c r="R1031" s="353"/>
      <c r="S1031" s="200"/>
      <c r="T1031" s="353"/>
      <c r="U1031" s="353"/>
      <c r="V1031" s="353"/>
      <c r="W1031" s="432"/>
      <c r="X1031" s="200"/>
      <c r="Y1031" s="200"/>
      <c r="Z1031" s="200"/>
      <c r="AA1031" s="200"/>
      <c r="AB1031" s="200"/>
      <c r="AC1031" s="200"/>
      <c r="AD1031" s="200"/>
      <c r="AE1031" s="200"/>
      <c r="AF1031" s="200"/>
      <c r="AG1031" s="200"/>
      <c r="AH1031" s="200"/>
      <c r="AI1031" s="200"/>
      <c r="AJ1031" s="200"/>
      <c r="AK1031" s="200"/>
      <c r="AL1031" s="200"/>
      <c r="AM1031" s="200"/>
      <c r="AN1031" s="200"/>
      <c r="AO1031" s="200"/>
      <c r="AP1031" s="200"/>
      <c r="AQ1031" s="200"/>
      <c r="AR1031" s="200"/>
      <c r="AS1031" s="200"/>
      <c r="AT1031" s="200"/>
    </row>
    <row r="1032" spans="1:46" ht="16.5" customHeight="1">
      <c r="A1032" s="307"/>
      <c r="B1032" s="307"/>
      <c r="C1032" s="200"/>
      <c r="D1032" s="200"/>
      <c r="E1032" s="200"/>
      <c r="F1032" s="200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200"/>
      <c r="Q1032" s="353"/>
      <c r="R1032" s="353"/>
      <c r="S1032" s="200"/>
      <c r="T1032" s="353"/>
      <c r="U1032" s="353"/>
      <c r="V1032" s="353"/>
      <c r="W1032" s="432"/>
      <c r="X1032" s="200"/>
      <c r="Y1032" s="200"/>
      <c r="Z1032" s="200"/>
      <c r="AA1032" s="200"/>
      <c r="AB1032" s="200"/>
      <c r="AC1032" s="200"/>
      <c r="AD1032" s="200"/>
      <c r="AE1032" s="200"/>
      <c r="AF1032" s="200"/>
      <c r="AG1032" s="200"/>
      <c r="AH1032" s="200"/>
      <c r="AI1032" s="200"/>
      <c r="AJ1032" s="200"/>
      <c r="AK1032" s="200"/>
      <c r="AL1032" s="200"/>
      <c r="AM1032" s="200"/>
      <c r="AN1032" s="200"/>
      <c r="AO1032" s="200"/>
      <c r="AP1032" s="200"/>
      <c r="AQ1032" s="200"/>
      <c r="AR1032" s="200"/>
      <c r="AS1032" s="200"/>
      <c r="AT1032" s="200"/>
    </row>
    <row r="1033" spans="1:46" ht="16.5" customHeight="1">
      <c r="A1033" s="307"/>
      <c r="B1033" s="307"/>
      <c r="C1033" s="200"/>
      <c r="D1033" s="200"/>
      <c r="E1033" s="200"/>
      <c r="F1033" s="200"/>
      <c r="G1033" s="200"/>
      <c r="H1033" s="200"/>
      <c r="I1033" s="200"/>
      <c r="J1033" s="200"/>
      <c r="K1033" s="200"/>
      <c r="L1033" s="200"/>
      <c r="M1033" s="200"/>
      <c r="N1033" s="200"/>
      <c r="O1033" s="200"/>
      <c r="P1033" s="200"/>
      <c r="Q1033" s="353"/>
      <c r="R1033" s="353"/>
      <c r="S1033" s="200"/>
      <c r="T1033" s="353"/>
      <c r="U1033" s="353"/>
      <c r="V1033" s="353"/>
      <c r="W1033" s="432"/>
      <c r="X1033" s="200"/>
      <c r="Y1033" s="200"/>
      <c r="Z1033" s="200"/>
      <c r="AA1033" s="200"/>
      <c r="AB1033" s="200"/>
      <c r="AC1033" s="200"/>
      <c r="AD1033" s="200"/>
      <c r="AE1033" s="200"/>
      <c r="AF1033" s="200"/>
      <c r="AG1033" s="200"/>
      <c r="AH1033" s="200"/>
      <c r="AI1033" s="200"/>
      <c r="AJ1033" s="200"/>
      <c r="AK1033" s="200"/>
      <c r="AL1033" s="200"/>
      <c r="AM1033" s="200"/>
      <c r="AN1033" s="200"/>
      <c r="AO1033" s="200"/>
      <c r="AP1033" s="200"/>
      <c r="AQ1033" s="200"/>
      <c r="AR1033" s="200"/>
      <c r="AS1033" s="200"/>
      <c r="AT1033" s="200"/>
    </row>
    <row r="1034" spans="1:46" ht="16.5" customHeight="1">
      <c r="A1034" s="307"/>
      <c r="B1034" s="307"/>
      <c r="C1034" s="200"/>
      <c r="D1034" s="200"/>
      <c r="E1034" s="200"/>
      <c r="F1034" s="200"/>
      <c r="G1034" s="200"/>
      <c r="H1034" s="200"/>
      <c r="I1034" s="200"/>
      <c r="J1034" s="200"/>
      <c r="K1034" s="200"/>
      <c r="L1034" s="200"/>
      <c r="M1034" s="200"/>
      <c r="N1034" s="200"/>
      <c r="O1034" s="200"/>
      <c r="P1034" s="200"/>
      <c r="Q1034" s="353"/>
      <c r="R1034" s="353"/>
      <c r="S1034" s="200"/>
      <c r="T1034" s="353"/>
      <c r="U1034" s="353"/>
      <c r="V1034" s="353"/>
      <c r="W1034" s="432"/>
      <c r="X1034" s="200"/>
      <c r="Y1034" s="200"/>
      <c r="Z1034" s="200"/>
      <c r="AA1034" s="200"/>
      <c r="AB1034" s="200"/>
      <c r="AC1034" s="200"/>
      <c r="AD1034" s="200"/>
      <c r="AE1034" s="200"/>
      <c r="AF1034" s="200"/>
      <c r="AG1034" s="200"/>
      <c r="AH1034" s="200"/>
      <c r="AI1034" s="200"/>
      <c r="AJ1034" s="200"/>
      <c r="AK1034" s="200"/>
      <c r="AL1034" s="200"/>
      <c r="AM1034" s="200"/>
      <c r="AN1034" s="200"/>
      <c r="AO1034" s="200"/>
      <c r="AP1034" s="200"/>
      <c r="AQ1034" s="200"/>
      <c r="AR1034" s="200"/>
      <c r="AS1034" s="200"/>
      <c r="AT1034" s="200"/>
    </row>
    <row r="1035" spans="1:46" ht="16.5" customHeight="1">
      <c r="A1035" s="307"/>
      <c r="B1035" s="307"/>
      <c r="C1035" s="200"/>
      <c r="D1035" s="200"/>
      <c r="E1035" s="200"/>
      <c r="F1035" s="200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200"/>
      <c r="Q1035" s="353"/>
      <c r="R1035" s="353"/>
      <c r="S1035" s="200"/>
      <c r="T1035" s="353"/>
      <c r="U1035" s="353"/>
      <c r="V1035" s="353"/>
      <c r="W1035" s="432"/>
      <c r="X1035" s="200"/>
      <c r="Y1035" s="200"/>
      <c r="Z1035" s="200"/>
      <c r="AA1035" s="200"/>
      <c r="AB1035" s="200"/>
      <c r="AC1035" s="200"/>
      <c r="AD1035" s="200"/>
      <c r="AE1035" s="200"/>
      <c r="AF1035" s="200"/>
      <c r="AG1035" s="200"/>
      <c r="AH1035" s="200"/>
      <c r="AI1035" s="200"/>
      <c r="AJ1035" s="200"/>
      <c r="AK1035" s="200"/>
      <c r="AL1035" s="200"/>
      <c r="AM1035" s="200"/>
      <c r="AN1035" s="200"/>
      <c r="AO1035" s="200"/>
      <c r="AP1035" s="200"/>
      <c r="AQ1035" s="200"/>
      <c r="AR1035" s="200"/>
      <c r="AS1035" s="200"/>
      <c r="AT1035" s="200"/>
    </row>
    <row r="1036" spans="1:46" ht="16.5" customHeight="1">
      <c r="A1036" s="307"/>
      <c r="B1036" s="307"/>
      <c r="C1036" s="200"/>
      <c r="D1036" s="200"/>
      <c r="E1036" s="200"/>
      <c r="F1036" s="200"/>
      <c r="G1036" s="200"/>
      <c r="H1036" s="200"/>
      <c r="I1036" s="200"/>
      <c r="J1036" s="200"/>
      <c r="K1036" s="200"/>
      <c r="L1036" s="200"/>
      <c r="M1036" s="200"/>
      <c r="N1036" s="200"/>
      <c r="O1036" s="200"/>
      <c r="P1036" s="200"/>
      <c r="Q1036" s="353"/>
      <c r="R1036" s="353"/>
      <c r="S1036" s="200"/>
      <c r="T1036" s="353"/>
      <c r="U1036" s="353"/>
      <c r="V1036" s="353"/>
      <c r="W1036" s="432"/>
      <c r="X1036" s="200"/>
      <c r="Y1036" s="200"/>
      <c r="Z1036" s="200"/>
      <c r="AA1036" s="200"/>
      <c r="AB1036" s="200"/>
      <c r="AC1036" s="200"/>
      <c r="AD1036" s="200"/>
      <c r="AE1036" s="200"/>
      <c r="AF1036" s="200"/>
      <c r="AG1036" s="200"/>
      <c r="AH1036" s="200"/>
      <c r="AI1036" s="200"/>
      <c r="AJ1036" s="200"/>
      <c r="AK1036" s="200"/>
      <c r="AL1036" s="200"/>
      <c r="AM1036" s="200"/>
      <c r="AN1036" s="200"/>
      <c r="AO1036" s="200"/>
      <c r="AP1036" s="200"/>
      <c r="AQ1036" s="200"/>
      <c r="AR1036" s="200"/>
      <c r="AS1036" s="200"/>
      <c r="AT1036" s="200"/>
    </row>
    <row r="1037" spans="1:46" ht="16.5" customHeight="1">
      <c r="A1037" s="307"/>
      <c r="B1037" s="307"/>
      <c r="C1037" s="200"/>
      <c r="D1037" s="200"/>
      <c r="E1037" s="200"/>
      <c r="F1037" s="200"/>
      <c r="G1037" s="200"/>
      <c r="H1037" s="200"/>
      <c r="I1037" s="200"/>
      <c r="J1037" s="200"/>
      <c r="K1037" s="200"/>
      <c r="L1037" s="200"/>
      <c r="M1037" s="200"/>
      <c r="N1037" s="200"/>
      <c r="O1037" s="200"/>
      <c r="P1037" s="200"/>
      <c r="Q1037" s="353"/>
      <c r="R1037" s="353"/>
      <c r="S1037" s="200"/>
      <c r="T1037" s="353"/>
      <c r="U1037" s="353"/>
      <c r="V1037" s="353"/>
      <c r="W1037" s="432"/>
      <c r="X1037" s="200"/>
      <c r="Y1037" s="200"/>
      <c r="Z1037" s="200"/>
      <c r="AA1037" s="200"/>
      <c r="AB1037" s="200"/>
      <c r="AC1037" s="200"/>
      <c r="AD1037" s="200"/>
      <c r="AE1037" s="200"/>
      <c r="AF1037" s="200"/>
      <c r="AG1037" s="200"/>
      <c r="AH1037" s="200"/>
      <c r="AI1037" s="200"/>
      <c r="AJ1037" s="200"/>
      <c r="AK1037" s="200"/>
      <c r="AL1037" s="200"/>
      <c r="AM1037" s="200"/>
      <c r="AN1037" s="200"/>
      <c r="AO1037" s="200"/>
      <c r="AP1037" s="200"/>
      <c r="AQ1037" s="200"/>
      <c r="AR1037" s="200"/>
      <c r="AS1037" s="200"/>
      <c r="AT1037" s="200"/>
    </row>
    <row r="1038" spans="1:46" ht="16.5" customHeight="1">
      <c r="A1038" s="307"/>
      <c r="B1038" s="307"/>
      <c r="C1038" s="200"/>
      <c r="D1038" s="200"/>
      <c r="E1038" s="200"/>
      <c r="F1038" s="200"/>
      <c r="G1038" s="200"/>
      <c r="H1038" s="200"/>
      <c r="I1038" s="200"/>
      <c r="J1038" s="200"/>
      <c r="K1038" s="200"/>
      <c r="L1038" s="200"/>
      <c r="M1038" s="200"/>
      <c r="N1038" s="200"/>
      <c r="O1038" s="200"/>
      <c r="P1038" s="200"/>
      <c r="Q1038" s="353"/>
      <c r="R1038" s="353"/>
      <c r="S1038" s="200"/>
      <c r="T1038" s="353"/>
      <c r="U1038" s="353"/>
      <c r="V1038" s="353"/>
      <c r="W1038" s="432"/>
      <c r="X1038" s="200"/>
      <c r="Y1038" s="200"/>
      <c r="Z1038" s="200"/>
      <c r="AA1038" s="200"/>
      <c r="AB1038" s="200"/>
      <c r="AC1038" s="200"/>
      <c r="AD1038" s="200"/>
      <c r="AE1038" s="200"/>
      <c r="AF1038" s="200"/>
      <c r="AG1038" s="200"/>
      <c r="AH1038" s="200"/>
      <c r="AI1038" s="200"/>
      <c r="AJ1038" s="200"/>
      <c r="AK1038" s="200"/>
      <c r="AL1038" s="200"/>
      <c r="AM1038" s="200"/>
      <c r="AN1038" s="200"/>
      <c r="AO1038" s="200"/>
      <c r="AP1038" s="200"/>
      <c r="AQ1038" s="200"/>
      <c r="AR1038" s="200"/>
      <c r="AS1038" s="200"/>
      <c r="AT1038" s="200"/>
    </row>
    <row r="1039" spans="1:46" ht="16.5" customHeight="1">
      <c r="A1039" s="307"/>
      <c r="B1039" s="307"/>
      <c r="C1039" s="200"/>
      <c r="D1039" s="200"/>
      <c r="E1039" s="200"/>
      <c r="F1039" s="200"/>
      <c r="G1039" s="200"/>
      <c r="H1039" s="200"/>
      <c r="I1039" s="200"/>
      <c r="J1039" s="200"/>
      <c r="K1039" s="200"/>
      <c r="L1039" s="200"/>
      <c r="M1039" s="200"/>
      <c r="N1039" s="200"/>
      <c r="O1039" s="200"/>
      <c r="P1039" s="200"/>
      <c r="Q1039" s="353"/>
      <c r="R1039" s="353"/>
      <c r="S1039" s="200"/>
      <c r="T1039" s="353"/>
      <c r="U1039" s="353"/>
      <c r="V1039" s="353"/>
      <c r="W1039" s="432"/>
      <c r="X1039" s="200"/>
      <c r="Y1039" s="200"/>
      <c r="Z1039" s="200"/>
      <c r="AA1039" s="200"/>
      <c r="AB1039" s="200"/>
      <c r="AC1039" s="200"/>
      <c r="AD1039" s="200"/>
      <c r="AE1039" s="200"/>
      <c r="AF1039" s="200"/>
      <c r="AG1039" s="200"/>
      <c r="AH1039" s="200"/>
      <c r="AI1039" s="200"/>
      <c r="AJ1039" s="200"/>
      <c r="AK1039" s="200"/>
      <c r="AL1039" s="200"/>
      <c r="AM1039" s="200"/>
      <c r="AN1039" s="200"/>
      <c r="AO1039" s="200"/>
      <c r="AP1039" s="200"/>
      <c r="AQ1039" s="200"/>
      <c r="AR1039" s="200"/>
      <c r="AS1039" s="200"/>
      <c r="AT1039" s="200"/>
    </row>
    <row r="1040" spans="1:46" ht="16.5" customHeight="1">
      <c r="A1040" s="307"/>
      <c r="B1040" s="307"/>
      <c r="C1040" s="200"/>
      <c r="D1040" s="200"/>
      <c r="E1040" s="200"/>
      <c r="F1040" s="200"/>
      <c r="G1040" s="200"/>
      <c r="H1040" s="200"/>
      <c r="I1040" s="200"/>
      <c r="J1040" s="200"/>
      <c r="K1040" s="200"/>
      <c r="L1040" s="200"/>
      <c r="M1040" s="200"/>
      <c r="N1040" s="200"/>
      <c r="O1040" s="200"/>
      <c r="P1040" s="200"/>
      <c r="Q1040" s="353"/>
      <c r="R1040" s="353"/>
      <c r="S1040" s="200"/>
      <c r="T1040" s="353"/>
      <c r="U1040" s="353"/>
      <c r="V1040" s="353"/>
      <c r="W1040" s="432"/>
      <c r="X1040" s="200"/>
      <c r="Y1040" s="200"/>
      <c r="Z1040" s="200"/>
      <c r="AA1040" s="200"/>
      <c r="AB1040" s="200"/>
      <c r="AC1040" s="200"/>
      <c r="AD1040" s="200"/>
      <c r="AE1040" s="200"/>
      <c r="AF1040" s="200"/>
      <c r="AG1040" s="200"/>
      <c r="AH1040" s="200"/>
      <c r="AI1040" s="200"/>
      <c r="AJ1040" s="200"/>
      <c r="AK1040" s="200"/>
      <c r="AL1040" s="200"/>
      <c r="AM1040" s="200"/>
      <c r="AN1040" s="200"/>
      <c r="AO1040" s="200"/>
      <c r="AP1040" s="200"/>
      <c r="AQ1040" s="200"/>
      <c r="AR1040" s="200"/>
      <c r="AS1040" s="200"/>
      <c r="AT1040" s="200"/>
    </row>
    <row r="1041" spans="1:46" ht="16.5" customHeight="1">
      <c r="A1041" s="307"/>
      <c r="B1041" s="307"/>
      <c r="C1041" s="200"/>
      <c r="D1041" s="200"/>
      <c r="E1041" s="200"/>
      <c r="F1041" s="200"/>
      <c r="G1041" s="200"/>
      <c r="H1041" s="200"/>
      <c r="I1041" s="200"/>
      <c r="J1041" s="200"/>
      <c r="K1041" s="200"/>
      <c r="L1041" s="200"/>
      <c r="M1041" s="200"/>
      <c r="N1041" s="200"/>
      <c r="O1041" s="200"/>
      <c r="P1041" s="200"/>
      <c r="Q1041" s="353"/>
      <c r="R1041" s="353"/>
      <c r="S1041" s="200"/>
      <c r="T1041" s="353"/>
      <c r="U1041" s="353"/>
      <c r="V1041" s="353"/>
      <c r="W1041" s="432"/>
      <c r="X1041" s="200"/>
      <c r="Y1041" s="200"/>
      <c r="Z1041" s="200"/>
      <c r="AA1041" s="200"/>
      <c r="AB1041" s="200"/>
      <c r="AC1041" s="200"/>
      <c r="AD1041" s="200"/>
      <c r="AE1041" s="200"/>
      <c r="AF1041" s="200"/>
      <c r="AG1041" s="200"/>
      <c r="AH1041" s="200"/>
      <c r="AI1041" s="200"/>
      <c r="AJ1041" s="200"/>
      <c r="AK1041" s="200"/>
      <c r="AL1041" s="200"/>
      <c r="AM1041" s="200"/>
      <c r="AN1041" s="200"/>
      <c r="AO1041" s="200"/>
      <c r="AP1041" s="200"/>
      <c r="AQ1041" s="200"/>
      <c r="AR1041" s="200"/>
      <c r="AS1041" s="200"/>
      <c r="AT1041" s="200"/>
    </row>
    <row r="1042" spans="1:46" ht="16.5" customHeight="1">
      <c r="A1042" s="307"/>
      <c r="B1042" s="307"/>
      <c r="C1042" s="200"/>
      <c r="D1042" s="200"/>
      <c r="E1042" s="200"/>
      <c r="F1042" s="200"/>
      <c r="G1042" s="200"/>
      <c r="H1042" s="200"/>
      <c r="I1042" s="200"/>
      <c r="J1042" s="200"/>
      <c r="K1042" s="200"/>
      <c r="L1042" s="200"/>
      <c r="M1042" s="200"/>
      <c r="N1042" s="200"/>
      <c r="O1042" s="200"/>
      <c r="P1042" s="200"/>
      <c r="Q1042" s="353"/>
      <c r="R1042" s="353"/>
      <c r="S1042" s="200"/>
      <c r="T1042" s="353"/>
      <c r="U1042" s="353"/>
      <c r="V1042" s="353"/>
      <c r="W1042" s="432"/>
      <c r="X1042" s="200"/>
      <c r="Y1042" s="200"/>
      <c r="Z1042" s="200"/>
      <c r="AA1042" s="200"/>
      <c r="AB1042" s="200"/>
      <c r="AC1042" s="200"/>
      <c r="AD1042" s="200"/>
      <c r="AE1042" s="200"/>
      <c r="AF1042" s="200"/>
      <c r="AG1042" s="200"/>
      <c r="AH1042" s="200"/>
      <c r="AI1042" s="200"/>
      <c r="AJ1042" s="200"/>
      <c r="AK1042" s="200"/>
      <c r="AL1042" s="200"/>
      <c r="AM1042" s="200"/>
      <c r="AN1042" s="200"/>
      <c r="AO1042" s="200"/>
      <c r="AP1042" s="200"/>
      <c r="AQ1042" s="200"/>
      <c r="AR1042" s="200"/>
      <c r="AS1042" s="200"/>
      <c r="AT1042" s="200"/>
    </row>
    <row r="1043" spans="1:46" ht="16.5" customHeight="1">
      <c r="A1043" s="307"/>
      <c r="B1043" s="307"/>
      <c r="C1043" s="200"/>
      <c r="D1043" s="200"/>
      <c r="E1043" s="200"/>
      <c r="F1043" s="200"/>
      <c r="G1043" s="200"/>
      <c r="H1043" s="200"/>
      <c r="I1043" s="200"/>
      <c r="J1043" s="200"/>
      <c r="K1043" s="200"/>
      <c r="L1043" s="200"/>
      <c r="M1043" s="200"/>
      <c r="N1043" s="200"/>
      <c r="O1043" s="200"/>
      <c r="P1043" s="200"/>
      <c r="Q1043" s="353"/>
      <c r="R1043" s="353"/>
      <c r="S1043" s="200"/>
      <c r="T1043" s="353"/>
      <c r="U1043" s="353"/>
      <c r="V1043" s="353"/>
      <c r="W1043" s="432"/>
      <c r="X1043" s="200"/>
      <c r="Y1043" s="200"/>
      <c r="Z1043" s="200"/>
      <c r="AA1043" s="200"/>
      <c r="AB1043" s="200"/>
      <c r="AC1043" s="200"/>
      <c r="AD1043" s="200"/>
      <c r="AE1043" s="200"/>
      <c r="AF1043" s="200"/>
      <c r="AG1043" s="200"/>
      <c r="AH1043" s="200"/>
      <c r="AI1043" s="200"/>
      <c r="AJ1043" s="200"/>
      <c r="AK1043" s="200"/>
      <c r="AL1043" s="200"/>
      <c r="AM1043" s="200"/>
      <c r="AN1043" s="200"/>
      <c r="AO1043" s="200"/>
      <c r="AP1043" s="200"/>
      <c r="AQ1043" s="200"/>
      <c r="AR1043" s="200"/>
      <c r="AS1043" s="200"/>
      <c r="AT1043" s="200"/>
    </row>
    <row r="1044" spans="1:46" ht="16.5" customHeight="1">
      <c r="A1044" s="307"/>
      <c r="B1044" s="307"/>
      <c r="C1044" s="200"/>
      <c r="D1044" s="200"/>
      <c r="E1044" s="200"/>
      <c r="F1044" s="200"/>
      <c r="G1044" s="200"/>
      <c r="H1044" s="200"/>
      <c r="I1044" s="200"/>
      <c r="J1044" s="200"/>
      <c r="K1044" s="200"/>
      <c r="L1044" s="200"/>
      <c r="M1044" s="200"/>
      <c r="N1044" s="200"/>
      <c r="O1044" s="200"/>
      <c r="P1044" s="200"/>
      <c r="Q1044" s="353"/>
      <c r="R1044" s="353"/>
      <c r="S1044" s="200"/>
      <c r="T1044" s="353"/>
      <c r="U1044" s="353"/>
      <c r="V1044" s="353"/>
      <c r="W1044" s="432"/>
      <c r="X1044" s="200"/>
      <c r="Y1044" s="200"/>
      <c r="Z1044" s="200"/>
      <c r="AA1044" s="200"/>
      <c r="AB1044" s="200"/>
      <c r="AC1044" s="200"/>
      <c r="AD1044" s="200"/>
      <c r="AE1044" s="200"/>
      <c r="AF1044" s="200"/>
      <c r="AG1044" s="200"/>
      <c r="AH1044" s="200"/>
      <c r="AI1044" s="200"/>
      <c r="AJ1044" s="200"/>
      <c r="AK1044" s="200"/>
      <c r="AL1044" s="200"/>
      <c r="AM1044" s="200"/>
      <c r="AN1044" s="200"/>
      <c r="AO1044" s="200"/>
      <c r="AP1044" s="200"/>
      <c r="AQ1044" s="200"/>
      <c r="AR1044" s="200"/>
      <c r="AS1044" s="200"/>
      <c r="AT1044" s="200"/>
    </row>
    <row r="1045" spans="1:46" ht="16.5" customHeight="1">
      <c r="A1045" s="307"/>
      <c r="B1045" s="307"/>
      <c r="C1045" s="200"/>
      <c r="D1045" s="200"/>
      <c r="E1045" s="200"/>
      <c r="F1045" s="200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353"/>
      <c r="R1045" s="353"/>
      <c r="S1045" s="200"/>
      <c r="T1045" s="353"/>
      <c r="U1045" s="353"/>
      <c r="V1045" s="353"/>
      <c r="W1045" s="432"/>
      <c r="X1045" s="200"/>
      <c r="Y1045" s="200"/>
      <c r="Z1045" s="200"/>
      <c r="AA1045" s="200"/>
      <c r="AB1045" s="200"/>
      <c r="AC1045" s="200"/>
      <c r="AD1045" s="200"/>
      <c r="AE1045" s="200"/>
      <c r="AF1045" s="200"/>
      <c r="AG1045" s="200"/>
      <c r="AH1045" s="200"/>
      <c r="AI1045" s="200"/>
      <c r="AJ1045" s="200"/>
      <c r="AK1045" s="200"/>
      <c r="AL1045" s="200"/>
      <c r="AM1045" s="200"/>
      <c r="AN1045" s="200"/>
      <c r="AO1045" s="200"/>
      <c r="AP1045" s="200"/>
      <c r="AQ1045" s="200"/>
      <c r="AR1045" s="200"/>
      <c r="AS1045" s="200"/>
      <c r="AT1045" s="200"/>
    </row>
    <row r="1046" spans="1:46" ht="16.5" customHeight="1">
      <c r="A1046" s="307"/>
      <c r="B1046" s="307"/>
      <c r="C1046" s="200"/>
      <c r="D1046" s="200"/>
      <c r="E1046" s="200"/>
      <c r="F1046" s="200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200"/>
      <c r="Q1046" s="353"/>
      <c r="R1046" s="353"/>
      <c r="S1046" s="200"/>
      <c r="T1046" s="353"/>
      <c r="U1046" s="353"/>
      <c r="V1046" s="353"/>
      <c r="W1046" s="432"/>
      <c r="X1046" s="200"/>
      <c r="Y1046" s="200"/>
      <c r="Z1046" s="200"/>
      <c r="AA1046" s="200"/>
      <c r="AB1046" s="200"/>
      <c r="AC1046" s="200"/>
      <c r="AD1046" s="200"/>
      <c r="AE1046" s="200"/>
      <c r="AF1046" s="200"/>
      <c r="AG1046" s="200"/>
      <c r="AH1046" s="200"/>
      <c r="AI1046" s="200"/>
      <c r="AJ1046" s="200"/>
      <c r="AK1046" s="200"/>
      <c r="AL1046" s="200"/>
      <c r="AM1046" s="200"/>
      <c r="AN1046" s="200"/>
      <c r="AO1046" s="200"/>
      <c r="AP1046" s="200"/>
      <c r="AQ1046" s="200"/>
      <c r="AR1046" s="200"/>
      <c r="AS1046" s="200"/>
      <c r="AT1046" s="200"/>
    </row>
    <row r="1047" spans="1:46" ht="16.5" customHeight="1">
      <c r="A1047" s="307"/>
      <c r="B1047" s="307"/>
      <c r="C1047" s="200"/>
      <c r="D1047" s="200"/>
      <c r="E1047" s="200"/>
      <c r="F1047" s="200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200"/>
      <c r="Q1047" s="353"/>
      <c r="R1047" s="353"/>
      <c r="S1047" s="200"/>
      <c r="T1047" s="353"/>
      <c r="U1047" s="353"/>
      <c r="V1047" s="353"/>
      <c r="W1047" s="432"/>
      <c r="X1047" s="200"/>
      <c r="Y1047" s="200"/>
      <c r="Z1047" s="200"/>
      <c r="AA1047" s="200"/>
      <c r="AB1047" s="200"/>
      <c r="AC1047" s="200"/>
      <c r="AD1047" s="200"/>
      <c r="AE1047" s="200"/>
      <c r="AF1047" s="200"/>
      <c r="AG1047" s="200"/>
      <c r="AH1047" s="200"/>
      <c r="AI1047" s="200"/>
      <c r="AJ1047" s="200"/>
      <c r="AK1047" s="200"/>
      <c r="AL1047" s="200"/>
      <c r="AM1047" s="200"/>
      <c r="AN1047" s="200"/>
      <c r="AO1047" s="200"/>
      <c r="AP1047" s="200"/>
      <c r="AQ1047" s="200"/>
      <c r="AR1047" s="200"/>
      <c r="AS1047" s="200"/>
      <c r="AT1047" s="200"/>
    </row>
    <row r="1048" spans="1:46" ht="16.5" customHeight="1">
      <c r="A1048" s="307"/>
      <c r="B1048" s="307"/>
      <c r="C1048" s="200"/>
      <c r="D1048" s="200"/>
      <c r="E1048" s="200"/>
      <c r="F1048" s="200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200"/>
      <c r="Q1048" s="353"/>
      <c r="R1048" s="353"/>
      <c r="S1048" s="200"/>
      <c r="T1048" s="353"/>
      <c r="U1048" s="353"/>
      <c r="V1048" s="353"/>
      <c r="W1048" s="432"/>
      <c r="X1048" s="200"/>
      <c r="Y1048" s="200"/>
      <c r="Z1048" s="200"/>
      <c r="AA1048" s="200"/>
      <c r="AB1048" s="200"/>
      <c r="AC1048" s="200"/>
      <c r="AD1048" s="200"/>
      <c r="AE1048" s="200"/>
      <c r="AF1048" s="200"/>
      <c r="AG1048" s="200"/>
      <c r="AH1048" s="200"/>
      <c r="AI1048" s="200"/>
      <c r="AJ1048" s="200"/>
      <c r="AK1048" s="200"/>
      <c r="AL1048" s="200"/>
      <c r="AM1048" s="200"/>
      <c r="AN1048" s="200"/>
      <c r="AO1048" s="200"/>
      <c r="AP1048" s="200"/>
      <c r="AQ1048" s="200"/>
      <c r="AR1048" s="200"/>
      <c r="AS1048" s="200"/>
      <c r="AT1048" s="200"/>
    </row>
    <row r="1049" spans="1:46" ht="16.5" customHeight="1">
      <c r="A1049" s="307"/>
      <c r="B1049" s="307"/>
      <c r="C1049" s="200"/>
      <c r="D1049" s="200"/>
      <c r="E1049" s="200"/>
      <c r="F1049" s="200"/>
      <c r="G1049" s="200"/>
      <c r="H1049" s="200"/>
      <c r="I1049" s="200"/>
      <c r="J1049" s="200"/>
      <c r="K1049" s="200"/>
      <c r="L1049" s="200"/>
      <c r="M1049" s="200"/>
      <c r="N1049" s="200"/>
      <c r="O1049" s="200"/>
      <c r="P1049" s="200"/>
      <c r="Q1049" s="353"/>
      <c r="R1049" s="353"/>
      <c r="S1049" s="200"/>
      <c r="T1049" s="353"/>
      <c r="U1049" s="353"/>
      <c r="V1049" s="353"/>
      <c r="W1049" s="432"/>
      <c r="X1049" s="200"/>
      <c r="Y1049" s="200"/>
      <c r="Z1049" s="200"/>
      <c r="AA1049" s="200"/>
      <c r="AB1049" s="200"/>
      <c r="AC1049" s="200"/>
      <c r="AD1049" s="200"/>
      <c r="AE1049" s="200"/>
      <c r="AF1049" s="200"/>
      <c r="AG1049" s="200"/>
      <c r="AH1049" s="200"/>
      <c r="AI1049" s="200"/>
      <c r="AJ1049" s="200"/>
      <c r="AK1049" s="200"/>
      <c r="AL1049" s="200"/>
      <c r="AM1049" s="200"/>
      <c r="AN1049" s="200"/>
      <c r="AO1049" s="200"/>
      <c r="AP1049" s="200"/>
      <c r="AQ1049" s="200"/>
      <c r="AR1049" s="200"/>
      <c r="AS1049" s="200"/>
      <c r="AT1049" s="200"/>
    </row>
    <row r="1050" spans="1:46" ht="16.5" customHeight="1">
      <c r="A1050" s="307"/>
      <c r="B1050" s="307"/>
      <c r="C1050" s="200"/>
      <c r="D1050" s="200"/>
      <c r="E1050" s="200"/>
      <c r="F1050" s="200"/>
      <c r="G1050" s="200"/>
      <c r="H1050" s="200"/>
      <c r="I1050" s="200"/>
      <c r="J1050" s="200"/>
      <c r="K1050" s="200"/>
      <c r="L1050" s="200"/>
      <c r="M1050" s="200"/>
      <c r="N1050" s="200"/>
      <c r="O1050" s="200"/>
      <c r="P1050" s="200"/>
      <c r="Q1050" s="353"/>
      <c r="R1050" s="353"/>
      <c r="S1050" s="200"/>
      <c r="T1050" s="353"/>
      <c r="U1050" s="353"/>
      <c r="V1050" s="353"/>
      <c r="W1050" s="432"/>
      <c r="X1050" s="200"/>
      <c r="Y1050" s="200"/>
      <c r="Z1050" s="200"/>
      <c r="AA1050" s="200"/>
      <c r="AB1050" s="200"/>
      <c r="AC1050" s="200"/>
      <c r="AD1050" s="200"/>
      <c r="AE1050" s="200"/>
      <c r="AF1050" s="200"/>
      <c r="AG1050" s="200"/>
      <c r="AH1050" s="200"/>
      <c r="AI1050" s="200"/>
      <c r="AJ1050" s="200"/>
      <c r="AK1050" s="200"/>
      <c r="AL1050" s="200"/>
      <c r="AM1050" s="200"/>
      <c r="AN1050" s="200"/>
      <c r="AO1050" s="200"/>
      <c r="AP1050" s="200"/>
      <c r="AQ1050" s="200"/>
      <c r="AR1050" s="200"/>
      <c r="AS1050" s="200"/>
      <c r="AT1050" s="200"/>
    </row>
    <row r="1051" spans="1:46" ht="16.5" customHeight="1">
      <c r="A1051" s="307"/>
      <c r="B1051" s="307"/>
      <c r="C1051" s="200"/>
      <c r="D1051" s="200"/>
      <c r="E1051" s="200"/>
      <c r="F1051" s="200"/>
      <c r="G1051" s="200"/>
      <c r="H1051" s="200"/>
      <c r="I1051" s="200"/>
      <c r="J1051" s="200"/>
      <c r="K1051" s="200"/>
      <c r="L1051" s="200"/>
      <c r="M1051" s="200"/>
      <c r="N1051" s="200"/>
      <c r="O1051" s="200"/>
      <c r="P1051" s="200"/>
      <c r="Q1051" s="353"/>
      <c r="R1051" s="353"/>
      <c r="S1051" s="200"/>
      <c r="T1051" s="353"/>
      <c r="U1051" s="353"/>
      <c r="V1051" s="353"/>
      <c r="W1051" s="432"/>
      <c r="X1051" s="200"/>
      <c r="Y1051" s="200"/>
      <c r="Z1051" s="200"/>
      <c r="AA1051" s="200"/>
      <c r="AB1051" s="200"/>
      <c r="AC1051" s="200"/>
      <c r="AD1051" s="200"/>
      <c r="AE1051" s="200"/>
      <c r="AF1051" s="200"/>
      <c r="AG1051" s="200"/>
      <c r="AH1051" s="200"/>
      <c r="AI1051" s="200"/>
      <c r="AJ1051" s="200"/>
      <c r="AK1051" s="200"/>
      <c r="AL1051" s="200"/>
      <c r="AM1051" s="200"/>
      <c r="AN1051" s="200"/>
      <c r="AO1051" s="200"/>
      <c r="AP1051" s="200"/>
      <c r="AQ1051" s="200"/>
      <c r="AR1051" s="200"/>
      <c r="AS1051" s="200"/>
      <c r="AT1051" s="200"/>
    </row>
    <row r="1052" spans="1:46" ht="16.5" customHeight="1">
      <c r="A1052" s="307"/>
      <c r="B1052" s="307"/>
      <c r="C1052" s="200"/>
      <c r="D1052" s="200"/>
      <c r="E1052" s="200"/>
      <c r="F1052" s="200"/>
      <c r="G1052" s="200"/>
      <c r="H1052" s="200"/>
      <c r="I1052" s="200"/>
      <c r="J1052" s="200"/>
      <c r="K1052" s="200"/>
      <c r="L1052" s="200"/>
      <c r="M1052" s="200"/>
      <c r="N1052" s="200"/>
      <c r="O1052" s="200"/>
      <c r="P1052" s="200"/>
      <c r="Q1052" s="353"/>
      <c r="R1052" s="353"/>
      <c r="S1052" s="200"/>
      <c r="T1052" s="353"/>
      <c r="U1052" s="353"/>
      <c r="V1052" s="353"/>
      <c r="W1052" s="432"/>
      <c r="X1052" s="200"/>
      <c r="Y1052" s="200"/>
      <c r="Z1052" s="200"/>
      <c r="AA1052" s="200"/>
      <c r="AB1052" s="200"/>
      <c r="AC1052" s="200"/>
      <c r="AD1052" s="200"/>
      <c r="AE1052" s="200"/>
      <c r="AF1052" s="200"/>
      <c r="AG1052" s="200"/>
      <c r="AH1052" s="200"/>
      <c r="AI1052" s="200"/>
      <c r="AJ1052" s="200"/>
      <c r="AK1052" s="200"/>
      <c r="AL1052" s="200"/>
      <c r="AM1052" s="200"/>
      <c r="AN1052" s="200"/>
      <c r="AO1052" s="200"/>
      <c r="AP1052" s="200"/>
      <c r="AQ1052" s="200"/>
      <c r="AR1052" s="200"/>
      <c r="AS1052" s="200"/>
      <c r="AT1052" s="200"/>
    </row>
    <row r="1053" spans="1:46" ht="16.5" customHeight="1">
      <c r="A1053" s="307"/>
      <c r="B1053" s="307"/>
      <c r="C1053" s="200"/>
      <c r="D1053" s="200"/>
      <c r="E1053" s="200"/>
      <c r="F1053" s="200"/>
      <c r="G1053" s="200"/>
      <c r="H1053" s="200"/>
      <c r="I1053" s="200"/>
      <c r="J1053" s="200"/>
      <c r="K1053" s="200"/>
      <c r="L1053" s="200"/>
      <c r="M1053" s="200"/>
      <c r="N1053" s="200"/>
      <c r="O1053" s="200"/>
      <c r="P1053" s="200"/>
      <c r="Q1053" s="353"/>
      <c r="R1053" s="353"/>
      <c r="S1053" s="200"/>
      <c r="T1053" s="353"/>
      <c r="U1053" s="353"/>
      <c r="V1053" s="353"/>
      <c r="W1053" s="432"/>
      <c r="X1053" s="200"/>
      <c r="Y1053" s="200"/>
      <c r="Z1053" s="200"/>
      <c r="AA1053" s="200"/>
      <c r="AB1053" s="200"/>
      <c r="AC1053" s="200"/>
      <c r="AD1053" s="200"/>
      <c r="AE1053" s="200"/>
      <c r="AF1053" s="200"/>
      <c r="AG1053" s="200"/>
      <c r="AH1053" s="200"/>
      <c r="AI1053" s="200"/>
      <c r="AJ1053" s="200"/>
      <c r="AK1053" s="200"/>
      <c r="AL1053" s="200"/>
      <c r="AM1053" s="200"/>
      <c r="AN1053" s="200"/>
      <c r="AO1053" s="200"/>
      <c r="AP1053" s="200"/>
      <c r="AQ1053" s="200"/>
      <c r="AR1053" s="200"/>
      <c r="AS1053" s="200"/>
      <c r="AT1053" s="200"/>
    </row>
    <row r="1054" spans="1:46" ht="16.5" customHeight="1">
      <c r="A1054" s="307"/>
      <c r="B1054" s="307"/>
      <c r="C1054" s="200"/>
      <c r="D1054" s="200"/>
      <c r="E1054" s="200"/>
      <c r="F1054" s="200"/>
      <c r="G1054" s="200"/>
      <c r="H1054" s="200"/>
      <c r="I1054" s="200"/>
      <c r="J1054" s="200"/>
      <c r="K1054" s="200"/>
      <c r="L1054" s="200"/>
      <c r="M1054" s="200"/>
      <c r="N1054" s="200"/>
      <c r="O1054" s="200"/>
      <c r="P1054" s="200"/>
      <c r="Q1054" s="353"/>
      <c r="R1054" s="353"/>
      <c r="S1054" s="200"/>
      <c r="T1054" s="353"/>
      <c r="U1054" s="353"/>
      <c r="V1054" s="353"/>
      <c r="W1054" s="432"/>
      <c r="X1054" s="200"/>
      <c r="Y1054" s="200"/>
      <c r="Z1054" s="200"/>
      <c r="AA1054" s="200"/>
      <c r="AB1054" s="200"/>
      <c r="AC1054" s="200"/>
      <c r="AD1054" s="200"/>
      <c r="AE1054" s="200"/>
      <c r="AF1054" s="200"/>
      <c r="AG1054" s="200"/>
      <c r="AH1054" s="200"/>
      <c r="AI1054" s="200"/>
      <c r="AJ1054" s="200"/>
      <c r="AK1054" s="200"/>
      <c r="AL1054" s="200"/>
      <c r="AM1054" s="200"/>
      <c r="AN1054" s="200"/>
      <c r="AO1054" s="200"/>
      <c r="AP1054" s="200"/>
      <c r="AQ1054" s="200"/>
      <c r="AR1054" s="200"/>
      <c r="AS1054" s="200"/>
      <c r="AT1054" s="200"/>
    </row>
    <row r="1055" spans="1:46" ht="16.5" customHeight="1">
      <c r="A1055" s="307"/>
      <c r="B1055" s="307"/>
      <c r="C1055" s="200"/>
      <c r="D1055" s="200"/>
      <c r="E1055" s="200"/>
      <c r="F1055" s="200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200"/>
      <c r="Q1055" s="353"/>
      <c r="R1055" s="353"/>
      <c r="S1055" s="200"/>
      <c r="T1055" s="353"/>
      <c r="U1055" s="353"/>
      <c r="V1055" s="353"/>
      <c r="W1055" s="432"/>
      <c r="X1055" s="200"/>
      <c r="Y1055" s="200"/>
      <c r="Z1055" s="200"/>
      <c r="AA1055" s="200"/>
      <c r="AB1055" s="200"/>
      <c r="AC1055" s="200"/>
      <c r="AD1055" s="200"/>
      <c r="AE1055" s="200"/>
      <c r="AF1055" s="200"/>
      <c r="AG1055" s="200"/>
      <c r="AH1055" s="200"/>
      <c r="AI1055" s="200"/>
      <c r="AJ1055" s="200"/>
      <c r="AK1055" s="200"/>
      <c r="AL1055" s="200"/>
      <c r="AM1055" s="200"/>
      <c r="AN1055" s="200"/>
      <c r="AO1055" s="200"/>
      <c r="AP1055" s="200"/>
      <c r="AQ1055" s="200"/>
      <c r="AR1055" s="200"/>
      <c r="AS1055" s="200"/>
      <c r="AT1055" s="200"/>
    </row>
    <row r="1056" spans="1:46" ht="16.5" customHeight="1">
      <c r="A1056" s="307"/>
      <c r="B1056" s="307"/>
      <c r="C1056" s="200"/>
      <c r="D1056" s="200"/>
      <c r="E1056" s="200"/>
      <c r="F1056" s="200"/>
      <c r="G1056" s="200"/>
      <c r="H1056" s="200"/>
      <c r="I1056" s="200"/>
      <c r="J1056" s="200"/>
      <c r="K1056" s="200"/>
      <c r="L1056" s="200"/>
      <c r="M1056" s="200"/>
      <c r="N1056" s="200"/>
      <c r="O1056" s="200"/>
      <c r="P1056" s="200"/>
      <c r="Q1056" s="353"/>
      <c r="R1056" s="353"/>
      <c r="S1056" s="200"/>
      <c r="T1056" s="353"/>
      <c r="U1056" s="353"/>
      <c r="V1056" s="353"/>
      <c r="W1056" s="432"/>
      <c r="X1056" s="200"/>
      <c r="Y1056" s="200"/>
      <c r="Z1056" s="200"/>
      <c r="AA1056" s="200"/>
      <c r="AB1056" s="200"/>
      <c r="AC1056" s="200"/>
      <c r="AD1056" s="200"/>
      <c r="AE1056" s="200"/>
      <c r="AF1056" s="200"/>
      <c r="AG1056" s="200"/>
      <c r="AH1056" s="200"/>
      <c r="AI1056" s="200"/>
      <c r="AJ1056" s="200"/>
      <c r="AK1056" s="200"/>
      <c r="AL1056" s="200"/>
      <c r="AM1056" s="200"/>
      <c r="AN1056" s="200"/>
      <c r="AO1056" s="200"/>
      <c r="AP1056" s="200"/>
      <c r="AQ1056" s="200"/>
      <c r="AR1056" s="200"/>
      <c r="AS1056" s="200"/>
      <c r="AT1056" s="200"/>
    </row>
    <row r="1057" spans="1:46" ht="16.5" customHeight="1">
      <c r="A1057" s="307"/>
      <c r="B1057" s="307"/>
      <c r="C1057" s="200"/>
      <c r="D1057" s="200"/>
      <c r="E1057" s="200"/>
      <c r="F1057" s="200"/>
      <c r="G1057" s="200"/>
      <c r="H1057" s="200"/>
      <c r="I1057" s="200"/>
      <c r="J1057" s="200"/>
      <c r="K1057" s="200"/>
      <c r="L1057" s="200"/>
      <c r="M1057" s="200"/>
      <c r="N1057" s="200"/>
      <c r="O1057" s="200"/>
      <c r="P1057" s="200"/>
      <c r="Q1057" s="353"/>
      <c r="R1057" s="353"/>
      <c r="S1057" s="200"/>
      <c r="T1057" s="353"/>
      <c r="U1057" s="353"/>
      <c r="V1057" s="353"/>
      <c r="W1057" s="432"/>
      <c r="X1057" s="200"/>
      <c r="Y1057" s="200"/>
      <c r="Z1057" s="200"/>
      <c r="AA1057" s="200"/>
      <c r="AB1057" s="200"/>
      <c r="AC1057" s="200"/>
      <c r="AD1057" s="200"/>
      <c r="AE1057" s="200"/>
      <c r="AF1057" s="200"/>
      <c r="AG1057" s="200"/>
      <c r="AH1057" s="200"/>
      <c r="AI1057" s="200"/>
      <c r="AJ1057" s="200"/>
      <c r="AK1057" s="200"/>
      <c r="AL1057" s="200"/>
      <c r="AM1057" s="200"/>
      <c r="AN1057" s="200"/>
      <c r="AO1057" s="200"/>
      <c r="AP1057" s="200"/>
      <c r="AQ1057" s="200"/>
      <c r="AR1057" s="200"/>
      <c r="AS1057" s="200"/>
      <c r="AT1057" s="200"/>
    </row>
    <row r="1058" spans="1:46" ht="16.5" customHeight="1">
      <c r="A1058" s="307"/>
      <c r="B1058" s="307"/>
      <c r="C1058" s="200"/>
      <c r="D1058" s="200"/>
      <c r="E1058" s="200"/>
      <c r="F1058" s="200"/>
      <c r="G1058" s="200"/>
      <c r="H1058" s="200"/>
      <c r="I1058" s="200"/>
      <c r="J1058" s="200"/>
      <c r="K1058" s="200"/>
      <c r="L1058" s="200"/>
      <c r="M1058" s="200"/>
      <c r="N1058" s="200"/>
      <c r="O1058" s="200"/>
      <c r="P1058" s="200"/>
      <c r="Q1058" s="353"/>
      <c r="R1058" s="353"/>
      <c r="S1058" s="200"/>
      <c r="T1058" s="353"/>
      <c r="U1058" s="353"/>
      <c r="V1058" s="353"/>
      <c r="W1058" s="432"/>
      <c r="X1058" s="200"/>
      <c r="Y1058" s="200"/>
      <c r="Z1058" s="200"/>
      <c r="AA1058" s="200"/>
      <c r="AB1058" s="200"/>
      <c r="AC1058" s="200"/>
      <c r="AD1058" s="200"/>
      <c r="AE1058" s="200"/>
      <c r="AF1058" s="200"/>
      <c r="AG1058" s="200"/>
      <c r="AH1058" s="200"/>
      <c r="AI1058" s="200"/>
      <c r="AJ1058" s="200"/>
      <c r="AK1058" s="200"/>
      <c r="AL1058" s="200"/>
      <c r="AM1058" s="200"/>
      <c r="AN1058" s="200"/>
      <c r="AO1058" s="200"/>
      <c r="AP1058" s="200"/>
      <c r="AQ1058" s="200"/>
      <c r="AR1058" s="200"/>
      <c r="AS1058" s="200"/>
      <c r="AT1058" s="200"/>
    </row>
    <row r="1059" spans="1:46" ht="16.5" customHeight="1">
      <c r="A1059" s="307"/>
      <c r="B1059" s="307"/>
      <c r="C1059" s="200"/>
      <c r="D1059" s="200"/>
      <c r="E1059" s="200"/>
      <c r="F1059" s="200"/>
      <c r="G1059" s="200"/>
      <c r="H1059" s="200"/>
      <c r="I1059" s="200"/>
      <c r="J1059" s="200"/>
      <c r="K1059" s="200"/>
      <c r="L1059" s="200"/>
      <c r="M1059" s="200"/>
      <c r="N1059" s="200"/>
      <c r="O1059" s="200"/>
      <c r="P1059" s="200"/>
      <c r="Q1059" s="353"/>
      <c r="R1059" s="353"/>
      <c r="S1059" s="200"/>
      <c r="T1059" s="353"/>
      <c r="U1059" s="353"/>
      <c r="V1059" s="353"/>
      <c r="W1059" s="432"/>
      <c r="X1059" s="200"/>
      <c r="Y1059" s="200"/>
      <c r="Z1059" s="200"/>
      <c r="AA1059" s="200"/>
      <c r="AB1059" s="200"/>
      <c r="AC1059" s="200"/>
      <c r="AD1059" s="200"/>
      <c r="AE1059" s="200"/>
      <c r="AF1059" s="200"/>
      <c r="AG1059" s="200"/>
      <c r="AH1059" s="200"/>
      <c r="AI1059" s="200"/>
      <c r="AJ1059" s="200"/>
      <c r="AK1059" s="200"/>
      <c r="AL1059" s="200"/>
      <c r="AM1059" s="200"/>
      <c r="AN1059" s="200"/>
      <c r="AO1059" s="200"/>
      <c r="AP1059" s="200"/>
      <c r="AQ1059" s="200"/>
      <c r="AR1059" s="200"/>
      <c r="AS1059" s="200"/>
      <c r="AT1059" s="200"/>
    </row>
    <row r="1060" spans="1:46" ht="16.5" customHeight="1">
      <c r="A1060" s="307"/>
      <c r="B1060" s="307"/>
      <c r="C1060" s="200"/>
      <c r="D1060" s="200"/>
      <c r="E1060" s="200"/>
      <c r="F1060" s="200"/>
      <c r="G1060" s="200"/>
      <c r="H1060" s="200"/>
      <c r="I1060" s="200"/>
      <c r="J1060" s="200"/>
      <c r="K1060" s="200"/>
      <c r="L1060" s="200"/>
      <c r="M1060" s="200"/>
      <c r="N1060" s="200"/>
      <c r="O1060" s="200"/>
      <c r="P1060" s="200"/>
      <c r="Q1060" s="353"/>
      <c r="R1060" s="353"/>
      <c r="S1060" s="200"/>
      <c r="T1060" s="353"/>
      <c r="U1060" s="353"/>
      <c r="V1060" s="353"/>
      <c r="W1060" s="432"/>
      <c r="X1060" s="200"/>
      <c r="Y1060" s="200"/>
      <c r="Z1060" s="200"/>
      <c r="AA1060" s="200"/>
      <c r="AB1060" s="200"/>
      <c r="AC1060" s="200"/>
      <c r="AD1060" s="200"/>
      <c r="AE1060" s="200"/>
      <c r="AF1060" s="200"/>
      <c r="AG1060" s="200"/>
      <c r="AH1060" s="200"/>
      <c r="AI1060" s="200"/>
      <c r="AJ1060" s="200"/>
      <c r="AK1060" s="200"/>
      <c r="AL1060" s="200"/>
      <c r="AM1060" s="200"/>
      <c r="AN1060" s="200"/>
      <c r="AO1060" s="200"/>
      <c r="AP1060" s="200"/>
      <c r="AQ1060" s="200"/>
      <c r="AR1060" s="200"/>
      <c r="AS1060" s="200"/>
      <c r="AT1060" s="200"/>
    </row>
    <row r="1061" spans="1:46" ht="16.5" customHeight="1">
      <c r="A1061" s="307"/>
      <c r="B1061" s="307"/>
      <c r="C1061" s="200"/>
      <c r="D1061" s="200"/>
      <c r="E1061" s="200"/>
      <c r="F1061" s="200"/>
      <c r="G1061" s="200"/>
      <c r="H1061" s="200"/>
      <c r="I1061" s="200"/>
      <c r="J1061" s="200"/>
      <c r="K1061" s="200"/>
      <c r="L1061" s="200"/>
      <c r="M1061" s="200"/>
      <c r="N1061" s="200"/>
      <c r="O1061" s="200"/>
      <c r="P1061" s="200"/>
      <c r="Q1061" s="353"/>
      <c r="R1061" s="353"/>
      <c r="S1061" s="200"/>
      <c r="T1061" s="353"/>
      <c r="U1061" s="353"/>
      <c r="V1061" s="353"/>
      <c r="W1061" s="432"/>
      <c r="X1061" s="200"/>
      <c r="Y1061" s="200"/>
      <c r="Z1061" s="200"/>
      <c r="AA1061" s="200"/>
      <c r="AB1061" s="200"/>
      <c r="AC1061" s="200"/>
      <c r="AD1061" s="200"/>
      <c r="AE1061" s="200"/>
      <c r="AF1061" s="200"/>
      <c r="AG1061" s="200"/>
      <c r="AH1061" s="200"/>
      <c r="AI1061" s="200"/>
      <c r="AJ1061" s="200"/>
      <c r="AK1061" s="200"/>
      <c r="AL1061" s="200"/>
      <c r="AM1061" s="200"/>
      <c r="AN1061" s="200"/>
      <c r="AO1061" s="200"/>
      <c r="AP1061" s="200"/>
      <c r="AQ1061" s="200"/>
      <c r="AR1061" s="200"/>
      <c r="AS1061" s="200"/>
      <c r="AT1061" s="200"/>
    </row>
    <row r="1062" spans="1:46" ht="16.5" customHeight="1">
      <c r="A1062" s="307"/>
      <c r="B1062" s="307"/>
      <c r="C1062" s="200"/>
      <c r="D1062" s="200"/>
      <c r="E1062" s="200"/>
      <c r="F1062" s="200"/>
      <c r="G1062" s="200"/>
      <c r="H1062" s="200"/>
      <c r="I1062" s="200"/>
      <c r="J1062" s="200"/>
      <c r="K1062" s="200"/>
      <c r="L1062" s="200"/>
      <c r="M1062" s="200"/>
      <c r="N1062" s="200"/>
      <c r="O1062" s="200"/>
      <c r="P1062" s="200"/>
      <c r="Q1062" s="353"/>
      <c r="R1062" s="353"/>
      <c r="S1062" s="200"/>
      <c r="T1062" s="353"/>
      <c r="U1062" s="353"/>
      <c r="V1062" s="353"/>
      <c r="W1062" s="432"/>
      <c r="X1062" s="200"/>
      <c r="Y1062" s="200"/>
      <c r="Z1062" s="200"/>
      <c r="AA1062" s="200"/>
      <c r="AB1062" s="200"/>
      <c r="AC1062" s="200"/>
      <c r="AD1062" s="200"/>
      <c r="AE1062" s="200"/>
      <c r="AF1062" s="200"/>
      <c r="AG1062" s="200"/>
      <c r="AH1062" s="200"/>
      <c r="AI1062" s="200"/>
      <c r="AJ1062" s="200"/>
      <c r="AK1062" s="200"/>
      <c r="AL1062" s="200"/>
      <c r="AM1062" s="200"/>
      <c r="AN1062" s="200"/>
      <c r="AO1062" s="200"/>
      <c r="AP1062" s="200"/>
      <c r="AQ1062" s="200"/>
      <c r="AR1062" s="200"/>
      <c r="AS1062" s="200"/>
      <c r="AT1062" s="200"/>
    </row>
    <row r="1063" spans="1:46" ht="16.5" customHeight="1">
      <c r="A1063" s="307"/>
      <c r="B1063" s="307"/>
      <c r="C1063" s="200"/>
      <c r="D1063" s="200"/>
      <c r="E1063" s="200"/>
      <c r="F1063" s="200"/>
      <c r="G1063" s="200"/>
      <c r="H1063" s="200"/>
      <c r="I1063" s="200"/>
      <c r="J1063" s="200"/>
      <c r="K1063" s="200"/>
      <c r="L1063" s="200"/>
      <c r="M1063" s="200"/>
      <c r="N1063" s="200"/>
      <c r="O1063" s="200"/>
      <c r="P1063" s="200"/>
      <c r="Q1063" s="353"/>
      <c r="R1063" s="353"/>
      <c r="S1063" s="200"/>
      <c r="T1063" s="353"/>
      <c r="U1063" s="353"/>
      <c r="V1063" s="353"/>
      <c r="W1063" s="432"/>
      <c r="X1063" s="200"/>
      <c r="Y1063" s="200"/>
      <c r="Z1063" s="200"/>
      <c r="AA1063" s="200"/>
      <c r="AB1063" s="200"/>
      <c r="AC1063" s="200"/>
      <c r="AD1063" s="200"/>
      <c r="AE1063" s="200"/>
      <c r="AF1063" s="200"/>
      <c r="AG1063" s="200"/>
      <c r="AH1063" s="200"/>
      <c r="AI1063" s="200"/>
      <c r="AJ1063" s="200"/>
      <c r="AK1063" s="200"/>
      <c r="AL1063" s="200"/>
      <c r="AM1063" s="200"/>
      <c r="AN1063" s="200"/>
      <c r="AO1063" s="200"/>
      <c r="AP1063" s="200"/>
      <c r="AQ1063" s="200"/>
      <c r="AR1063" s="200"/>
      <c r="AS1063" s="200"/>
      <c r="AT1063" s="200"/>
    </row>
    <row r="1064" spans="1:46" ht="16.5" customHeight="1">
      <c r="A1064" s="307"/>
      <c r="B1064" s="307"/>
      <c r="C1064" s="200"/>
      <c r="D1064" s="200"/>
      <c r="E1064" s="200"/>
      <c r="F1064" s="200"/>
      <c r="G1064" s="200"/>
      <c r="H1064" s="200"/>
      <c r="I1064" s="200"/>
      <c r="J1064" s="200"/>
      <c r="K1064" s="200"/>
      <c r="L1064" s="200"/>
      <c r="M1064" s="200"/>
      <c r="N1064" s="200"/>
      <c r="O1064" s="200"/>
      <c r="P1064" s="200"/>
      <c r="Q1064" s="353"/>
      <c r="R1064" s="353"/>
      <c r="S1064" s="200"/>
      <c r="T1064" s="353"/>
      <c r="U1064" s="353"/>
      <c r="V1064" s="353"/>
      <c r="W1064" s="432"/>
      <c r="X1064" s="200"/>
      <c r="Y1064" s="200"/>
      <c r="Z1064" s="200"/>
      <c r="AA1064" s="200"/>
      <c r="AB1064" s="200"/>
      <c r="AC1064" s="200"/>
      <c r="AD1064" s="200"/>
      <c r="AE1064" s="200"/>
      <c r="AF1064" s="200"/>
      <c r="AG1064" s="200"/>
      <c r="AH1064" s="200"/>
      <c r="AI1064" s="200"/>
      <c r="AJ1064" s="200"/>
      <c r="AK1064" s="200"/>
      <c r="AL1064" s="200"/>
      <c r="AM1064" s="200"/>
      <c r="AN1064" s="200"/>
      <c r="AO1064" s="200"/>
      <c r="AP1064" s="200"/>
      <c r="AQ1064" s="200"/>
      <c r="AR1064" s="200"/>
      <c r="AS1064" s="200"/>
      <c r="AT1064" s="200"/>
    </row>
    <row r="1065" spans="1:46" ht="16.5" customHeight="1">
      <c r="A1065" s="307"/>
      <c r="B1065" s="307"/>
      <c r="C1065" s="200"/>
      <c r="D1065" s="200"/>
      <c r="E1065" s="200"/>
      <c r="F1065" s="200"/>
      <c r="G1065" s="200"/>
      <c r="H1065" s="200"/>
      <c r="I1065" s="200"/>
      <c r="J1065" s="200"/>
      <c r="K1065" s="200"/>
      <c r="L1065" s="200"/>
      <c r="M1065" s="200"/>
      <c r="N1065" s="200"/>
      <c r="O1065" s="200"/>
      <c r="P1065" s="200"/>
      <c r="Q1065" s="353"/>
      <c r="R1065" s="353"/>
      <c r="S1065" s="200"/>
      <c r="T1065" s="353"/>
      <c r="U1065" s="353"/>
      <c r="V1065" s="353"/>
      <c r="W1065" s="432"/>
      <c r="X1065" s="200"/>
      <c r="Y1065" s="200"/>
      <c r="Z1065" s="200"/>
      <c r="AA1065" s="200"/>
      <c r="AB1065" s="200"/>
      <c r="AC1065" s="200"/>
      <c r="AD1065" s="200"/>
      <c r="AE1065" s="200"/>
      <c r="AF1065" s="200"/>
      <c r="AG1065" s="200"/>
      <c r="AH1065" s="200"/>
      <c r="AI1065" s="200"/>
      <c r="AJ1065" s="200"/>
      <c r="AK1065" s="200"/>
      <c r="AL1065" s="200"/>
      <c r="AM1065" s="200"/>
      <c r="AN1065" s="200"/>
      <c r="AO1065" s="200"/>
      <c r="AP1065" s="200"/>
      <c r="AQ1065" s="200"/>
      <c r="AR1065" s="200"/>
      <c r="AS1065" s="200"/>
      <c r="AT1065" s="200"/>
    </row>
    <row r="1066" spans="1:46" ht="16.5" customHeight="1">
      <c r="A1066" s="307"/>
      <c r="B1066" s="307"/>
      <c r="C1066" s="200"/>
      <c r="D1066" s="200"/>
      <c r="E1066" s="200"/>
      <c r="F1066" s="200"/>
      <c r="G1066" s="200"/>
      <c r="H1066" s="200"/>
      <c r="I1066" s="200"/>
      <c r="J1066" s="200"/>
      <c r="K1066" s="200"/>
      <c r="L1066" s="200"/>
      <c r="M1066" s="200"/>
      <c r="N1066" s="200"/>
      <c r="O1066" s="200"/>
      <c r="P1066" s="200"/>
      <c r="Q1066" s="353"/>
      <c r="R1066" s="353"/>
      <c r="S1066" s="200"/>
      <c r="T1066" s="353"/>
      <c r="U1066" s="353"/>
      <c r="V1066" s="353"/>
      <c r="W1066" s="432"/>
      <c r="X1066" s="200"/>
      <c r="Y1066" s="200"/>
      <c r="Z1066" s="200"/>
      <c r="AA1066" s="200"/>
      <c r="AB1066" s="200"/>
      <c r="AC1066" s="200"/>
      <c r="AD1066" s="200"/>
      <c r="AE1066" s="200"/>
      <c r="AF1066" s="200"/>
      <c r="AG1066" s="200"/>
      <c r="AH1066" s="200"/>
      <c r="AI1066" s="200"/>
      <c r="AJ1066" s="200"/>
      <c r="AK1066" s="200"/>
      <c r="AL1066" s="200"/>
      <c r="AM1066" s="200"/>
      <c r="AN1066" s="200"/>
      <c r="AO1066" s="200"/>
      <c r="AP1066" s="200"/>
      <c r="AQ1066" s="200"/>
      <c r="AR1066" s="200"/>
      <c r="AS1066" s="200"/>
      <c r="AT1066" s="200"/>
    </row>
    <row r="1067" spans="1:46" ht="16.5" customHeight="1">
      <c r="A1067" s="307"/>
      <c r="B1067" s="307"/>
      <c r="C1067" s="200"/>
      <c r="D1067" s="200"/>
      <c r="E1067" s="200"/>
      <c r="F1067" s="200"/>
      <c r="G1067" s="200"/>
      <c r="H1067" s="200"/>
      <c r="I1067" s="200"/>
      <c r="J1067" s="200"/>
      <c r="K1067" s="200"/>
      <c r="L1067" s="200"/>
      <c r="M1067" s="200"/>
      <c r="N1067" s="200"/>
      <c r="O1067" s="200"/>
      <c r="P1067" s="200"/>
      <c r="Q1067" s="353"/>
      <c r="R1067" s="353"/>
      <c r="S1067" s="200"/>
      <c r="T1067" s="353"/>
      <c r="U1067" s="353"/>
      <c r="V1067" s="353"/>
      <c r="W1067" s="432"/>
      <c r="X1067" s="200"/>
      <c r="Y1067" s="200"/>
      <c r="Z1067" s="200"/>
      <c r="AA1067" s="200"/>
      <c r="AB1067" s="200"/>
      <c r="AC1067" s="200"/>
      <c r="AD1067" s="200"/>
      <c r="AE1067" s="200"/>
      <c r="AF1067" s="200"/>
      <c r="AG1067" s="200"/>
      <c r="AH1067" s="200"/>
      <c r="AI1067" s="200"/>
      <c r="AJ1067" s="200"/>
      <c r="AK1067" s="200"/>
      <c r="AL1067" s="200"/>
      <c r="AM1067" s="200"/>
      <c r="AN1067" s="200"/>
      <c r="AO1067" s="200"/>
      <c r="AP1067" s="200"/>
      <c r="AQ1067" s="200"/>
      <c r="AR1067" s="200"/>
      <c r="AS1067" s="200"/>
      <c r="AT1067" s="200"/>
    </row>
    <row r="1068" spans="1:46" ht="16.5" customHeight="1">
      <c r="A1068" s="307"/>
      <c r="B1068" s="307"/>
      <c r="C1068" s="200"/>
      <c r="D1068" s="200"/>
      <c r="E1068" s="200"/>
      <c r="F1068" s="200"/>
      <c r="G1068" s="200"/>
      <c r="H1068" s="200"/>
      <c r="I1068" s="200"/>
      <c r="J1068" s="200"/>
      <c r="K1068" s="200"/>
      <c r="L1068" s="200"/>
      <c r="M1068" s="200"/>
      <c r="N1068" s="200"/>
      <c r="O1068" s="200"/>
      <c r="P1068" s="200"/>
      <c r="Q1068" s="353"/>
      <c r="R1068" s="353"/>
      <c r="S1068" s="200"/>
      <c r="T1068" s="353"/>
      <c r="U1068" s="353"/>
      <c r="V1068" s="353"/>
      <c r="W1068" s="432"/>
      <c r="X1068" s="200"/>
      <c r="Y1068" s="200"/>
      <c r="Z1068" s="200"/>
      <c r="AA1068" s="200"/>
      <c r="AB1068" s="200"/>
      <c r="AC1068" s="200"/>
      <c r="AD1068" s="200"/>
      <c r="AE1068" s="200"/>
      <c r="AF1068" s="200"/>
      <c r="AG1068" s="200"/>
      <c r="AH1068" s="200"/>
      <c r="AI1068" s="200"/>
      <c r="AJ1068" s="200"/>
      <c r="AK1068" s="200"/>
      <c r="AL1068" s="200"/>
      <c r="AM1068" s="200"/>
      <c r="AN1068" s="200"/>
      <c r="AO1068" s="200"/>
      <c r="AP1068" s="200"/>
      <c r="AQ1068" s="200"/>
      <c r="AR1068" s="200"/>
      <c r="AS1068" s="200"/>
      <c r="AT1068" s="200"/>
    </row>
    <row r="1069" spans="1:46" ht="16.5" customHeight="1">
      <c r="A1069" s="307"/>
      <c r="B1069" s="307"/>
      <c r="C1069" s="200"/>
      <c r="D1069" s="200"/>
      <c r="E1069" s="200"/>
      <c r="F1069" s="200"/>
      <c r="G1069" s="200"/>
      <c r="H1069" s="200"/>
      <c r="I1069" s="200"/>
      <c r="J1069" s="200"/>
      <c r="K1069" s="200"/>
      <c r="L1069" s="200"/>
      <c r="M1069" s="200"/>
      <c r="N1069" s="200"/>
      <c r="O1069" s="200"/>
      <c r="P1069" s="200"/>
      <c r="Q1069" s="353"/>
      <c r="R1069" s="353"/>
      <c r="S1069" s="200"/>
      <c r="T1069" s="353"/>
      <c r="U1069" s="353"/>
      <c r="V1069" s="353"/>
      <c r="W1069" s="432"/>
      <c r="X1069" s="200"/>
      <c r="Y1069" s="200"/>
      <c r="Z1069" s="200"/>
      <c r="AA1069" s="200"/>
      <c r="AB1069" s="200"/>
      <c r="AC1069" s="200"/>
      <c r="AD1069" s="200"/>
      <c r="AE1069" s="200"/>
      <c r="AF1069" s="200"/>
      <c r="AG1069" s="200"/>
      <c r="AH1069" s="200"/>
      <c r="AI1069" s="200"/>
      <c r="AJ1069" s="200"/>
      <c r="AK1069" s="200"/>
      <c r="AL1069" s="200"/>
      <c r="AM1069" s="200"/>
      <c r="AN1069" s="200"/>
      <c r="AO1069" s="200"/>
      <c r="AP1069" s="200"/>
      <c r="AQ1069" s="200"/>
      <c r="AR1069" s="200"/>
      <c r="AS1069" s="200"/>
      <c r="AT1069" s="200"/>
    </row>
    <row r="1070" spans="1:46" ht="16.5" customHeight="1">
      <c r="A1070" s="307"/>
      <c r="B1070" s="307"/>
      <c r="C1070" s="200"/>
      <c r="D1070" s="200"/>
      <c r="E1070" s="200"/>
      <c r="F1070" s="200"/>
      <c r="G1070" s="200"/>
      <c r="H1070" s="200"/>
      <c r="I1070" s="200"/>
      <c r="J1070" s="200"/>
      <c r="K1070" s="200"/>
      <c r="L1070" s="200"/>
      <c r="M1070" s="200"/>
      <c r="N1070" s="200"/>
      <c r="O1070" s="200"/>
      <c r="P1070" s="200"/>
      <c r="Q1070" s="353"/>
      <c r="R1070" s="353"/>
      <c r="S1070" s="200"/>
      <c r="T1070" s="353"/>
      <c r="U1070" s="353"/>
      <c r="V1070" s="353"/>
      <c r="W1070" s="432"/>
      <c r="X1070" s="200"/>
      <c r="Y1070" s="200"/>
      <c r="Z1070" s="200"/>
      <c r="AA1070" s="200"/>
      <c r="AB1070" s="200"/>
      <c r="AC1070" s="200"/>
      <c r="AD1070" s="200"/>
      <c r="AE1070" s="200"/>
      <c r="AF1070" s="200"/>
      <c r="AG1070" s="200"/>
      <c r="AH1070" s="200"/>
      <c r="AI1070" s="200"/>
      <c r="AJ1070" s="200"/>
      <c r="AK1070" s="200"/>
      <c r="AL1070" s="200"/>
      <c r="AM1070" s="200"/>
      <c r="AN1070" s="200"/>
      <c r="AO1070" s="200"/>
      <c r="AP1070" s="200"/>
      <c r="AQ1070" s="200"/>
      <c r="AR1070" s="200"/>
      <c r="AS1070" s="200"/>
      <c r="AT1070" s="200"/>
    </row>
    <row r="1071" spans="1:46" ht="16.5" customHeight="1">
      <c r="A1071" s="307"/>
      <c r="B1071" s="307"/>
      <c r="C1071" s="200"/>
      <c r="D1071" s="200"/>
      <c r="E1071" s="200"/>
      <c r="F1071" s="200"/>
      <c r="G1071" s="200"/>
      <c r="H1071" s="200"/>
      <c r="I1071" s="200"/>
      <c r="J1071" s="200"/>
      <c r="K1071" s="200"/>
      <c r="L1071" s="200"/>
      <c r="M1071" s="200"/>
      <c r="N1071" s="200"/>
      <c r="O1071" s="200"/>
      <c r="P1071" s="200"/>
      <c r="Q1071" s="353"/>
      <c r="R1071" s="353"/>
      <c r="S1071" s="200"/>
      <c r="T1071" s="353"/>
      <c r="U1071" s="353"/>
      <c r="V1071" s="353"/>
      <c r="W1071" s="432"/>
      <c r="X1071" s="200"/>
      <c r="Y1071" s="200"/>
      <c r="Z1071" s="200"/>
      <c r="AA1071" s="200"/>
      <c r="AB1071" s="200"/>
      <c r="AC1071" s="200"/>
      <c r="AD1071" s="200"/>
      <c r="AE1071" s="200"/>
      <c r="AF1071" s="200"/>
      <c r="AG1071" s="200"/>
      <c r="AH1071" s="200"/>
      <c r="AI1071" s="200"/>
      <c r="AJ1071" s="200"/>
      <c r="AK1071" s="200"/>
      <c r="AL1071" s="200"/>
      <c r="AM1071" s="200"/>
      <c r="AN1071" s="200"/>
      <c r="AO1071" s="200"/>
      <c r="AP1071" s="200"/>
      <c r="AQ1071" s="200"/>
      <c r="AR1071" s="200"/>
      <c r="AS1071" s="200"/>
      <c r="AT1071" s="200"/>
    </row>
    <row r="1072" spans="1:46" ht="16.5" customHeight="1">
      <c r="A1072" s="307"/>
      <c r="B1072" s="307"/>
      <c r="C1072" s="200"/>
      <c r="D1072" s="200"/>
      <c r="E1072" s="200"/>
      <c r="F1072" s="200"/>
      <c r="G1072" s="200"/>
      <c r="H1072" s="200"/>
      <c r="I1072" s="200"/>
      <c r="J1072" s="200"/>
      <c r="K1072" s="200"/>
      <c r="L1072" s="200"/>
      <c r="M1072" s="200"/>
      <c r="N1072" s="200"/>
      <c r="O1072" s="200"/>
      <c r="P1072" s="200"/>
      <c r="Q1072" s="353"/>
      <c r="R1072" s="353"/>
      <c r="S1072" s="200"/>
      <c r="T1072" s="353"/>
      <c r="U1072" s="353"/>
      <c r="V1072" s="353"/>
      <c r="W1072" s="432"/>
      <c r="X1072" s="200"/>
      <c r="Y1072" s="200"/>
      <c r="Z1072" s="200"/>
      <c r="AA1072" s="200"/>
      <c r="AB1072" s="200"/>
      <c r="AC1072" s="200"/>
      <c r="AD1072" s="200"/>
      <c r="AE1072" s="200"/>
      <c r="AF1072" s="200"/>
      <c r="AG1072" s="200"/>
      <c r="AH1072" s="200"/>
      <c r="AI1072" s="200"/>
      <c r="AJ1072" s="200"/>
      <c r="AK1072" s="200"/>
      <c r="AL1072" s="200"/>
      <c r="AM1072" s="200"/>
      <c r="AN1072" s="200"/>
      <c r="AO1072" s="200"/>
      <c r="AP1072" s="200"/>
      <c r="AQ1072" s="200"/>
      <c r="AR1072" s="200"/>
      <c r="AS1072" s="200"/>
      <c r="AT1072" s="200"/>
    </row>
    <row r="1073" spans="1:46" ht="16.5" customHeight="1">
      <c r="A1073" s="307"/>
      <c r="B1073" s="307"/>
      <c r="C1073" s="200"/>
      <c r="D1073" s="200"/>
      <c r="E1073" s="200"/>
      <c r="F1073" s="200"/>
      <c r="G1073" s="200"/>
      <c r="H1073" s="200"/>
      <c r="I1073" s="200"/>
      <c r="J1073" s="200"/>
      <c r="K1073" s="200"/>
      <c r="L1073" s="200"/>
      <c r="M1073" s="200"/>
      <c r="N1073" s="200"/>
      <c r="O1073" s="200"/>
      <c r="P1073" s="200"/>
      <c r="Q1073" s="353"/>
      <c r="R1073" s="353"/>
      <c r="S1073" s="200"/>
      <c r="T1073" s="353"/>
      <c r="U1073" s="353"/>
      <c r="V1073" s="353"/>
      <c r="W1073" s="432"/>
      <c r="X1073" s="200"/>
      <c r="Y1073" s="200"/>
      <c r="Z1073" s="200"/>
      <c r="AA1073" s="200"/>
      <c r="AB1073" s="200"/>
      <c r="AC1073" s="200"/>
      <c r="AD1073" s="200"/>
      <c r="AE1073" s="200"/>
      <c r="AF1073" s="200"/>
      <c r="AG1073" s="200"/>
      <c r="AH1073" s="200"/>
      <c r="AI1073" s="200"/>
      <c r="AJ1073" s="200"/>
      <c r="AK1073" s="200"/>
      <c r="AL1073" s="200"/>
      <c r="AM1073" s="200"/>
      <c r="AN1073" s="200"/>
      <c r="AO1073" s="200"/>
      <c r="AP1073" s="200"/>
      <c r="AQ1073" s="200"/>
      <c r="AR1073" s="200"/>
      <c r="AS1073" s="200"/>
      <c r="AT1073" s="200"/>
    </row>
    <row r="1074" spans="1:46" ht="16.5" customHeight="1">
      <c r="A1074" s="307"/>
      <c r="B1074" s="307"/>
      <c r="C1074" s="200"/>
      <c r="D1074" s="200"/>
      <c r="E1074" s="200"/>
      <c r="F1074" s="200"/>
      <c r="G1074" s="200"/>
      <c r="H1074" s="200"/>
      <c r="I1074" s="200"/>
      <c r="J1074" s="200"/>
      <c r="K1074" s="200"/>
      <c r="L1074" s="200"/>
      <c r="M1074" s="200"/>
      <c r="N1074" s="200"/>
      <c r="O1074" s="200"/>
      <c r="P1074" s="200"/>
      <c r="Q1074" s="353"/>
      <c r="R1074" s="353"/>
      <c r="S1074" s="200"/>
      <c r="T1074" s="353"/>
      <c r="U1074" s="353"/>
      <c r="V1074" s="353"/>
      <c r="W1074" s="432"/>
      <c r="X1074" s="200"/>
      <c r="Y1074" s="200"/>
      <c r="Z1074" s="200"/>
      <c r="AA1074" s="200"/>
      <c r="AB1074" s="200"/>
      <c r="AC1074" s="200"/>
      <c r="AD1074" s="200"/>
      <c r="AE1074" s="200"/>
      <c r="AF1074" s="200"/>
      <c r="AG1074" s="200"/>
      <c r="AH1074" s="200"/>
      <c r="AI1074" s="200"/>
      <c r="AJ1074" s="200"/>
      <c r="AK1074" s="200"/>
      <c r="AL1074" s="200"/>
      <c r="AM1074" s="200"/>
      <c r="AN1074" s="200"/>
      <c r="AO1074" s="200"/>
      <c r="AP1074" s="200"/>
      <c r="AQ1074" s="200"/>
      <c r="AR1074" s="200"/>
      <c r="AS1074" s="200"/>
      <c r="AT1074" s="200"/>
    </row>
    <row r="1075" spans="1:46" ht="16.5" customHeight="1">
      <c r="A1075" s="307"/>
      <c r="B1075" s="307"/>
      <c r="C1075" s="200"/>
      <c r="D1075" s="200"/>
      <c r="E1075" s="200"/>
      <c r="F1075" s="200"/>
      <c r="G1075" s="200"/>
      <c r="H1075" s="200"/>
      <c r="I1075" s="200"/>
      <c r="J1075" s="200"/>
      <c r="K1075" s="200"/>
      <c r="L1075" s="200"/>
      <c r="M1075" s="200"/>
      <c r="N1075" s="200"/>
      <c r="O1075" s="200"/>
      <c r="P1075" s="200"/>
      <c r="Q1075" s="353"/>
      <c r="R1075" s="353"/>
      <c r="S1075" s="200"/>
      <c r="T1075" s="353"/>
      <c r="U1075" s="353"/>
      <c r="V1075" s="353"/>
      <c r="W1075" s="432"/>
      <c r="X1075" s="200"/>
      <c r="Y1075" s="200"/>
      <c r="Z1075" s="200"/>
      <c r="AA1075" s="200"/>
      <c r="AB1075" s="200"/>
      <c r="AC1075" s="200"/>
      <c r="AD1075" s="200"/>
      <c r="AE1075" s="200"/>
      <c r="AF1075" s="200"/>
      <c r="AG1075" s="200"/>
      <c r="AH1075" s="200"/>
      <c r="AI1075" s="200"/>
      <c r="AJ1075" s="200"/>
      <c r="AK1075" s="200"/>
      <c r="AL1075" s="200"/>
      <c r="AM1075" s="200"/>
      <c r="AN1075" s="200"/>
      <c r="AO1075" s="200"/>
      <c r="AP1075" s="200"/>
      <c r="AQ1075" s="200"/>
      <c r="AR1075" s="200"/>
      <c r="AS1075" s="200"/>
      <c r="AT1075" s="200"/>
    </row>
    <row r="1076" spans="1:46" ht="16.5" customHeight="1">
      <c r="A1076" s="307"/>
      <c r="B1076" s="307"/>
      <c r="C1076" s="200"/>
      <c r="D1076" s="200"/>
      <c r="E1076" s="200"/>
      <c r="F1076" s="200"/>
      <c r="G1076" s="200"/>
      <c r="H1076" s="200"/>
      <c r="I1076" s="200"/>
      <c r="J1076" s="200"/>
      <c r="K1076" s="200"/>
      <c r="L1076" s="200"/>
      <c r="M1076" s="200"/>
      <c r="N1076" s="200"/>
      <c r="O1076" s="200"/>
      <c r="P1076" s="200"/>
      <c r="Q1076" s="353"/>
      <c r="R1076" s="353"/>
      <c r="S1076" s="200"/>
      <c r="T1076" s="353"/>
      <c r="U1076" s="353"/>
      <c r="V1076" s="353"/>
      <c r="W1076" s="432"/>
      <c r="X1076" s="200"/>
      <c r="Y1076" s="200"/>
      <c r="Z1076" s="200"/>
      <c r="AA1076" s="200"/>
      <c r="AB1076" s="200"/>
      <c r="AC1076" s="200"/>
      <c r="AD1076" s="200"/>
      <c r="AE1076" s="200"/>
      <c r="AF1076" s="200"/>
      <c r="AG1076" s="200"/>
      <c r="AH1076" s="200"/>
      <c r="AI1076" s="200"/>
      <c r="AJ1076" s="200"/>
      <c r="AK1076" s="200"/>
      <c r="AL1076" s="200"/>
      <c r="AM1076" s="200"/>
      <c r="AN1076" s="200"/>
      <c r="AO1076" s="200"/>
      <c r="AP1076" s="200"/>
      <c r="AQ1076" s="200"/>
      <c r="AR1076" s="200"/>
      <c r="AS1076" s="200"/>
      <c r="AT1076" s="200"/>
    </row>
    <row r="1077" spans="1:46" ht="16.5" customHeight="1">
      <c r="A1077" s="307"/>
      <c r="B1077" s="307"/>
      <c r="C1077" s="200"/>
      <c r="D1077" s="200"/>
      <c r="E1077" s="200"/>
      <c r="F1077" s="200"/>
      <c r="G1077" s="200"/>
      <c r="H1077" s="200"/>
      <c r="I1077" s="200"/>
      <c r="J1077" s="200"/>
      <c r="K1077" s="200"/>
      <c r="L1077" s="200"/>
      <c r="M1077" s="200"/>
      <c r="N1077" s="200"/>
      <c r="O1077" s="200"/>
      <c r="P1077" s="200"/>
      <c r="Q1077" s="353"/>
      <c r="R1077" s="353"/>
      <c r="S1077" s="200"/>
      <c r="T1077" s="353"/>
      <c r="U1077" s="353"/>
      <c r="V1077" s="353"/>
      <c r="W1077" s="432"/>
      <c r="X1077" s="200"/>
      <c r="Y1077" s="200"/>
      <c r="Z1077" s="200"/>
      <c r="AA1077" s="200"/>
      <c r="AB1077" s="200"/>
      <c r="AC1077" s="200"/>
      <c r="AD1077" s="200"/>
      <c r="AE1077" s="200"/>
      <c r="AF1077" s="200"/>
      <c r="AG1077" s="200"/>
      <c r="AH1077" s="200"/>
      <c r="AI1077" s="200"/>
      <c r="AJ1077" s="200"/>
      <c r="AK1077" s="200"/>
      <c r="AL1077" s="200"/>
      <c r="AM1077" s="200"/>
      <c r="AN1077" s="200"/>
      <c r="AO1077" s="200"/>
      <c r="AP1077" s="200"/>
      <c r="AQ1077" s="200"/>
      <c r="AR1077" s="200"/>
      <c r="AS1077" s="200"/>
      <c r="AT1077" s="200"/>
    </row>
    <row r="1078" spans="1:46" ht="16.5" customHeight="1">
      <c r="A1078" s="307"/>
      <c r="B1078" s="307"/>
      <c r="C1078" s="200"/>
      <c r="D1078" s="200"/>
      <c r="E1078" s="200"/>
      <c r="F1078" s="200"/>
      <c r="G1078" s="200"/>
      <c r="H1078" s="200"/>
      <c r="I1078" s="200"/>
      <c r="J1078" s="200"/>
      <c r="K1078" s="200"/>
      <c r="L1078" s="200"/>
      <c r="M1078" s="200"/>
      <c r="N1078" s="200"/>
      <c r="O1078" s="200"/>
      <c r="P1078" s="200"/>
      <c r="Q1078" s="353"/>
      <c r="R1078" s="353"/>
      <c r="S1078" s="200"/>
      <c r="T1078" s="353"/>
      <c r="U1078" s="353"/>
      <c r="V1078" s="353"/>
      <c r="W1078" s="432"/>
      <c r="X1078" s="200"/>
      <c r="Y1078" s="200"/>
      <c r="Z1078" s="200"/>
      <c r="AA1078" s="200"/>
      <c r="AB1078" s="200"/>
      <c r="AC1078" s="200"/>
      <c r="AD1078" s="200"/>
      <c r="AE1078" s="200"/>
      <c r="AF1078" s="200"/>
      <c r="AG1078" s="200"/>
      <c r="AH1078" s="200"/>
      <c r="AI1078" s="200"/>
      <c r="AJ1078" s="200"/>
      <c r="AK1078" s="200"/>
      <c r="AL1078" s="200"/>
      <c r="AM1078" s="200"/>
      <c r="AN1078" s="200"/>
      <c r="AO1078" s="200"/>
      <c r="AP1078" s="200"/>
      <c r="AQ1078" s="200"/>
      <c r="AR1078" s="200"/>
      <c r="AS1078" s="200"/>
      <c r="AT1078" s="200"/>
    </row>
    <row r="1079" spans="1:46" ht="16.5" customHeight="1">
      <c r="A1079" s="307"/>
      <c r="B1079" s="307"/>
      <c r="C1079" s="200"/>
      <c r="D1079" s="200"/>
      <c r="E1079" s="200"/>
      <c r="F1079" s="200"/>
      <c r="G1079" s="200"/>
      <c r="H1079" s="200"/>
      <c r="I1079" s="200"/>
      <c r="J1079" s="200"/>
      <c r="K1079" s="200"/>
      <c r="L1079" s="200"/>
      <c r="M1079" s="200"/>
      <c r="N1079" s="200"/>
      <c r="O1079" s="200"/>
      <c r="P1079" s="200"/>
      <c r="Q1079" s="353"/>
      <c r="R1079" s="353"/>
      <c r="S1079" s="200"/>
      <c r="T1079" s="353"/>
      <c r="U1079" s="353"/>
      <c r="V1079" s="353"/>
      <c r="W1079" s="432"/>
      <c r="X1079" s="200"/>
      <c r="Y1079" s="200"/>
      <c r="Z1079" s="200"/>
      <c r="AA1079" s="200"/>
      <c r="AB1079" s="200"/>
      <c r="AC1079" s="200"/>
      <c r="AD1079" s="200"/>
      <c r="AE1079" s="200"/>
      <c r="AF1079" s="200"/>
      <c r="AG1079" s="200"/>
      <c r="AH1079" s="200"/>
      <c r="AI1079" s="200"/>
      <c r="AJ1079" s="200"/>
      <c r="AK1079" s="200"/>
      <c r="AL1079" s="200"/>
      <c r="AM1079" s="200"/>
      <c r="AN1079" s="200"/>
      <c r="AO1079" s="200"/>
      <c r="AP1079" s="200"/>
      <c r="AQ1079" s="200"/>
      <c r="AR1079" s="200"/>
      <c r="AS1079" s="200"/>
      <c r="AT1079" s="200"/>
    </row>
    <row r="1080" spans="1:46" ht="16.5" customHeight="1">
      <c r="A1080" s="307"/>
      <c r="B1080" s="307"/>
      <c r="C1080" s="200"/>
      <c r="D1080" s="200"/>
      <c r="E1080" s="200"/>
      <c r="F1080" s="200"/>
      <c r="G1080" s="200"/>
      <c r="H1080" s="200"/>
      <c r="I1080" s="200"/>
      <c r="J1080" s="200"/>
      <c r="K1080" s="200"/>
      <c r="L1080" s="200"/>
      <c r="M1080" s="200"/>
      <c r="N1080" s="200"/>
      <c r="O1080" s="200"/>
      <c r="P1080" s="200"/>
      <c r="Q1080" s="353"/>
      <c r="R1080" s="353"/>
      <c r="S1080" s="200"/>
      <c r="T1080" s="353"/>
      <c r="U1080" s="353"/>
      <c r="V1080" s="353"/>
      <c r="W1080" s="432"/>
      <c r="X1080" s="200"/>
      <c r="Y1080" s="200"/>
      <c r="Z1080" s="200"/>
      <c r="AA1080" s="200"/>
      <c r="AB1080" s="200"/>
      <c r="AC1080" s="200"/>
      <c r="AD1080" s="200"/>
      <c r="AE1080" s="200"/>
      <c r="AF1080" s="200"/>
      <c r="AG1080" s="200"/>
      <c r="AH1080" s="200"/>
      <c r="AI1080" s="200"/>
      <c r="AJ1080" s="200"/>
      <c r="AK1080" s="200"/>
      <c r="AL1080" s="200"/>
      <c r="AM1080" s="200"/>
      <c r="AN1080" s="200"/>
      <c r="AO1080" s="200"/>
      <c r="AP1080" s="200"/>
      <c r="AQ1080" s="200"/>
      <c r="AR1080" s="200"/>
      <c r="AS1080" s="200"/>
      <c r="AT1080" s="200"/>
    </row>
    <row r="1081" spans="1:46" ht="16.5" customHeight="1">
      <c r="A1081" s="307"/>
      <c r="B1081" s="307"/>
      <c r="C1081" s="200"/>
      <c r="D1081" s="200"/>
      <c r="E1081" s="200"/>
      <c r="F1081" s="200"/>
      <c r="G1081" s="200"/>
      <c r="H1081" s="200"/>
      <c r="I1081" s="200"/>
      <c r="J1081" s="200"/>
      <c r="K1081" s="200"/>
      <c r="L1081" s="200"/>
      <c r="M1081" s="200"/>
      <c r="N1081" s="200"/>
      <c r="O1081" s="200"/>
      <c r="P1081" s="200"/>
      <c r="Q1081" s="353"/>
      <c r="R1081" s="353"/>
      <c r="S1081" s="200"/>
      <c r="T1081" s="353"/>
      <c r="U1081" s="353"/>
      <c r="V1081" s="353"/>
      <c r="W1081" s="432"/>
      <c r="X1081" s="200"/>
      <c r="Y1081" s="200"/>
      <c r="Z1081" s="200"/>
      <c r="AA1081" s="200"/>
      <c r="AB1081" s="200"/>
      <c r="AC1081" s="200"/>
      <c r="AD1081" s="200"/>
      <c r="AE1081" s="200"/>
      <c r="AF1081" s="200"/>
      <c r="AG1081" s="200"/>
      <c r="AH1081" s="200"/>
      <c r="AI1081" s="200"/>
      <c r="AJ1081" s="200"/>
      <c r="AK1081" s="200"/>
      <c r="AL1081" s="200"/>
      <c r="AM1081" s="200"/>
      <c r="AN1081" s="200"/>
      <c r="AO1081" s="200"/>
      <c r="AP1081" s="200"/>
      <c r="AQ1081" s="200"/>
      <c r="AR1081" s="200"/>
      <c r="AS1081" s="200"/>
      <c r="AT1081" s="200"/>
    </row>
    <row r="1082" spans="1:46" ht="16.5" customHeight="1">
      <c r="A1082" s="307"/>
      <c r="B1082" s="307"/>
      <c r="C1082" s="200"/>
      <c r="D1082" s="200"/>
      <c r="E1082" s="200"/>
      <c r="F1082" s="200"/>
      <c r="G1082" s="200"/>
      <c r="H1082" s="200"/>
      <c r="I1082" s="200"/>
      <c r="J1082" s="200"/>
      <c r="K1082" s="200"/>
      <c r="L1082" s="200"/>
      <c r="M1082" s="200"/>
      <c r="N1082" s="200"/>
      <c r="O1082" s="200"/>
      <c r="P1082" s="200"/>
      <c r="Q1082" s="353"/>
      <c r="R1082" s="353"/>
      <c r="S1082" s="200"/>
      <c r="T1082" s="353"/>
      <c r="U1082" s="353"/>
      <c r="V1082" s="353"/>
      <c r="W1082" s="432"/>
      <c r="X1082" s="200"/>
      <c r="Y1082" s="200"/>
      <c r="Z1082" s="200"/>
      <c r="AA1082" s="200"/>
      <c r="AB1082" s="200"/>
      <c r="AC1082" s="200"/>
      <c r="AD1082" s="200"/>
      <c r="AE1082" s="200"/>
      <c r="AF1082" s="200"/>
      <c r="AG1082" s="200"/>
      <c r="AH1082" s="200"/>
      <c r="AI1082" s="200"/>
      <c r="AJ1082" s="200"/>
      <c r="AK1082" s="200"/>
      <c r="AL1082" s="200"/>
      <c r="AM1082" s="200"/>
      <c r="AN1082" s="200"/>
      <c r="AO1082" s="200"/>
      <c r="AP1082" s="200"/>
      <c r="AQ1082" s="200"/>
      <c r="AR1082" s="200"/>
      <c r="AS1082" s="200"/>
      <c r="AT1082" s="200"/>
    </row>
    <row r="1083" spans="1:46" ht="16.5" customHeight="1">
      <c r="A1083" s="307"/>
      <c r="B1083" s="307"/>
      <c r="C1083" s="200"/>
      <c r="D1083" s="200"/>
      <c r="E1083" s="200"/>
      <c r="F1083" s="200"/>
      <c r="G1083" s="200"/>
      <c r="H1083" s="200"/>
      <c r="I1083" s="200"/>
      <c r="J1083" s="200"/>
      <c r="K1083" s="200"/>
      <c r="L1083" s="200"/>
      <c r="M1083" s="200"/>
      <c r="N1083" s="200"/>
      <c r="O1083" s="200"/>
      <c r="P1083" s="200"/>
      <c r="Q1083" s="353"/>
      <c r="R1083" s="353"/>
      <c r="S1083" s="200"/>
      <c r="T1083" s="353"/>
      <c r="U1083" s="353"/>
      <c r="V1083" s="353"/>
      <c r="W1083" s="432"/>
      <c r="X1083" s="200"/>
      <c r="Y1083" s="200"/>
      <c r="Z1083" s="200"/>
      <c r="AA1083" s="200"/>
      <c r="AB1083" s="200"/>
      <c r="AC1083" s="200"/>
      <c r="AD1083" s="200"/>
      <c r="AE1083" s="200"/>
      <c r="AF1083" s="200"/>
      <c r="AG1083" s="200"/>
      <c r="AH1083" s="200"/>
      <c r="AI1083" s="200"/>
      <c r="AJ1083" s="200"/>
      <c r="AK1083" s="200"/>
      <c r="AL1083" s="200"/>
      <c r="AM1083" s="200"/>
      <c r="AN1083" s="200"/>
      <c r="AO1083" s="200"/>
      <c r="AP1083" s="200"/>
      <c r="AQ1083" s="200"/>
      <c r="AR1083" s="200"/>
      <c r="AS1083" s="200"/>
      <c r="AT1083" s="200"/>
    </row>
    <row r="1084" spans="1:46" ht="16.5" customHeight="1">
      <c r="A1084" s="307"/>
      <c r="B1084" s="307"/>
      <c r="C1084" s="200"/>
      <c r="D1084" s="200"/>
      <c r="E1084" s="200"/>
      <c r="F1084" s="200"/>
      <c r="G1084" s="200"/>
      <c r="H1084" s="200"/>
      <c r="I1084" s="200"/>
      <c r="J1084" s="200"/>
      <c r="K1084" s="200"/>
      <c r="L1084" s="200"/>
      <c r="M1084" s="200"/>
      <c r="N1084" s="200"/>
      <c r="O1084" s="200"/>
      <c r="P1084" s="200"/>
      <c r="Q1084" s="353"/>
      <c r="R1084" s="353"/>
      <c r="S1084" s="200"/>
      <c r="T1084" s="353"/>
      <c r="U1084" s="353"/>
      <c r="V1084" s="353"/>
      <c r="W1084" s="432"/>
      <c r="X1084" s="200"/>
      <c r="Y1084" s="200"/>
      <c r="Z1084" s="200"/>
      <c r="AA1084" s="200"/>
      <c r="AB1084" s="200"/>
      <c r="AC1084" s="200"/>
      <c r="AD1084" s="200"/>
      <c r="AE1084" s="200"/>
      <c r="AF1084" s="200"/>
      <c r="AG1084" s="200"/>
      <c r="AH1084" s="200"/>
      <c r="AI1084" s="200"/>
      <c r="AJ1084" s="200"/>
      <c r="AK1084" s="200"/>
      <c r="AL1084" s="200"/>
      <c r="AM1084" s="200"/>
      <c r="AN1084" s="200"/>
      <c r="AO1084" s="200"/>
      <c r="AP1084" s="200"/>
      <c r="AQ1084" s="200"/>
      <c r="AR1084" s="200"/>
      <c r="AS1084" s="200"/>
      <c r="AT1084" s="200"/>
    </row>
    <row r="1085" spans="1:46" ht="16.5" customHeight="1">
      <c r="A1085" s="307"/>
      <c r="B1085" s="307"/>
      <c r="C1085" s="200"/>
      <c r="D1085" s="200"/>
      <c r="E1085" s="200"/>
      <c r="F1085" s="200"/>
      <c r="G1085" s="200"/>
      <c r="H1085" s="200"/>
      <c r="I1085" s="200"/>
      <c r="J1085" s="200"/>
      <c r="K1085" s="200"/>
      <c r="L1085" s="200"/>
      <c r="M1085" s="200"/>
      <c r="N1085" s="200"/>
      <c r="O1085" s="200"/>
      <c r="P1085" s="200"/>
      <c r="Q1085" s="353"/>
      <c r="R1085" s="353"/>
      <c r="S1085" s="200"/>
      <c r="T1085" s="353"/>
      <c r="U1085" s="353"/>
      <c r="V1085" s="353"/>
      <c r="W1085" s="432"/>
      <c r="X1085" s="200"/>
      <c r="Y1085" s="200"/>
      <c r="Z1085" s="200"/>
      <c r="AA1085" s="200"/>
      <c r="AB1085" s="200"/>
      <c r="AC1085" s="200"/>
      <c r="AD1085" s="200"/>
      <c r="AE1085" s="200"/>
      <c r="AF1085" s="200"/>
      <c r="AG1085" s="200"/>
      <c r="AH1085" s="200"/>
      <c r="AI1085" s="200"/>
      <c r="AJ1085" s="200"/>
      <c r="AK1085" s="200"/>
      <c r="AL1085" s="200"/>
      <c r="AM1085" s="200"/>
      <c r="AN1085" s="200"/>
      <c r="AO1085" s="200"/>
      <c r="AP1085" s="200"/>
      <c r="AQ1085" s="200"/>
      <c r="AR1085" s="200"/>
      <c r="AS1085" s="200"/>
      <c r="AT1085" s="200"/>
    </row>
    <row r="1086" spans="1:46" ht="16.5" customHeight="1">
      <c r="A1086" s="307"/>
      <c r="B1086" s="307"/>
      <c r="C1086" s="200"/>
      <c r="D1086" s="200"/>
      <c r="E1086" s="200"/>
      <c r="F1086" s="200"/>
      <c r="G1086" s="200"/>
      <c r="H1086" s="200"/>
      <c r="I1086" s="200"/>
      <c r="J1086" s="200"/>
      <c r="K1086" s="200"/>
      <c r="L1086" s="200"/>
      <c r="M1086" s="200"/>
      <c r="N1086" s="200"/>
      <c r="O1086" s="200"/>
      <c r="P1086" s="200"/>
      <c r="Q1086" s="353"/>
      <c r="R1086" s="353"/>
      <c r="S1086" s="200"/>
      <c r="T1086" s="353"/>
      <c r="U1086" s="353"/>
      <c r="V1086" s="353"/>
      <c r="W1086" s="432"/>
      <c r="X1086" s="200"/>
      <c r="Y1086" s="200"/>
      <c r="Z1086" s="200"/>
      <c r="AA1086" s="200"/>
      <c r="AB1086" s="200"/>
      <c r="AC1086" s="200"/>
      <c r="AD1086" s="200"/>
      <c r="AE1086" s="200"/>
      <c r="AF1086" s="200"/>
      <c r="AG1086" s="200"/>
      <c r="AH1086" s="200"/>
      <c r="AI1086" s="200"/>
      <c r="AJ1086" s="200"/>
      <c r="AK1086" s="200"/>
      <c r="AL1086" s="200"/>
      <c r="AM1086" s="200"/>
      <c r="AN1086" s="200"/>
      <c r="AO1086" s="200"/>
      <c r="AP1086" s="200"/>
      <c r="AQ1086" s="200"/>
      <c r="AR1086" s="200"/>
      <c r="AS1086" s="200"/>
      <c r="AT1086" s="200"/>
    </row>
    <row r="1087" spans="1:46" ht="16.5" customHeight="1">
      <c r="A1087" s="307"/>
      <c r="B1087" s="307"/>
      <c r="C1087" s="200"/>
      <c r="D1087" s="200"/>
      <c r="E1087" s="200"/>
      <c r="F1087" s="200"/>
      <c r="G1087" s="200"/>
      <c r="H1087" s="200"/>
      <c r="I1087" s="200"/>
      <c r="J1087" s="200"/>
      <c r="K1087" s="200"/>
      <c r="L1087" s="200"/>
      <c r="M1087" s="200"/>
      <c r="N1087" s="200"/>
      <c r="O1087" s="200"/>
      <c r="P1087" s="200"/>
      <c r="Q1087" s="353"/>
      <c r="R1087" s="353"/>
      <c r="S1087" s="200"/>
      <c r="T1087" s="353"/>
      <c r="U1087" s="353"/>
      <c r="V1087" s="353"/>
      <c r="W1087" s="432"/>
      <c r="X1087" s="200"/>
      <c r="Y1087" s="200"/>
      <c r="Z1087" s="200"/>
      <c r="AA1087" s="200"/>
      <c r="AB1087" s="200"/>
      <c r="AC1087" s="200"/>
      <c r="AD1087" s="200"/>
      <c r="AE1087" s="200"/>
      <c r="AF1087" s="200"/>
      <c r="AG1087" s="200"/>
      <c r="AH1087" s="200"/>
      <c r="AI1087" s="200"/>
      <c r="AJ1087" s="200"/>
      <c r="AK1087" s="200"/>
      <c r="AL1087" s="200"/>
      <c r="AM1087" s="200"/>
      <c r="AN1087" s="200"/>
      <c r="AO1087" s="200"/>
      <c r="AP1087" s="200"/>
      <c r="AQ1087" s="200"/>
      <c r="AR1087" s="200"/>
      <c r="AS1087" s="200"/>
      <c r="AT1087" s="200"/>
    </row>
    <row r="1088" spans="1:46" ht="16.5" customHeight="1">
      <c r="A1088" s="307"/>
      <c r="B1088" s="307"/>
      <c r="C1088" s="200"/>
      <c r="D1088" s="200"/>
      <c r="E1088" s="200"/>
      <c r="F1088" s="200"/>
      <c r="G1088" s="200"/>
      <c r="H1088" s="200"/>
      <c r="I1088" s="200"/>
      <c r="J1088" s="200"/>
      <c r="K1088" s="200"/>
      <c r="L1088" s="200"/>
      <c r="M1088" s="200"/>
      <c r="N1088" s="200"/>
      <c r="O1088" s="200"/>
      <c r="P1088" s="200"/>
      <c r="Q1088" s="353"/>
      <c r="R1088" s="353"/>
      <c r="S1088" s="200"/>
      <c r="T1088" s="353"/>
      <c r="U1088" s="353"/>
      <c r="V1088" s="353"/>
      <c r="W1088" s="432"/>
      <c r="X1088" s="200"/>
      <c r="Y1088" s="200"/>
      <c r="Z1088" s="200"/>
      <c r="AA1088" s="200"/>
      <c r="AB1088" s="200"/>
      <c r="AC1088" s="200"/>
      <c r="AD1088" s="200"/>
      <c r="AE1088" s="200"/>
      <c r="AF1088" s="200"/>
      <c r="AG1088" s="200"/>
      <c r="AH1088" s="200"/>
      <c r="AI1088" s="200"/>
      <c r="AJ1088" s="200"/>
      <c r="AK1088" s="200"/>
      <c r="AL1088" s="200"/>
      <c r="AM1088" s="200"/>
      <c r="AN1088" s="200"/>
      <c r="AO1088" s="200"/>
      <c r="AP1088" s="200"/>
      <c r="AQ1088" s="200"/>
      <c r="AR1088" s="200"/>
      <c r="AS1088" s="200"/>
      <c r="AT1088" s="200"/>
    </row>
    <row r="1089" spans="1:46" ht="16.5" customHeight="1">
      <c r="A1089" s="307"/>
      <c r="B1089" s="307"/>
      <c r="C1089" s="200"/>
      <c r="D1089" s="200"/>
      <c r="E1089" s="200"/>
      <c r="F1089" s="200"/>
      <c r="G1089" s="200"/>
      <c r="H1089" s="200"/>
      <c r="I1089" s="200"/>
      <c r="J1089" s="200"/>
      <c r="K1089" s="200"/>
      <c r="L1089" s="200"/>
      <c r="M1089" s="200"/>
      <c r="N1089" s="200"/>
      <c r="O1089" s="200"/>
      <c r="P1089" s="200"/>
      <c r="Q1089" s="353"/>
      <c r="R1089" s="353"/>
      <c r="S1089" s="200"/>
      <c r="T1089" s="353"/>
      <c r="U1089" s="353"/>
      <c r="V1089" s="353"/>
      <c r="W1089" s="432"/>
      <c r="X1089" s="200"/>
      <c r="Y1089" s="200"/>
      <c r="Z1089" s="200"/>
      <c r="AA1089" s="200"/>
      <c r="AB1089" s="200"/>
      <c r="AC1089" s="200"/>
      <c r="AD1089" s="200"/>
      <c r="AE1089" s="200"/>
      <c r="AF1089" s="200"/>
      <c r="AG1089" s="200"/>
      <c r="AH1089" s="200"/>
      <c r="AI1089" s="200"/>
      <c r="AJ1089" s="200"/>
      <c r="AK1089" s="200"/>
      <c r="AL1089" s="200"/>
      <c r="AM1089" s="200"/>
      <c r="AN1089" s="200"/>
      <c r="AO1089" s="200"/>
      <c r="AP1089" s="200"/>
      <c r="AQ1089" s="200"/>
      <c r="AR1089" s="200"/>
      <c r="AS1089" s="200"/>
      <c r="AT1089" s="200"/>
    </row>
    <row r="1090" spans="1:46" ht="16.5" customHeight="1">
      <c r="A1090" s="307"/>
      <c r="B1090" s="307"/>
      <c r="C1090" s="200"/>
      <c r="D1090" s="200"/>
      <c r="E1090" s="200"/>
      <c r="F1090" s="200"/>
      <c r="G1090" s="200"/>
      <c r="H1090" s="200"/>
      <c r="I1090" s="200"/>
      <c r="J1090" s="200"/>
      <c r="K1090" s="200"/>
      <c r="L1090" s="200"/>
      <c r="M1090" s="200"/>
      <c r="N1090" s="200"/>
      <c r="O1090" s="200"/>
      <c r="P1090" s="200"/>
      <c r="Q1090" s="353"/>
      <c r="R1090" s="353"/>
      <c r="S1090" s="200"/>
      <c r="T1090" s="353"/>
      <c r="U1090" s="353"/>
      <c r="V1090" s="353"/>
      <c r="W1090" s="432"/>
      <c r="X1090" s="200"/>
      <c r="Y1090" s="200"/>
      <c r="Z1090" s="200"/>
      <c r="AA1090" s="200"/>
      <c r="AB1090" s="200"/>
      <c r="AC1090" s="200"/>
      <c r="AD1090" s="200"/>
      <c r="AE1090" s="200"/>
      <c r="AF1090" s="200"/>
      <c r="AG1090" s="200"/>
      <c r="AH1090" s="200"/>
      <c r="AI1090" s="200"/>
      <c r="AJ1090" s="200"/>
      <c r="AK1090" s="200"/>
      <c r="AL1090" s="200"/>
      <c r="AM1090" s="200"/>
      <c r="AN1090" s="200"/>
      <c r="AO1090" s="200"/>
      <c r="AP1090" s="200"/>
      <c r="AQ1090" s="200"/>
      <c r="AR1090" s="200"/>
      <c r="AS1090" s="200"/>
      <c r="AT1090" s="200"/>
    </row>
    <row r="1091" spans="1:46" ht="16.5" customHeight="1">
      <c r="A1091" s="307"/>
      <c r="B1091" s="307"/>
      <c r="C1091" s="200"/>
      <c r="D1091" s="200"/>
      <c r="E1091" s="200"/>
      <c r="F1091" s="200"/>
      <c r="G1091" s="200"/>
      <c r="H1091" s="200"/>
      <c r="I1091" s="200"/>
      <c r="J1091" s="200"/>
      <c r="K1091" s="200"/>
      <c r="L1091" s="200"/>
      <c r="M1091" s="200"/>
      <c r="N1091" s="200"/>
      <c r="O1091" s="200"/>
      <c r="P1091" s="200"/>
      <c r="Q1091" s="353"/>
      <c r="R1091" s="353"/>
      <c r="S1091" s="200"/>
      <c r="T1091" s="353"/>
      <c r="U1091" s="353"/>
      <c r="V1091" s="353"/>
      <c r="W1091" s="432"/>
      <c r="X1091" s="200"/>
      <c r="Y1091" s="200"/>
      <c r="Z1091" s="200"/>
      <c r="AA1091" s="200"/>
      <c r="AB1091" s="200"/>
      <c r="AC1091" s="200"/>
      <c r="AD1091" s="200"/>
      <c r="AE1091" s="200"/>
      <c r="AF1091" s="200"/>
      <c r="AG1091" s="200"/>
      <c r="AH1091" s="200"/>
      <c r="AI1091" s="200"/>
      <c r="AJ1091" s="200"/>
      <c r="AK1091" s="200"/>
      <c r="AL1091" s="200"/>
      <c r="AM1091" s="200"/>
      <c r="AN1091" s="200"/>
      <c r="AO1091" s="200"/>
      <c r="AP1091" s="200"/>
      <c r="AQ1091" s="200"/>
      <c r="AR1091" s="200"/>
      <c r="AS1091" s="200"/>
      <c r="AT1091" s="200"/>
    </row>
    <row r="1092" spans="1:46" ht="16.5" customHeight="1">
      <c r="A1092" s="307"/>
      <c r="B1092" s="307"/>
      <c r="C1092" s="200"/>
      <c r="D1092" s="200"/>
      <c r="E1092" s="200"/>
      <c r="F1092" s="200"/>
      <c r="G1092" s="200"/>
      <c r="H1092" s="200"/>
      <c r="I1092" s="200"/>
      <c r="J1092" s="200"/>
      <c r="K1092" s="200"/>
      <c r="L1092" s="200"/>
      <c r="M1092" s="200"/>
      <c r="N1092" s="200"/>
      <c r="O1092" s="200"/>
      <c r="P1092" s="200"/>
      <c r="Q1092" s="353"/>
      <c r="R1092" s="353"/>
      <c r="S1092" s="200"/>
      <c r="T1092" s="353"/>
      <c r="U1092" s="353"/>
      <c r="V1092" s="353"/>
      <c r="W1092" s="432"/>
      <c r="X1092" s="200"/>
      <c r="Y1092" s="200"/>
      <c r="Z1092" s="200"/>
      <c r="AA1092" s="200"/>
      <c r="AB1092" s="200"/>
      <c r="AC1092" s="200"/>
      <c r="AD1092" s="200"/>
      <c r="AE1092" s="200"/>
      <c r="AF1092" s="200"/>
      <c r="AG1092" s="200"/>
      <c r="AH1092" s="200"/>
      <c r="AI1092" s="200"/>
      <c r="AJ1092" s="200"/>
      <c r="AK1092" s="200"/>
      <c r="AL1092" s="200"/>
      <c r="AM1092" s="200"/>
      <c r="AN1092" s="200"/>
      <c r="AO1092" s="200"/>
      <c r="AP1092" s="200"/>
      <c r="AQ1092" s="200"/>
      <c r="AR1092" s="200"/>
      <c r="AS1092" s="200"/>
      <c r="AT1092" s="200"/>
    </row>
    <row r="1093" spans="1:46" ht="16.5" customHeight="1">
      <c r="A1093" s="307"/>
      <c r="B1093" s="307"/>
      <c r="C1093" s="200"/>
      <c r="D1093" s="200"/>
      <c r="E1093" s="200"/>
      <c r="F1093" s="200"/>
      <c r="G1093" s="200"/>
      <c r="H1093" s="200"/>
      <c r="I1093" s="200"/>
      <c r="J1093" s="200"/>
      <c r="K1093" s="200"/>
      <c r="L1093" s="200"/>
      <c r="M1093" s="200"/>
      <c r="N1093" s="200"/>
      <c r="O1093" s="200"/>
      <c r="P1093" s="200"/>
      <c r="Q1093" s="353"/>
      <c r="R1093" s="353"/>
      <c r="S1093" s="200"/>
      <c r="T1093" s="353"/>
      <c r="U1093" s="353"/>
      <c r="V1093" s="353"/>
      <c r="W1093" s="432"/>
      <c r="X1093" s="200"/>
      <c r="Y1093" s="200"/>
      <c r="Z1093" s="200"/>
      <c r="AA1093" s="200"/>
      <c r="AB1093" s="200"/>
      <c r="AC1093" s="200"/>
      <c r="AD1093" s="200"/>
      <c r="AE1093" s="200"/>
      <c r="AF1093" s="200"/>
      <c r="AG1093" s="200"/>
      <c r="AH1093" s="200"/>
      <c r="AI1093" s="200"/>
      <c r="AJ1093" s="200"/>
      <c r="AK1093" s="200"/>
      <c r="AL1093" s="200"/>
      <c r="AM1093" s="200"/>
      <c r="AN1093" s="200"/>
      <c r="AO1093" s="200"/>
      <c r="AP1093" s="200"/>
      <c r="AQ1093" s="200"/>
      <c r="AR1093" s="200"/>
      <c r="AS1093" s="200"/>
      <c r="AT1093" s="200"/>
    </row>
    <row r="1094" spans="1:46" ht="16.5" customHeight="1">
      <c r="A1094" s="307"/>
      <c r="B1094" s="307"/>
      <c r="C1094" s="200"/>
      <c r="D1094" s="200"/>
      <c r="E1094" s="200"/>
      <c r="F1094" s="200"/>
      <c r="G1094" s="200"/>
      <c r="H1094" s="200"/>
      <c r="I1094" s="200"/>
      <c r="J1094" s="200"/>
      <c r="K1094" s="200"/>
      <c r="L1094" s="200"/>
      <c r="M1094" s="200"/>
      <c r="N1094" s="200"/>
      <c r="O1094" s="200"/>
      <c r="P1094" s="200"/>
      <c r="Q1094" s="353"/>
      <c r="R1094" s="353"/>
      <c r="S1094" s="200"/>
      <c r="T1094" s="353"/>
      <c r="U1094" s="353"/>
      <c r="V1094" s="353"/>
      <c r="W1094" s="432"/>
      <c r="X1094" s="200"/>
      <c r="Y1094" s="200"/>
      <c r="Z1094" s="200"/>
      <c r="AA1094" s="200"/>
      <c r="AB1094" s="200"/>
      <c r="AC1094" s="200"/>
      <c r="AD1094" s="200"/>
      <c r="AE1094" s="200"/>
      <c r="AF1094" s="200"/>
      <c r="AG1094" s="200"/>
      <c r="AH1094" s="200"/>
      <c r="AI1094" s="200"/>
      <c r="AJ1094" s="200"/>
      <c r="AK1094" s="200"/>
      <c r="AL1094" s="200"/>
      <c r="AM1094" s="200"/>
      <c r="AN1094" s="200"/>
      <c r="AO1094" s="200"/>
      <c r="AP1094" s="200"/>
      <c r="AQ1094" s="200"/>
      <c r="AR1094" s="200"/>
      <c r="AS1094" s="200"/>
      <c r="AT1094" s="200"/>
    </row>
    <row r="1095" spans="1:46" ht="16.5" customHeight="1">
      <c r="A1095" s="307"/>
      <c r="B1095" s="307"/>
      <c r="C1095" s="200"/>
      <c r="D1095" s="200"/>
      <c r="E1095" s="200"/>
      <c r="F1095" s="200"/>
      <c r="G1095" s="200"/>
      <c r="H1095" s="200"/>
      <c r="I1095" s="200"/>
      <c r="J1095" s="200"/>
      <c r="K1095" s="200"/>
      <c r="L1095" s="200"/>
      <c r="M1095" s="200"/>
      <c r="N1095" s="200"/>
      <c r="O1095" s="200"/>
      <c r="P1095" s="200"/>
      <c r="Q1095" s="353"/>
      <c r="R1095" s="353"/>
      <c r="S1095" s="200"/>
      <c r="T1095" s="353"/>
      <c r="U1095" s="353"/>
      <c r="V1095" s="353"/>
      <c r="W1095" s="432"/>
      <c r="X1095" s="200"/>
      <c r="Y1095" s="200"/>
      <c r="Z1095" s="200"/>
      <c r="AA1095" s="200"/>
      <c r="AB1095" s="200"/>
      <c r="AC1095" s="200"/>
      <c r="AD1095" s="200"/>
      <c r="AE1095" s="200"/>
      <c r="AF1095" s="200"/>
      <c r="AG1095" s="200"/>
      <c r="AH1095" s="200"/>
      <c r="AI1095" s="200"/>
      <c r="AJ1095" s="200"/>
      <c r="AK1095" s="200"/>
      <c r="AL1095" s="200"/>
      <c r="AM1095" s="200"/>
      <c r="AN1095" s="200"/>
      <c r="AO1095" s="200"/>
      <c r="AP1095" s="200"/>
      <c r="AQ1095" s="200"/>
      <c r="AR1095" s="200"/>
      <c r="AS1095" s="200"/>
      <c r="AT1095" s="200"/>
    </row>
    <row r="1096" spans="1:46" ht="16.5" customHeight="1">
      <c r="A1096" s="307"/>
      <c r="B1096" s="307"/>
      <c r="C1096" s="200"/>
      <c r="D1096" s="200"/>
      <c r="E1096" s="200"/>
      <c r="F1096" s="200"/>
      <c r="G1096" s="200"/>
      <c r="H1096" s="200"/>
      <c r="I1096" s="200"/>
      <c r="J1096" s="200"/>
      <c r="K1096" s="200"/>
      <c r="L1096" s="200"/>
      <c r="M1096" s="200"/>
      <c r="N1096" s="200"/>
      <c r="O1096" s="200"/>
      <c r="P1096" s="200"/>
      <c r="Q1096" s="353"/>
      <c r="R1096" s="353"/>
      <c r="S1096" s="200"/>
      <c r="T1096" s="353"/>
      <c r="U1096" s="353"/>
      <c r="V1096" s="353"/>
      <c r="W1096" s="432"/>
      <c r="X1096" s="200"/>
      <c r="Y1096" s="200"/>
      <c r="Z1096" s="200"/>
      <c r="AA1096" s="200"/>
      <c r="AB1096" s="200"/>
      <c r="AC1096" s="200"/>
      <c r="AD1096" s="200"/>
      <c r="AE1096" s="200"/>
      <c r="AF1096" s="200"/>
      <c r="AG1096" s="200"/>
      <c r="AH1096" s="200"/>
      <c r="AI1096" s="200"/>
      <c r="AJ1096" s="200"/>
      <c r="AK1096" s="200"/>
      <c r="AL1096" s="200"/>
      <c r="AM1096" s="200"/>
      <c r="AN1096" s="200"/>
      <c r="AO1096" s="200"/>
      <c r="AP1096" s="200"/>
      <c r="AQ1096" s="200"/>
      <c r="AR1096" s="200"/>
      <c r="AS1096" s="200"/>
      <c r="AT1096" s="200"/>
    </row>
    <row r="1097" spans="1:46" ht="16.5" customHeight="1">
      <c r="A1097" s="307"/>
      <c r="B1097" s="307"/>
      <c r="C1097" s="200"/>
      <c r="D1097" s="200"/>
      <c r="E1097" s="200"/>
      <c r="F1097" s="200"/>
      <c r="G1097" s="200"/>
      <c r="H1097" s="200"/>
      <c r="I1097" s="200"/>
      <c r="J1097" s="200"/>
      <c r="K1097" s="200"/>
      <c r="L1097" s="200"/>
      <c r="M1097" s="200"/>
      <c r="N1097" s="200"/>
      <c r="O1097" s="200"/>
      <c r="P1097" s="200"/>
      <c r="Q1097" s="353"/>
      <c r="R1097" s="353"/>
      <c r="S1097" s="200"/>
      <c r="T1097" s="353"/>
      <c r="U1097" s="353"/>
      <c r="V1097" s="353"/>
      <c r="W1097" s="432"/>
      <c r="X1097" s="200"/>
      <c r="Y1097" s="200"/>
      <c r="Z1097" s="200"/>
      <c r="AA1097" s="200"/>
      <c r="AB1097" s="200"/>
      <c r="AC1097" s="200"/>
      <c r="AD1097" s="200"/>
      <c r="AE1097" s="200"/>
      <c r="AF1097" s="200"/>
      <c r="AG1097" s="200"/>
      <c r="AH1097" s="200"/>
      <c r="AI1097" s="200"/>
      <c r="AJ1097" s="200"/>
      <c r="AK1097" s="200"/>
      <c r="AL1097" s="200"/>
      <c r="AM1097" s="200"/>
      <c r="AN1097" s="200"/>
      <c r="AO1097" s="200"/>
      <c r="AP1097" s="200"/>
      <c r="AQ1097" s="200"/>
      <c r="AR1097" s="200"/>
      <c r="AS1097" s="200"/>
      <c r="AT1097" s="200"/>
    </row>
    <row r="1098" spans="1:46" ht="16.5" customHeight="1">
      <c r="A1098" s="307"/>
      <c r="B1098" s="307"/>
      <c r="C1098" s="200"/>
      <c r="D1098" s="200"/>
      <c r="E1098" s="200"/>
      <c r="F1098" s="200"/>
      <c r="G1098" s="200"/>
      <c r="H1098" s="200"/>
      <c r="I1098" s="200"/>
      <c r="J1098" s="200"/>
      <c r="K1098" s="200"/>
      <c r="L1098" s="200"/>
      <c r="M1098" s="200"/>
      <c r="N1098" s="200"/>
      <c r="O1098" s="200"/>
      <c r="P1098" s="200"/>
      <c r="Q1098" s="353"/>
      <c r="R1098" s="353"/>
      <c r="S1098" s="200"/>
      <c r="T1098" s="353"/>
      <c r="U1098" s="353"/>
      <c r="V1098" s="353"/>
      <c r="W1098" s="432"/>
      <c r="X1098" s="200"/>
      <c r="Y1098" s="200"/>
      <c r="Z1098" s="200"/>
      <c r="AA1098" s="200"/>
      <c r="AB1098" s="200"/>
      <c r="AC1098" s="200"/>
      <c r="AD1098" s="200"/>
      <c r="AE1098" s="200"/>
      <c r="AF1098" s="200"/>
      <c r="AG1098" s="200"/>
      <c r="AH1098" s="200"/>
      <c r="AI1098" s="200"/>
      <c r="AJ1098" s="200"/>
      <c r="AK1098" s="200"/>
      <c r="AL1098" s="200"/>
      <c r="AM1098" s="200"/>
      <c r="AN1098" s="200"/>
      <c r="AO1098" s="200"/>
      <c r="AP1098" s="200"/>
      <c r="AQ1098" s="200"/>
      <c r="AR1098" s="200"/>
      <c r="AS1098" s="200"/>
      <c r="AT1098" s="200"/>
    </row>
    <row r="1099" spans="1:46" ht="16.5" customHeight="1">
      <c r="A1099" s="307"/>
      <c r="B1099" s="307"/>
      <c r="C1099" s="200"/>
      <c r="D1099" s="200"/>
      <c r="E1099" s="200"/>
      <c r="F1099" s="200"/>
      <c r="G1099" s="200"/>
      <c r="H1099" s="200"/>
      <c r="I1099" s="200"/>
      <c r="J1099" s="200"/>
      <c r="K1099" s="200"/>
      <c r="L1099" s="200"/>
      <c r="M1099" s="200"/>
      <c r="N1099" s="200"/>
      <c r="O1099" s="200"/>
      <c r="P1099" s="200"/>
      <c r="Q1099" s="353"/>
      <c r="R1099" s="353"/>
      <c r="S1099" s="200"/>
      <c r="T1099" s="353"/>
      <c r="U1099" s="353"/>
      <c r="V1099" s="353"/>
      <c r="W1099" s="432"/>
      <c r="X1099" s="200"/>
      <c r="Y1099" s="200"/>
      <c r="Z1099" s="200"/>
      <c r="AA1099" s="200"/>
      <c r="AB1099" s="200"/>
      <c r="AC1099" s="200"/>
      <c r="AD1099" s="200"/>
      <c r="AE1099" s="200"/>
      <c r="AF1099" s="200"/>
      <c r="AG1099" s="200"/>
      <c r="AH1099" s="200"/>
      <c r="AI1099" s="200"/>
      <c r="AJ1099" s="200"/>
      <c r="AK1099" s="200"/>
      <c r="AL1099" s="200"/>
      <c r="AM1099" s="200"/>
      <c r="AN1099" s="200"/>
      <c r="AO1099" s="200"/>
      <c r="AP1099" s="200"/>
      <c r="AQ1099" s="200"/>
      <c r="AR1099" s="200"/>
      <c r="AS1099" s="200"/>
      <c r="AT1099" s="200"/>
    </row>
    <row r="1100" spans="1:46" ht="16.5" customHeight="1">
      <c r="A1100" s="307"/>
      <c r="B1100" s="307"/>
      <c r="C1100" s="200"/>
      <c r="D1100" s="200"/>
      <c r="E1100" s="200"/>
      <c r="F1100" s="200"/>
      <c r="G1100" s="200"/>
      <c r="H1100" s="200"/>
      <c r="I1100" s="200"/>
      <c r="J1100" s="200"/>
      <c r="K1100" s="200"/>
      <c r="L1100" s="200"/>
      <c r="M1100" s="200"/>
      <c r="N1100" s="200"/>
      <c r="O1100" s="200"/>
      <c r="P1100" s="200"/>
      <c r="Q1100" s="353"/>
      <c r="R1100" s="353"/>
      <c r="S1100" s="200"/>
      <c r="T1100" s="353"/>
      <c r="U1100" s="353"/>
      <c r="V1100" s="353"/>
      <c r="W1100" s="432"/>
      <c r="X1100" s="200"/>
      <c r="Y1100" s="200"/>
      <c r="Z1100" s="200"/>
      <c r="AA1100" s="200"/>
      <c r="AB1100" s="200"/>
      <c r="AC1100" s="200"/>
      <c r="AD1100" s="200"/>
      <c r="AE1100" s="200"/>
      <c r="AF1100" s="200"/>
      <c r="AG1100" s="200"/>
      <c r="AH1100" s="200"/>
      <c r="AI1100" s="200"/>
      <c r="AJ1100" s="200"/>
      <c r="AK1100" s="200"/>
      <c r="AL1100" s="200"/>
      <c r="AM1100" s="200"/>
      <c r="AN1100" s="200"/>
      <c r="AO1100" s="200"/>
      <c r="AP1100" s="200"/>
      <c r="AQ1100" s="200"/>
      <c r="AR1100" s="200"/>
      <c r="AS1100" s="200"/>
      <c r="AT1100" s="200"/>
    </row>
    <row r="1101" spans="1:46" ht="16.5" customHeight="1">
      <c r="A1101" s="307"/>
      <c r="B1101" s="307"/>
      <c r="C1101" s="200"/>
      <c r="D1101" s="200"/>
      <c r="E1101" s="200"/>
      <c r="F1101" s="200"/>
      <c r="G1101" s="200"/>
      <c r="H1101" s="200"/>
      <c r="I1101" s="200"/>
      <c r="J1101" s="200"/>
      <c r="K1101" s="200"/>
      <c r="L1101" s="200"/>
      <c r="M1101" s="200"/>
      <c r="N1101" s="200"/>
      <c r="O1101" s="200"/>
      <c r="P1101" s="200"/>
      <c r="Q1101" s="353"/>
      <c r="R1101" s="353"/>
      <c r="S1101" s="200"/>
      <c r="T1101" s="353"/>
      <c r="U1101" s="353"/>
      <c r="V1101" s="353"/>
      <c r="W1101" s="432"/>
      <c r="X1101" s="200"/>
      <c r="Y1101" s="200"/>
      <c r="Z1101" s="200"/>
      <c r="AA1101" s="200"/>
      <c r="AB1101" s="200"/>
      <c r="AC1101" s="200"/>
      <c r="AD1101" s="200"/>
      <c r="AE1101" s="200"/>
      <c r="AF1101" s="200"/>
      <c r="AG1101" s="200"/>
      <c r="AH1101" s="200"/>
      <c r="AI1101" s="200"/>
      <c r="AJ1101" s="200"/>
      <c r="AK1101" s="200"/>
      <c r="AL1101" s="200"/>
      <c r="AM1101" s="200"/>
      <c r="AN1101" s="200"/>
      <c r="AO1101" s="200"/>
      <c r="AP1101" s="200"/>
      <c r="AQ1101" s="200"/>
      <c r="AR1101" s="200"/>
      <c r="AS1101" s="200"/>
      <c r="AT1101" s="200"/>
    </row>
    <row r="1102" spans="1:46" ht="16.5" customHeight="1">
      <c r="A1102" s="307"/>
      <c r="B1102" s="307"/>
      <c r="C1102" s="200"/>
      <c r="D1102" s="200"/>
      <c r="E1102" s="200"/>
      <c r="F1102" s="200"/>
      <c r="G1102" s="200"/>
      <c r="H1102" s="200"/>
      <c r="I1102" s="200"/>
      <c r="J1102" s="200"/>
      <c r="K1102" s="200"/>
      <c r="L1102" s="200"/>
      <c r="M1102" s="200"/>
      <c r="N1102" s="200"/>
      <c r="O1102" s="200"/>
      <c r="P1102" s="200"/>
      <c r="Q1102" s="353"/>
      <c r="R1102" s="353"/>
      <c r="S1102" s="200"/>
      <c r="T1102" s="353"/>
      <c r="U1102" s="353"/>
      <c r="V1102" s="353"/>
      <c r="W1102" s="432"/>
      <c r="X1102" s="200"/>
      <c r="Y1102" s="200"/>
      <c r="Z1102" s="200"/>
      <c r="AA1102" s="200"/>
      <c r="AB1102" s="200"/>
      <c r="AC1102" s="200"/>
      <c r="AD1102" s="200"/>
      <c r="AE1102" s="200"/>
      <c r="AF1102" s="200"/>
      <c r="AG1102" s="200"/>
      <c r="AH1102" s="200"/>
      <c r="AI1102" s="200"/>
      <c r="AJ1102" s="200"/>
      <c r="AK1102" s="200"/>
      <c r="AL1102" s="200"/>
      <c r="AM1102" s="200"/>
      <c r="AN1102" s="200"/>
      <c r="AO1102" s="200"/>
      <c r="AP1102" s="200"/>
      <c r="AQ1102" s="200"/>
      <c r="AR1102" s="200"/>
      <c r="AS1102" s="200"/>
      <c r="AT1102" s="200"/>
    </row>
    <row r="1103" spans="1:46" ht="16.5" customHeight="1">
      <c r="A1103" s="307"/>
      <c r="B1103" s="307"/>
      <c r="C1103" s="200"/>
      <c r="D1103" s="200"/>
      <c r="E1103" s="200"/>
      <c r="F1103" s="200"/>
      <c r="G1103" s="200"/>
      <c r="H1103" s="200"/>
      <c r="I1103" s="200"/>
      <c r="J1103" s="200"/>
      <c r="K1103" s="200"/>
      <c r="L1103" s="200"/>
      <c r="M1103" s="200"/>
      <c r="N1103" s="200"/>
      <c r="O1103" s="200"/>
      <c r="P1103" s="200"/>
      <c r="Q1103" s="353"/>
      <c r="R1103" s="353"/>
      <c r="S1103" s="200"/>
      <c r="T1103" s="353"/>
      <c r="U1103" s="353"/>
      <c r="V1103" s="353"/>
      <c r="W1103" s="432"/>
      <c r="X1103" s="200"/>
      <c r="Y1103" s="200"/>
      <c r="Z1103" s="200"/>
      <c r="AA1103" s="200"/>
      <c r="AB1103" s="200"/>
      <c r="AC1103" s="200"/>
      <c r="AD1103" s="200"/>
      <c r="AE1103" s="200"/>
      <c r="AF1103" s="200"/>
      <c r="AG1103" s="200"/>
      <c r="AH1103" s="200"/>
      <c r="AI1103" s="200"/>
      <c r="AJ1103" s="200"/>
      <c r="AK1103" s="200"/>
      <c r="AL1103" s="200"/>
      <c r="AM1103" s="200"/>
      <c r="AN1103" s="200"/>
      <c r="AO1103" s="200"/>
      <c r="AP1103" s="200"/>
      <c r="AQ1103" s="200"/>
      <c r="AR1103" s="200"/>
      <c r="AS1103" s="200"/>
      <c r="AT1103" s="200"/>
    </row>
    <row r="1104" spans="1:46" ht="16.5" customHeight="1">
      <c r="A1104" s="307"/>
      <c r="B1104" s="307"/>
      <c r="C1104" s="200"/>
      <c r="D1104" s="200"/>
      <c r="E1104" s="200"/>
      <c r="F1104" s="200"/>
      <c r="G1104" s="200"/>
      <c r="H1104" s="200"/>
      <c r="I1104" s="200"/>
      <c r="J1104" s="200"/>
      <c r="K1104" s="200"/>
      <c r="L1104" s="200"/>
      <c r="M1104" s="200"/>
      <c r="N1104" s="200"/>
      <c r="O1104" s="200"/>
      <c r="P1104" s="200"/>
      <c r="Q1104" s="353"/>
      <c r="R1104" s="353"/>
      <c r="S1104" s="200"/>
      <c r="T1104" s="353"/>
      <c r="U1104" s="353"/>
      <c r="V1104" s="353"/>
      <c r="W1104" s="432"/>
      <c r="X1104" s="200"/>
      <c r="Y1104" s="200"/>
      <c r="Z1104" s="200"/>
      <c r="AA1104" s="200"/>
      <c r="AB1104" s="200"/>
      <c r="AC1104" s="200"/>
      <c r="AD1104" s="200"/>
      <c r="AE1104" s="200"/>
      <c r="AF1104" s="200"/>
      <c r="AG1104" s="200"/>
      <c r="AH1104" s="200"/>
      <c r="AI1104" s="200"/>
      <c r="AJ1104" s="200"/>
      <c r="AK1104" s="200"/>
      <c r="AL1104" s="200"/>
      <c r="AM1104" s="200"/>
      <c r="AN1104" s="200"/>
      <c r="AO1104" s="200"/>
      <c r="AP1104" s="200"/>
      <c r="AQ1104" s="200"/>
      <c r="AR1104" s="200"/>
      <c r="AS1104" s="200"/>
      <c r="AT1104" s="200"/>
    </row>
    <row r="1105" spans="1:46" ht="16.5" customHeight="1">
      <c r="A1105" s="307"/>
      <c r="B1105" s="307"/>
      <c r="C1105" s="200"/>
      <c r="D1105" s="200"/>
      <c r="E1105" s="200"/>
      <c r="F1105" s="200"/>
      <c r="G1105" s="200"/>
      <c r="H1105" s="200"/>
      <c r="I1105" s="200"/>
      <c r="J1105" s="200"/>
      <c r="K1105" s="200"/>
      <c r="L1105" s="200"/>
      <c r="M1105" s="200"/>
      <c r="N1105" s="200"/>
      <c r="O1105" s="200"/>
      <c r="P1105" s="200"/>
      <c r="Q1105" s="353"/>
      <c r="R1105" s="353"/>
      <c r="S1105" s="200"/>
      <c r="T1105" s="353"/>
      <c r="U1105" s="353"/>
      <c r="V1105" s="353"/>
      <c r="W1105" s="432"/>
      <c r="X1105" s="200"/>
      <c r="Y1105" s="200"/>
      <c r="Z1105" s="200"/>
      <c r="AA1105" s="200"/>
      <c r="AB1105" s="200"/>
      <c r="AC1105" s="200"/>
      <c r="AD1105" s="200"/>
      <c r="AE1105" s="200"/>
      <c r="AF1105" s="200"/>
      <c r="AG1105" s="200"/>
      <c r="AH1105" s="200"/>
      <c r="AI1105" s="200"/>
      <c r="AJ1105" s="200"/>
      <c r="AK1105" s="200"/>
      <c r="AL1105" s="200"/>
      <c r="AM1105" s="200"/>
      <c r="AN1105" s="200"/>
      <c r="AO1105" s="200"/>
      <c r="AP1105" s="200"/>
      <c r="AQ1105" s="200"/>
      <c r="AR1105" s="200"/>
      <c r="AS1105" s="200"/>
      <c r="AT1105" s="200"/>
    </row>
    <row r="1106" spans="1:46" ht="16.5" customHeight="1">
      <c r="A1106" s="307"/>
      <c r="B1106" s="307"/>
      <c r="C1106" s="200"/>
      <c r="D1106" s="200"/>
      <c r="E1106" s="200"/>
      <c r="F1106" s="200"/>
      <c r="G1106" s="200"/>
      <c r="H1106" s="200"/>
      <c r="I1106" s="200"/>
      <c r="J1106" s="200"/>
      <c r="K1106" s="200"/>
      <c r="L1106" s="200"/>
      <c r="M1106" s="200"/>
      <c r="N1106" s="200"/>
      <c r="O1106" s="200"/>
      <c r="P1106" s="200"/>
      <c r="Q1106" s="353"/>
      <c r="R1106" s="353"/>
      <c r="S1106" s="200"/>
      <c r="T1106" s="353"/>
      <c r="U1106" s="353"/>
      <c r="V1106" s="353"/>
      <c r="W1106" s="432"/>
      <c r="X1106" s="200"/>
      <c r="Y1106" s="200"/>
      <c r="Z1106" s="200"/>
      <c r="AA1106" s="200"/>
      <c r="AB1106" s="200"/>
      <c r="AC1106" s="200"/>
      <c r="AD1106" s="200"/>
      <c r="AE1106" s="200"/>
      <c r="AF1106" s="200"/>
      <c r="AG1106" s="200"/>
      <c r="AH1106" s="200"/>
      <c r="AI1106" s="200"/>
      <c r="AJ1106" s="200"/>
      <c r="AK1106" s="200"/>
      <c r="AL1106" s="200"/>
      <c r="AM1106" s="200"/>
      <c r="AN1106" s="200"/>
      <c r="AO1106" s="200"/>
      <c r="AP1106" s="200"/>
      <c r="AQ1106" s="200"/>
      <c r="AR1106" s="200"/>
      <c r="AS1106" s="200"/>
      <c r="AT1106" s="200"/>
    </row>
    <row r="1107" spans="1:46" ht="16.5" customHeight="1">
      <c r="A1107" s="307"/>
      <c r="B1107" s="307"/>
      <c r="C1107" s="200"/>
      <c r="D1107" s="200"/>
      <c r="E1107" s="200"/>
      <c r="F1107" s="200"/>
      <c r="G1107" s="200"/>
      <c r="H1107" s="200"/>
      <c r="I1107" s="200"/>
      <c r="J1107" s="200"/>
      <c r="K1107" s="200"/>
      <c r="L1107" s="200"/>
      <c r="M1107" s="200"/>
      <c r="N1107" s="200"/>
      <c r="O1107" s="200"/>
      <c r="P1107" s="200"/>
      <c r="Q1107" s="353"/>
      <c r="R1107" s="353"/>
      <c r="S1107" s="200"/>
      <c r="T1107" s="353"/>
      <c r="U1107" s="353"/>
      <c r="V1107" s="353"/>
      <c r="W1107" s="432"/>
      <c r="X1107" s="200"/>
      <c r="Y1107" s="200"/>
      <c r="Z1107" s="200"/>
      <c r="AA1107" s="200"/>
      <c r="AB1107" s="200"/>
      <c r="AC1107" s="200"/>
      <c r="AD1107" s="200"/>
      <c r="AE1107" s="200"/>
      <c r="AF1107" s="200"/>
      <c r="AG1107" s="200"/>
      <c r="AH1107" s="200"/>
      <c r="AI1107" s="200"/>
      <c r="AJ1107" s="200"/>
      <c r="AK1107" s="200"/>
      <c r="AL1107" s="200"/>
      <c r="AM1107" s="200"/>
      <c r="AN1107" s="200"/>
      <c r="AO1107" s="200"/>
      <c r="AP1107" s="200"/>
      <c r="AQ1107" s="200"/>
      <c r="AR1107" s="200"/>
      <c r="AS1107" s="200"/>
      <c r="AT1107" s="200"/>
    </row>
    <row r="1108" spans="1:46" ht="16.5" customHeight="1">
      <c r="A1108" s="307"/>
      <c r="B1108" s="307"/>
      <c r="C1108" s="200"/>
      <c r="D1108" s="200"/>
      <c r="E1108" s="200"/>
      <c r="F1108" s="200"/>
      <c r="G1108" s="200"/>
      <c r="H1108" s="200"/>
      <c r="I1108" s="200"/>
      <c r="J1108" s="200"/>
      <c r="K1108" s="200"/>
      <c r="L1108" s="200"/>
      <c r="M1108" s="200"/>
      <c r="N1108" s="200"/>
      <c r="O1108" s="200"/>
      <c r="P1108" s="200"/>
      <c r="Q1108" s="353"/>
      <c r="R1108" s="353"/>
      <c r="S1108" s="200"/>
      <c r="T1108" s="353"/>
      <c r="U1108" s="353"/>
      <c r="V1108" s="353"/>
      <c r="W1108" s="432"/>
      <c r="X1108" s="200"/>
      <c r="Y1108" s="200"/>
      <c r="Z1108" s="200"/>
      <c r="AA1108" s="200"/>
      <c r="AB1108" s="200"/>
      <c r="AC1108" s="200"/>
      <c r="AD1108" s="200"/>
      <c r="AE1108" s="200"/>
      <c r="AF1108" s="200"/>
      <c r="AG1108" s="200"/>
      <c r="AH1108" s="200"/>
      <c r="AI1108" s="200"/>
      <c r="AJ1108" s="200"/>
      <c r="AK1108" s="200"/>
      <c r="AL1108" s="200"/>
      <c r="AM1108" s="200"/>
      <c r="AN1108" s="200"/>
      <c r="AO1108" s="200"/>
      <c r="AP1108" s="200"/>
      <c r="AQ1108" s="200"/>
      <c r="AR1108" s="200"/>
      <c r="AS1108" s="200"/>
      <c r="AT1108" s="200"/>
    </row>
    <row r="1109" spans="1:46" ht="16.5" customHeight="1">
      <c r="A1109" s="307"/>
      <c r="B1109" s="307"/>
      <c r="C1109" s="200"/>
      <c r="D1109" s="200"/>
      <c r="E1109" s="200"/>
      <c r="F1109" s="200"/>
      <c r="G1109" s="200"/>
      <c r="H1109" s="200"/>
      <c r="I1109" s="200"/>
      <c r="J1109" s="200"/>
      <c r="K1109" s="200"/>
      <c r="L1109" s="200"/>
      <c r="M1109" s="200"/>
      <c r="N1109" s="200"/>
      <c r="O1109" s="200"/>
      <c r="P1109" s="200"/>
      <c r="Q1109" s="353"/>
      <c r="R1109" s="353"/>
      <c r="S1109" s="200"/>
      <c r="T1109" s="353"/>
      <c r="U1109" s="353"/>
      <c r="V1109" s="353"/>
      <c r="W1109" s="432"/>
      <c r="X1109" s="200"/>
      <c r="Y1109" s="200"/>
      <c r="Z1109" s="200"/>
      <c r="AA1109" s="200"/>
      <c r="AB1109" s="200"/>
      <c r="AC1109" s="200"/>
      <c r="AD1109" s="200"/>
      <c r="AE1109" s="200"/>
      <c r="AF1109" s="200"/>
      <c r="AG1109" s="200"/>
      <c r="AH1109" s="200"/>
      <c r="AI1109" s="200"/>
      <c r="AJ1109" s="200"/>
      <c r="AK1109" s="200"/>
      <c r="AL1109" s="200"/>
      <c r="AM1109" s="200"/>
      <c r="AN1109" s="200"/>
      <c r="AO1109" s="200"/>
      <c r="AP1109" s="200"/>
      <c r="AQ1109" s="200"/>
      <c r="AR1109" s="200"/>
      <c r="AS1109" s="200"/>
      <c r="AT1109" s="200"/>
    </row>
    <row r="1110" spans="1:46" ht="16.5" customHeight="1">
      <c r="A1110" s="307"/>
      <c r="B1110" s="307"/>
      <c r="C1110" s="200"/>
      <c r="D1110" s="200"/>
      <c r="E1110" s="200"/>
      <c r="F1110" s="200"/>
      <c r="G1110" s="200"/>
      <c r="H1110" s="200"/>
      <c r="I1110" s="200"/>
      <c r="J1110" s="200"/>
      <c r="K1110" s="200"/>
      <c r="L1110" s="200"/>
      <c r="M1110" s="200"/>
      <c r="N1110" s="200"/>
      <c r="O1110" s="200"/>
      <c r="P1110" s="200"/>
      <c r="Q1110" s="353"/>
      <c r="R1110" s="353"/>
      <c r="S1110" s="200"/>
      <c r="T1110" s="353"/>
      <c r="U1110" s="353"/>
      <c r="V1110" s="353"/>
      <c r="W1110" s="432"/>
      <c r="X1110" s="200"/>
      <c r="Y1110" s="200"/>
      <c r="Z1110" s="200"/>
      <c r="AA1110" s="200"/>
      <c r="AB1110" s="200"/>
      <c r="AC1110" s="200"/>
      <c r="AD1110" s="200"/>
      <c r="AE1110" s="200"/>
      <c r="AF1110" s="200"/>
      <c r="AG1110" s="200"/>
      <c r="AH1110" s="200"/>
      <c r="AI1110" s="200"/>
      <c r="AJ1110" s="200"/>
      <c r="AK1110" s="200"/>
      <c r="AL1110" s="200"/>
      <c r="AM1110" s="200"/>
      <c r="AN1110" s="200"/>
      <c r="AO1110" s="200"/>
      <c r="AP1110" s="200"/>
      <c r="AQ1110" s="200"/>
      <c r="AR1110" s="200"/>
      <c r="AS1110" s="200"/>
      <c r="AT1110" s="200"/>
    </row>
    <row r="1111" spans="1:46" ht="16.5" customHeight="1">
      <c r="A1111" s="307"/>
      <c r="B1111" s="307"/>
      <c r="C1111" s="200"/>
      <c r="D1111" s="200"/>
      <c r="E1111" s="200"/>
      <c r="F1111" s="200"/>
      <c r="G1111" s="200"/>
      <c r="H1111" s="200"/>
      <c r="I1111" s="200"/>
      <c r="J1111" s="200"/>
      <c r="K1111" s="200"/>
      <c r="L1111" s="200"/>
      <c r="M1111" s="200"/>
      <c r="N1111" s="200"/>
      <c r="O1111" s="200"/>
      <c r="P1111" s="200"/>
      <c r="Q1111" s="353"/>
      <c r="R1111" s="353"/>
      <c r="S1111" s="200"/>
      <c r="T1111" s="353"/>
      <c r="U1111" s="353"/>
      <c r="V1111" s="353"/>
      <c r="W1111" s="432"/>
      <c r="X1111" s="200"/>
      <c r="Y1111" s="200"/>
      <c r="Z1111" s="200"/>
      <c r="AA1111" s="200"/>
      <c r="AB1111" s="200"/>
      <c r="AC1111" s="200"/>
      <c r="AD1111" s="200"/>
      <c r="AE1111" s="200"/>
      <c r="AF1111" s="200"/>
      <c r="AG1111" s="200"/>
      <c r="AH1111" s="200"/>
      <c r="AI1111" s="200"/>
      <c r="AJ1111" s="200"/>
      <c r="AK1111" s="200"/>
      <c r="AL1111" s="200"/>
      <c r="AM1111" s="200"/>
      <c r="AN1111" s="200"/>
      <c r="AO1111" s="200"/>
      <c r="AP1111" s="200"/>
      <c r="AQ1111" s="200"/>
      <c r="AR1111" s="200"/>
      <c r="AS1111" s="200"/>
      <c r="AT1111" s="200"/>
    </row>
    <row r="1112" spans="1:46" ht="16.5" customHeight="1">
      <c r="A1112" s="307"/>
      <c r="B1112" s="307"/>
      <c r="C1112" s="200"/>
      <c r="D1112" s="200"/>
      <c r="E1112" s="200"/>
      <c r="F1112" s="200"/>
      <c r="G1112" s="200"/>
      <c r="H1112" s="200"/>
      <c r="I1112" s="200"/>
      <c r="J1112" s="200"/>
      <c r="K1112" s="200"/>
      <c r="L1112" s="200"/>
      <c r="M1112" s="200"/>
      <c r="N1112" s="200"/>
      <c r="O1112" s="200"/>
      <c r="P1112" s="200"/>
      <c r="Q1112" s="353"/>
      <c r="R1112" s="353"/>
      <c r="S1112" s="200"/>
      <c r="T1112" s="353"/>
      <c r="U1112" s="353"/>
      <c r="V1112" s="353"/>
      <c r="W1112" s="432"/>
      <c r="X1112" s="200"/>
      <c r="Y1112" s="200"/>
      <c r="Z1112" s="200"/>
      <c r="AA1112" s="200"/>
      <c r="AB1112" s="200"/>
      <c r="AC1112" s="200"/>
      <c r="AD1112" s="200"/>
      <c r="AE1112" s="200"/>
      <c r="AF1112" s="200"/>
      <c r="AG1112" s="200"/>
      <c r="AH1112" s="200"/>
      <c r="AI1112" s="200"/>
      <c r="AJ1112" s="200"/>
      <c r="AK1112" s="200"/>
      <c r="AL1112" s="200"/>
      <c r="AM1112" s="200"/>
      <c r="AN1112" s="200"/>
      <c r="AO1112" s="200"/>
      <c r="AP1112" s="200"/>
      <c r="AQ1112" s="200"/>
      <c r="AR1112" s="200"/>
      <c r="AS1112" s="200"/>
      <c r="AT1112" s="200"/>
    </row>
    <row r="1113" spans="1:46" ht="16.5" customHeight="1">
      <c r="A1113" s="307"/>
      <c r="B1113" s="307"/>
      <c r="C1113" s="200"/>
      <c r="D1113" s="200"/>
      <c r="E1113" s="200"/>
      <c r="F1113" s="200"/>
      <c r="G1113" s="200"/>
      <c r="H1113" s="200"/>
      <c r="I1113" s="200"/>
      <c r="J1113" s="200"/>
      <c r="K1113" s="200"/>
      <c r="L1113" s="200"/>
      <c r="M1113" s="200"/>
      <c r="N1113" s="200"/>
      <c r="O1113" s="200"/>
      <c r="P1113" s="200"/>
      <c r="Q1113" s="353"/>
      <c r="R1113" s="353"/>
      <c r="S1113" s="200"/>
      <c r="T1113" s="353"/>
      <c r="U1113" s="353"/>
      <c r="V1113" s="353"/>
      <c r="W1113" s="432"/>
      <c r="X1113" s="200"/>
      <c r="Y1113" s="200"/>
      <c r="Z1113" s="200"/>
      <c r="AA1113" s="200"/>
      <c r="AB1113" s="200"/>
      <c r="AC1113" s="200"/>
      <c r="AD1113" s="200"/>
      <c r="AE1113" s="200"/>
      <c r="AF1113" s="200"/>
      <c r="AG1113" s="200"/>
      <c r="AH1113" s="200"/>
      <c r="AI1113" s="200"/>
      <c r="AJ1113" s="200"/>
      <c r="AK1113" s="200"/>
      <c r="AL1113" s="200"/>
      <c r="AM1113" s="200"/>
      <c r="AN1113" s="200"/>
      <c r="AO1113" s="200"/>
      <c r="AP1113" s="200"/>
      <c r="AQ1113" s="200"/>
      <c r="AR1113" s="200"/>
      <c r="AS1113" s="200"/>
      <c r="AT1113" s="200"/>
    </row>
    <row r="1114" spans="1:46" ht="16.5" customHeight="1">
      <c r="A1114" s="307"/>
      <c r="B1114" s="307"/>
      <c r="C1114" s="200"/>
      <c r="D1114" s="200"/>
      <c r="E1114" s="200"/>
      <c r="F1114" s="200"/>
      <c r="G1114" s="200"/>
      <c r="H1114" s="200"/>
      <c r="I1114" s="200"/>
      <c r="J1114" s="200"/>
      <c r="K1114" s="200"/>
      <c r="L1114" s="200"/>
      <c r="M1114" s="200"/>
      <c r="N1114" s="200"/>
      <c r="O1114" s="200"/>
      <c r="P1114" s="200"/>
      <c r="Q1114" s="353"/>
      <c r="R1114" s="353"/>
      <c r="S1114" s="200"/>
      <c r="T1114" s="353"/>
      <c r="U1114" s="353"/>
      <c r="V1114" s="353"/>
      <c r="W1114" s="432"/>
      <c r="X1114" s="200"/>
      <c r="Y1114" s="200"/>
      <c r="Z1114" s="200"/>
      <c r="AA1114" s="200"/>
      <c r="AB1114" s="200"/>
      <c r="AC1114" s="200"/>
      <c r="AD1114" s="200"/>
      <c r="AE1114" s="200"/>
      <c r="AF1114" s="200"/>
      <c r="AG1114" s="200"/>
      <c r="AH1114" s="200"/>
      <c r="AI1114" s="200"/>
      <c r="AJ1114" s="200"/>
      <c r="AK1114" s="200"/>
      <c r="AL1114" s="200"/>
      <c r="AM1114" s="200"/>
      <c r="AN1114" s="200"/>
      <c r="AO1114" s="200"/>
      <c r="AP1114" s="200"/>
      <c r="AQ1114" s="200"/>
      <c r="AR1114" s="200"/>
      <c r="AS1114" s="200"/>
      <c r="AT1114" s="200"/>
    </row>
    <row r="1115" spans="1:46" ht="16.5" customHeight="1">
      <c r="A1115" s="307"/>
      <c r="B1115" s="307"/>
      <c r="C1115" s="200"/>
      <c r="D1115" s="200"/>
      <c r="E1115" s="200"/>
      <c r="F1115" s="200"/>
      <c r="G1115" s="200"/>
      <c r="H1115" s="200"/>
      <c r="I1115" s="200"/>
      <c r="J1115" s="200"/>
      <c r="K1115" s="200"/>
      <c r="L1115" s="200"/>
      <c r="M1115" s="200"/>
      <c r="N1115" s="200"/>
      <c r="O1115" s="200"/>
      <c r="P1115" s="200"/>
      <c r="Q1115" s="353"/>
      <c r="R1115" s="353"/>
      <c r="S1115" s="200"/>
      <c r="T1115" s="353"/>
      <c r="U1115" s="353"/>
      <c r="V1115" s="353"/>
      <c r="W1115" s="432"/>
      <c r="X1115" s="200"/>
      <c r="Y1115" s="200"/>
      <c r="Z1115" s="200"/>
      <c r="AA1115" s="200"/>
      <c r="AB1115" s="200"/>
      <c r="AC1115" s="200"/>
      <c r="AD1115" s="200"/>
      <c r="AE1115" s="200"/>
      <c r="AF1115" s="200"/>
      <c r="AG1115" s="200"/>
      <c r="AH1115" s="200"/>
      <c r="AI1115" s="200"/>
      <c r="AJ1115" s="200"/>
      <c r="AK1115" s="200"/>
      <c r="AL1115" s="200"/>
      <c r="AM1115" s="200"/>
      <c r="AN1115" s="200"/>
      <c r="AO1115" s="200"/>
      <c r="AP1115" s="200"/>
      <c r="AQ1115" s="200"/>
      <c r="AR1115" s="200"/>
      <c r="AS1115" s="200"/>
      <c r="AT1115" s="200"/>
    </row>
    <row r="1116" spans="1:46" ht="16.5" customHeight="1">
      <c r="A1116" s="307"/>
      <c r="B1116" s="307"/>
      <c r="C1116" s="200"/>
      <c r="D1116" s="200"/>
      <c r="E1116" s="200"/>
      <c r="F1116" s="200"/>
      <c r="G1116" s="200"/>
      <c r="H1116" s="200"/>
      <c r="I1116" s="200"/>
      <c r="J1116" s="200"/>
      <c r="K1116" s="200"/>
      <c r="L1116" s="200"/>
      <c r="M1116" s="200"/>
      <c r="N1116" s="200"/>
      <c r="O1116" s="200"/>
      <c r="P1116" s="200"/>
      <c r="Q1116" s="353"/>
      <c r="R1116" s="353"/>
      <c r="S1116" s="200"/>
      <c r="T1116" s="353"/>
      <c r="U1116" s="353"/>
      <c r="V1116" s="353"/>
      <c r="W1116" s="432"/>
      <c r="X1116" s="200"/>
      <c r="Y1116" s="200"/>
      <c r="Z1116" s="200"/>
      <c r="AA1116" s="200"/>
      <c r="AB1116" s="200"/>
      <c r="AC1116" s="200"/>
      <c r="AD1116" s="200"/>
      <c r="AE1116" s="200"/>
      <c r="AF1116" s="200"/>
      <c r="AG1116" s="200"/>
      <c r="AH1116" s="200"/>
      <c r="AI1116" s="200"/>
      <c r="AJ1116" s="200"/>
      <c r="AK1116" s="200"/>
      <c r="AL1116" s="200"/>
      <c r="AM1116" s="200"/>
      <c r="AN1116" s="200"/>
      <c r="AO1116" s="200"/>
      <c r="AP1116" s="200"/>
      <c r="AQ1116" s="200"/>
      <c r="AR1116" s="200"/>
      <c r="AS1116" s="200"/>
      <c r="AT1116" s="200"/>
    </row>
    <row r="1117" spans="1:46" ht="16.5" customHeight="1">
      <c r="A1117" s="307"/>
      <c r="B1117" s="307"/>
      <c r="C1117" s="200"/>
      <c r="D1117" s="200"/>
      <c r="E1117" s="200"/>
      <c r="F1117" s="200"/>
      <c r="G1117" s="200"/>
      <c r="H1117" s="200"/>
      <c r="I1117" s="200"/>
      <c r="J1117" s="200"/>
      <c r="K1117" s="200"/>
      <c r="L1117" s="200"/>
      <c r="M1117" s="200"/>
      <c r="N1117" s="200"/>
      <c r="O1117" s="200"/>
      <c r="P1117" s="200"/>
      <c r="Q1117" s="353"/>
      <c r="R1117" s="353"/>
      <c r="S1117" s="200"/>
      <c r="T1117" s="353"/>
      <c r="U1117" s="353"/>
      <c r="V1117" s="353"/>
      <c r="W1117" s="432"/>
      <c r="X1117" s="200"/>
      <c r="Y1117" s="200"/>
      <c r="Z1117" s="200"/>
      <c r="AA1117" s="200"/>
      <c r="AB1117" s="200"/>
      <c r="AC1117" s="200"/>
      <c r="AD1117" s="200"/>
      <c r="AE1117" s="200"/>
      <c r="AF1117" s="200"/>
      <c r="AG1117" s="200"/>
      <c r="AH1117" s="200"/>
      <c r="AI1117" s="200"/>
      <c r="AJ1117" s="200"/>
      <c r="AK1117" s="200"/>
      <c r="AL1117" s="200"/>
      <c r="AM1117" s="200"/>
      <c r="AN1117" s="200"/>
      <c r="AO1117" s="200"/>
      <c r="AP1117" s="200"/>
      <c r="AQ1117" s="200"/>
      <c r="AR1117" s="200"/>
      <c r="AS1117" s="200"/>
      <c r="AT1117" s="200"/>
    </row>
    <row r="1118" spans="1:46" ht="16.5" customHeight="1">
      <c r="A1118" s="307"/>
      <c r="B1118" s="307"/>
      <c r="C1118" s="200"/>
      <c r="D1118" s="200"/>
      <c r="E1118" s="200"/>
      <c r="F1118" s="200"/>
      <c r="G1118" s="200"/>
      <c r="H1118" s="200"/>
      <c r="I1118" s="200"/>
      <c r="J1118" s="200"/>
      <c r="K1118" s="200"/>
      <c r="L1118" s="200"/>
      <c r="M1118" s="200"/>
      <c r="N1118" s="200"/>
      <c r="O1118" s="200"/>
      <c r="P1118" s="200"/>
      <c r="Q1118" s="353"/>
      <c r="R1118" s="353"/>
      <c r="S1118" s="200"/>
      <c r="T1118" s="353"/>
      <c r="U1118" s="353"/>
      <c r="V1118" s="353"/>
      <c r="W1118" s="432"/>
      <c r="X1118" s="200"/>
      <c r="Y1118" s="200"/>
      <c r="Z1118" s="200"/>
      <c r="AA1118" s="200"/>
      <c r="AB1118" s="200"/>
      <c r="AC1118" s="200"/>
      <c r="AD1118" s="200"/>
      <c r="AE1118" s="200"/>
      <c r="AF1118" s="200"/>
      <c r="AG1118" s="200"/>
      <c r="AH1118" s="200"/>
      <c r="AI1118" s="200"/>
      <c r="AJ1118" s="200"/>
      <c r="AK1118" s="200"/>
      <c r="AL1118" s="200"/>
      <c r="AM1118" s="200"/>
      <c r="AN1118" s="200"/>
      <c r="AO1118" s="200"/>
      <c r="AP1118" s="200"/>
      <c r="AQ1118" s="200"/>
      <c r="AR1118" s="200"/>
      <c r="AS1118" s="200"/>
      <c r="AT1118" s="200"/>
    </row>
    <row r="1119" spans="1:46" ht="16.5" customHeight="1">
      <c r="A1119" s="307"/>
      <c r="B1119" s="307"/>
      <c r="C1119" s="200"/>
      <c r="D1119" s="200"/>
      <c r="E1119" s="200"/>
      <c r="F1119" s="200"/>
      <c r="G1119" s="200"/>
      <c r="H1119" s="200"/>
      <c r="I1119" s="200"/>
      <c r="J1119" s="200"/>
      <c r="K1119" s="200"/>
      <c r="L1119" s="200"/>
      <c r="M1119" s="200"/>
      <c r="N1119" s="200"/>
      <c r="O1119" s="200"/>
      <c r="P1119" s="200"/>
      <c r="Q1119" s="353"/>
      <c r="R1119" s="353"/>
      <c r="S1119" s="200"/>
      <c r="T1119" s="353"/>
      <c r="U1119" s="353"/>
      <c r="V1119" s="353"/>
      <c r="W1119" s="432"/>
      <c r="X1119" s="200"/>
      <c r="Y1119" s="200"/>
      <c r="Z1119" s="200"/>
      <c r="AA1119" s="200"/>
      <c r="AB1119" s="200"/>
      <c r="AC1119" s="200"/>
      <c r="AD1119" s="200"/>
      <c r="AE1119" s="200"/>
      <c r="AF1119" s="200"/>
      <c r="AG1119" s="200"/>
      <c r="AH1119" s="200"/>
      <c r="AI1119" s="200"/>
      <c r="AJ1119" s="200"/>
      <c r="AK1119" s="200"/>
      <c r="AL1119" s="200"/>
      <c r="AM1119" s="200"/>
      <c r="AN1119" s="200"/>
      <c r="AO1119" s="200"/>
      <c r="AP1119" s="200"/>
      <c r="AQ1119" s="200"/>
      <c r="AR1119" s="200"/>
      <c r="AS1119" s="200"/>
      <c r="AT1119" s="200"/>
    </row>
    <row r="1120" spans="1:46" ht="16.5" customHeight="1">
      <c r="A1120" s="307"/>
      <c r="B1120" s="307"/>
      <c r="C1120" s="200"/>
      <c r="D1120" s="200"/>
      <c r="E1120" s="200"/>
      <c r="F1120" s="200"/>
      <c r="G1120" s="200"/>
      <c r="H1120" s="200"/>
      <c r="I1120" s="200"/>
      <c r="J1120" s="200"/>
      <c r="K1120" s="200"/>
      <c r="L1120" s="200"/>
      <c r="M1120" s="200"/>
      <c r="N1120" s="200"/>
      <c r="O1120" s="200"/>
      <c r="P1120" s="200"/>
      <c r="Q1120" s="353"/>
      <c r="R1120" s="353"/>
      <c r="S1120" s="200"/>
      <c r="T1120" s="353"/>
      <c r="U1120" s="353"/>
      <c r="V1120" s="353"/>
      <c r="W1120" s="432"/>
      <c r="X1120" s="200"/>
      <c r="Y1120" s="200"/>
      <c r="Z1120" s="200"/>
      <c r="AA1120" s="200"/>
      <c r="AB1120" s="200"/>
      <c r="AC1120" s="200"/>
      <c r="AD1120" s="200"/>
      <c r="AE1120" s="200"/>
      <c r="AF1120" s="200"/>
      <c r="AG1120" s="200"/>
      <c r="AH1120" s="200"/>
      <c r="AI1120" s="200"/>
      <c r="AJ1120" s="200"/>
      <c r="AK1120" s="200"/>
      <c r="AL1120" s="200"/>
      <c r="AM1120" s="200"/>
      <c r="AN1120" s="200"/>
      <c r="AO1120" s="200"/>
      <c r="AP1120" s="200"/>
      <c r="AQ1120" s="200"/>
      <c r="AR1120" s="200"/>
      <c r="AS1120" s="200"/>
      <c r="AT1120" s="200"/>
    </row>
    <row r="1121" spans="1:46" ht="16.5" customHeight="1">
      <c r="A1121" s="307"/>
      <c r="B1121" s="307"/>
      <c r="C1121" s="200"/>
      <c r="D1121" s="200"/>
      <c r="E1121" s="200"/>
      <c r="F1121" s="200"/>
      <c r="G1121" s="200"/>
      <c r="H1121" s="200"/>
      <c r="I1121" s="200"/>
      <c r="J1121" s="200"/>
      <c r="K1121" s="200"/>
      <c r="L1121" s="200"/>
      <c r="M1121" s="200"/>
      <c r="N1121" s="200"/>
      <c r="O1121" s="200"/>
      <c r="P1121" s="200"/>
      <c r="Q1121" s="353"/>
      <c r="R1121" s="353"/>
      <c r="S1121" s="200"/>
      <c r="T1121" s="353"/>
      <c r="U1121" s="353"/>
      <c r="V1121" s="353"/>
      <c r="W1121" s="432"/>
      <c r="X1121" s="200"/>
      <c r="Y1121" s="200"/>
      <c r="Z1121" s="200"/>
      <c r="AA1121" s="200"/>
      <c r="AB1121" s="200"/>
      <c r="AC1121" s="200"/>
      <c r="AD1121" s="200"/>
      <c r="AE1121" s="200"/>
      <c r="AF1121" s="200"/>
      <c r="AG1121" s="200"/>
      <c r="AH1121" s="200"/>
      <c r="AI1121" s="200"/>
      <c r="AJ1121" s="200"/>
      <c r="AK1121" s="200"/>
      <c r="AL1121" s="200"/>
      <c r="AM1121" s="200"/>
      <c r="AN1121" s="200"/>
      <c r="AO1121" s="200"/>
      <c r="AP1121" s="200"/>
      <c r="AQ1121" s="200"/>
      <c r="AR1121" s="200"/>
      <c r="AS1121" s="200"/>
      <c r="AT1121" s="200"/>
    </row>
    <row r="1122" spans="1:46" ht="16.5" customHeight="1">
      <c r="A1122" s="307"/>
      <c r="B1122" s="307"/>
      <c r="C1122" s="200"/>
      <c r="D1122" s="200"/>
      <c r="E1122" s="200"/>
      <c r="F1122" s="200"/>
      <c r="G1122" s="200"/>
      <c r="H1122" s="200"/>
      <c r="I1122" s="200"/>
      <c r="J1122" s="200"/>
      <c r="K1122" s="200"/>
      <c r="L1122" s="200"/>
      <c r="M1122" s="200"/>
      <c r="N1122" s="200"/>
      <c r="O1122" s="200"/>
      <c r="P1122" s="200"/>
      <c r="Q1122" s="353"/>
      <c r="R1122" s="353"/>
      <c r="S1122" s="200"/>
      <c r="T1122" s="353"/>
      <c r="U1122" s="353"/>
      <c r="V1122" s="353"/>
      <c r="W1122" s="432"/>
      <c r="X1122" s="200"/>
      <c r="Y1122" s="200"/>
      <c r="Z1122" s="200"/>
      <c r="AA1122" s="200"/>
      <c r="AB1122" s="200"/>
      <c r="AC1122" s="200"/>
      <c r="AD1122" s="200"/>
      <c r="AE1122" s="200"/>
      <c r="AF1122" s="200"/>
      <c r="AG1122" s="200"/>
      <c r="AH1122" s="200"/>
      <c r="AI1122" s="200"/>
      <c r="AJ1122" s="200"/>
      <c r="AK1122" s="200"/>
      <c r="AL1122" s="200"/>
      <c r="AM1122" s="200"/>
      <c r="AN1122" s="200"/>
      <c r="AO1122" s="200"/>
      <c r="AP1122" s="200"/>
      <c r="AQ1122" s="200"/>
      <c r="AR1122" s="200"/>
      <c r="AS1122" s="200"/>
      <c r="AT1122" s="200"/>
    </row>
    <row r="1123" spans="1:46" ht="16.5" customHeight="1">
      <c r="A1123" s="307"/>
      <c r="B1123" s="307"/>
      <c r="C1123" s="200"/>
      <c r="D1123" s="200"/>
      <c r="E1123" s="200"/>
      <c r="F1123" s="200"/>
      <c r="G1123" s="200"/>
      <c r="H1123" s="200"/>
      <c r="I1123" s="200"/>
      <c r="J1123" s="200"/>
      <c r="K1123" s="200"/>
      <c r="L1123" s="200"/>
      <c r="M1123" s="200"/>
      <c r="N1123" s="200"/>
      <c r="O1123" s="200"/>
      <c r="P1123" s="200"/>
      <c r="Q1123" s="353"/>
      <c r="R1123" s="353"/>
      <c r="S1123" s="200"/>
      <c r="T1123" s="353"/>
      <c r="U1123" s="353"/>
      <c r="V1123" s="353"/>
      <c r="W1123" s="432"/>
      <c r="X1123" s="200"/>
      <c r="Y1123" s="200"/>
      <c r="Z1123" s="200"/>
      <c r="AA1123" s="200"/>
      <c r="AB1123" s="200"/>
      <c r="AC1123" s="200"/>
      <c r="AD1123" s="200"/>
      <c r="AE1123" s="200"/>
      <c r="AF1123" s="200"/>
      <c r="AG1123" s="200"/>
      <c r="AH1123" s="200"/>
      <c r="AI1123" s="200"/>
      <c r="AJ1123" s="200"/>
      <c r="AK1123" s="200"/>
      <c r="AL1123" s="200"/>
      <c r="AM1123" s="200"/>
      <c r="AN1123" s="200"/>
      <c r="AO1123" s="200"/>
      <c r="AP1123" s="200"/>
      <c r="AQ1123" s="200"/>
      <c r="AR1123" s="200"/>
      <c r="AS1123" s="200"/>
      <c r="AT1123" s="200"/>
    </row>
    <row r="1124" spans="1:46" ht="16.5" customHeight="1">
      <c r="A1124" s="307"/>
      <c r="B1124" s="307"/>
      <c r="C1124" s="200"/>
      <c r="D1124" s="200"/>
      <c r="E1124" s="200"/>
      <c r="F1124" s="200"/>
      <c r="G1124" s="200"/>
      <c r="H1124" s="200"/>
      <c r="I1124" s="200"/>
      <c r="J1124" s="200"/>
      <c r="K1124" s="200"/>
      <c r="L1124" s="200"/>
      <c r="M1124" s="200"/>
      <c r="N1124" s="200"/>
      <c r="O1124" s="200"/>
      <c r="P1124" s="200"/>
      <c r="Q1124" s="353"/>
      <c r="R1124" s="353"/>
      <c r="S1124" s="200"/>
      <c r="T1124" s="353"/>
      <c r="U1124" s="353"/>
      <c r="V1124" s="353"/>
      <c r="W1124" s="432"/>
      <c r="X1124" s="200"/>
      <c r="Y1124" s="200"/>
      <c r="Z1124" s="200"/>
      <c r="AA1124" s="200"/>
      <c r="AB1124" s="200"/>
      <c r="AC1124" s="200"/>
      <c r="AD1124" s="200"/>
      <c r="AE1124" s="200"/>
      <c r="AF1124" s="200"/>
      <c r="AG1124" s="200"/>
      <c r="AH1124" s="200"/>
      <c r="AI1124" s="200"/>
      <c r="AJ1124" s="200"/>
      <c r="AK1124" s="200"/>
      <c r="AL1124" s="200"/>
      <c r="AM1124" s="200"/>
      <c r="AN1124" s="200"/>
      <c r="AO1124" s="200"/>
      <c r="AP1124" s="200"/>
      <c r="AQ1124" s="200"/>
      <c r="AR1124" s="200"/>
      <c r="AS1124" s="200"/>
      <c r="AT1124" s="200"/>
    </row>
    <row r="1125" spans="1:46" ht="16.5" customHeight="1">
      <c r="A1125" s="307"/>
      <c r="B1125" s="307"/>
      <c r="C1125" s="200"/>
      <c r="D1125" s="200"/>
      <c r="E1125" s="200"/>
      <c r="F1125" s="200"/>
      <c r="G1125" s="200"/>
      <c r="H1125" s="200"/>
      <c r="I1125" s="200"/>
      <c r="J1125" s="200"/>
      <c r="K1125" s="200"/>
      <c r="L1125" s="200"/>
      <c r="M1125" s="200"/>
      <c r="N1125" s="200"/>
      <c r="O1125" s="200"/>
      <c r="P1125" s="200"/>
      <c r="Q1125" s="353"/>
      <c r="R1125" s="353"/>
      <c r="S1125" s="200"/>
      <c r="T1125" s="353"/>
      <c r="U1125" s="353"/>
      <c r="V1125" s="353"/>
      <c r="W1125" s="432"/>
      <c r="X1125" s="200"/>
      <c r="Y1125" s="200"/>
      <c r="Z1125" s="200"/>
      <c r="AA1125" s="200"/>
      <c r="AB1125" s="200"/>
      <c r="AC1125" s="200"/>
      <c r="AD1125" s="200"/>
      <c r="AE1125" s="200"/>
      <c r="AF1125" s="200"/>
      <c r="AG1125" s="200"/>
      <c r="AH1125" s="200"/>
      <c r="AI1125" s="200"/>
      <c r="AJ1125" s="200"/>
      <c r="AK1125" s="200"/>
      <c r="AL1125" s="200"/>
      <c r="AM1125" s="200"/>
      <c r="AN1125" s="200"/>
      <c r="AO1125" s="200"/>
      <c r="AP1125" s="200"/>
      <c r="AQ1125" s="200"/>
      <c r="AR1125" s="200"/>
      <c r="AS1125" s="200"/>
      <c r="AT1125" s="200"/>
    </row>
    <row r="1126" spans="1:46" ht="16.5" customHeight="1">
      <c r="A1126" s="307"/>
      <c r="B1126" s="307"/>
      <c r="C1126" s="200"/>
      <c r="D1126" s="200"/>
      <c r="E1126" s="200"/>
      <c r="F1126" s="200"/>
      <c r="G1126" s="200"/>
      <c r="H1126" s="200"/>
      <c r="I1126" s="200"/>
      <c r="J1126" s="200"/>
      <c r="K1126" s="200"/>
      <c r="L1126" s="200"/>
      <c r="M1126" s="200"/>
      <c r="N1126" s="200"/>
      <c r="O1126" s="200"/>
      <c r="P1126" s="200"/>
      <c r="Q1126" s="353"/>
      <c r="R1126" s="353"/>
      <c r="S1126" s="200"/>
      <c r="T1126" s="353"/>
      <c r="U1126" s="353"/>
      <c r="V1126" s="353"/>
      <c r="W1126" s="432"/>
      <c r="X1126" s="200"/>
      <c r="Y1126" s="200"/>
      <c r="Z1126" s="200"/>
      <c r="AA1126" s="200"/>
      <c r="AB1126" s="200"/>
      <c r="AC1126" s="200"/>
      <c r="AD1126" s="200"/>
      <c r="AE1126" s="200"/>
      <c r="AF1126" s="200"/>
      <c r="AG1126" s="200"/>
      <c r="AH1126" s="200"/>
      <c r="AI1126" s="200"/>
      <c r="AJ1126" s="200"/>
      <c r="AK1126" s="200"/>
      <c r="AL1126" s="200"/>
      <c r="AM1126" s="200"/>
      <c r="AN1126" s="200"/>
      <c r="AO1126" s="200"/>
      <c r="AP1126" s="200"/>
      <c r="AQ1126" s="200"/>
      <c r="AR1126" s="200"/>
      <c r="AS1126" s="200"/>
      <c r="AT1126" s="200"/>
    </row>
    <row r="1127" spans="1:46" ht="16.5" customHeight="1">
      <c r="A1127" s="307"/>
      <c r="B1127" s="307"/>
      <c r="C1127" s="200"/>
      <c r="D1127" s="200"/>
      <c r="E1127" s="200"/>
      <c r="F1127" s="200"/>
      <c r="G1127" s="200"/>
      <c r="H1127" s="200"/>
      <c r="I1127" s="200"/>
      <c r="J1127" s="200"/>
      <c r="K1127" s="200"/>
      <c r="L1127" s="200"/>
      <c r="M1127" s="200"/>
      <c r="N1127" s="200"/>
      <c r="O1127" s="200"/>
      <c r="P1127" s="200"/>
      <c r="Q1127" s="353"/>
      <c r="R1127" s="353"/>
      <c r="S1127" s="200"/>
      <c r="T1127" s="353"/>
      <c r="U1127" s="353"/>
      <c r="V1127" s="353"/>
      <c r="W1127" s="432"/>
      <c r="X1127" s="200"/>
      <c r="Y1127" s="200"/>
      <c r="Z1127" s="200"/>
      <c r="AA1127" s="200"/>
      <c r="AB1127" s="200"/>
      <c r="AC1127" s="200"/>
      <c r="AD1127" s="200"/>
      <c r="AE1127" s="200"/>
      <c r="AF1127" s="200"/>
      <c r="AG1127" s="200"/>
      <c r="AH1127" s="200"/>
      <c r="AI1127" s="200"/>
      <c r="AJ1127" s="200"/>
      <c r="AK1127" s="200"/>
      <c r="AL1127" s="200"/>
      <c r="AM1127" s="200"/>
      <c r="AN1127" s="200"/>
      <c r="AO1127" s="200"/>
      <c r="AP1127" s="200"/>
      <c r="AQ1127" s="200"/>
      <c r="AR1127" s="200"/>
      <c r="AS1127" s="200"/>
      <c r="AT1127" s="200"/>
    </row>
    <row r="1128" spans="1:46" ht="16.5" customHeight="1">
      <c r="A1128" s="307"/>
      <c r="B1128" s="307"/>
      <c r="C1128" s="200"/>
      <c r="D1128" s="200"/>
      <c r="E1128" s="200"/>
      <c r="F1128" s="200"/>
      <c r="G1128" s="200"/>
      <c r="H1128" s="200"/>
      <c r="I1128" s="200"/>
      <c r="J1128" s="200"/>
      <c r="K1128" s="200"/>
      <c r="L1128" s="200"/>
      <c r="M1128" s="200"/>
      <c r="N1128" s="200"/>
      <c r="O1128" s="200"/>
      <c r="P1128" s="200"/>
      <c r="Q1128" s="353"/>
      <c r="R1128" s="353"/>
      <c r="S1128" s="200"/>
      <c r="T1128" s="353"/>
      <c r="U1128" s="353"/>
      <c r="V1128" s="353"/>
      <c r="W1128" s="432"/>
      <c r="X1128" s="200"/>
      <c r="Y1128" s="200"/>
      <c r="Z1128" s="200"/>
      <c r="AA1128" s="200"/>
      <c r="AB1128" s="200"/>
      <c r="AC1128" s="200"/>
      <c r="AD1128" s="200"/>
      <c r="AE1128" s="200"/>
      <c r="AF1128" s="200"/>
      <c r="AG1128" s="200"/>
      <c r="AH1128" s="200"/>
      <c r="AI1128" s="200"/>
      <c r="AJ1128" s="200"/>
      <c r="AK1128" s="200"/>
      <c r="AL1128" s="200"/>
      <c r="AM1128" s="200"/>
      <c r="AN1128" s="200"/>
      <c r="AO1128" s="200"/>
      <c r="AP1128" s="200"/>
      <c r="AQ1128" s="200"/>
      <c r="AR1128" s="200"/>
      <c r="AS1128" s="200"/>
      <c r="AT1128" s="200"/>
    </row>
    <row r="1129" spans="1:46" ht="16.5" customHeight="1">
      <c r="A1129" s="307"/>
      <c r="B1129" s="307"/>
      <c r="C1129" s="200"/>
      <c r="D1129" s="200"/>
      <c r="E1129" s="200"/>
      <c r="F1129" s="200"/>
      <c r="G1129" s="200"/>
      <c r="H1129" s="200"/>
      <c r="I1129" s="200"/>
      <c r="J1129" s="200"/>
      <c r="K1129" s="200"/>
      <c r="L1129" s="200"/>
      <c r="M1129" s="200"/>
      <c r="N1129" s="200"/>
      <c r="O1129" s="200"/>
      <c r="P1129" s="200"/>
      <c r="Q1129" s="353"/>
      <c r="R1129" s="353"/>
      <c r="S1129" s="200"/>
      <c r="T1129" s="353"/>
      <c r="U1129" s="353"/>
      <c r="V1129" s="353"/>
      <c r="W1129" s="432"/>
      <c r="X1129" s="200"/>
      <c r="Y1129" s="200"/>
      <c r="Z1129" s="200"/>
      <c r="AA1129" s="200"/>
      <c r="AB1129" s="200"/>
      <c r="AC1129" s="200"/>
      <c r="AD1129" s="200"/>
      <c r="AE1129" s="200"/>
      <c r="AF1129" s="200"/>
      <c r="AG1129" s="200"/>
      <c r="AH1129" s="200"/>
      <c r="AI1129" s="200"/>
      <c r="AJ1129" s="200"/>
      <c r="AK1129" s="200"/>
      <c r="AL1129" s="200"/>
      <c r="AM1129" s="200"/>
      <c r="AN1129" s="200"/>
      <c r="AO1129" s="200"/>
      <c r="AP1129" s="200"/>
      <c r="AQ1129" s="200"/>
      <c r="AR1129" s="200"/>
      <c r="AS1129" s="200"/>
      <c r="AT1129" s="200"/>
    </row>
    <row r="1130" spans="1:46" ht="16.5" customHeight="1">
      <c r="A1130" s="307"/>
      <c r="B1130" s="307"/>
      <c r="C1130" s="200"/>
      <c r="D1130" s="200"/>
      <c r="E1130" s="200"/>
      <c r="F1130" s="200"/>
      <c r="G1130" s="200"/>
      <c r="H1130" s="200"/>
      <c r="I1130" s="200"/>
      <c r="J1130" s="200"/>
      <c r="K1130" s="200"/>
      <c r="L1130" s="200"/>
      <c r="M1130" s="200"/>
      <c r="N1130" s="200"/>
      <c r="O1130" s="200"/>
      <c r="P1130" s="200"/>
      <c r="Q1130" s="353"/>
      <c r="R1130" s="353"/>
      <c r="S1130" s="200"/>
      <c r="T1130" s="353"/>
      <c r="U1130" s="353"/>
      <c r="V1130" s="353"/>
      <c r="W1130" s="432"/>
      <c r="X1130" s="200"/>
      <c r="Y1130" s="200"/>
      <c r="Z1130" s="200"/>
      <c r="AA1130" s="200"/>
      <c r="AB1130" s="200"/>
      <c r="AC1130" s="200"/>
      <c r="AD1130" s="200"/>
      <c r="AE1130" s="200"/>
      <c r="AF1130" s="200"/>
      <c r="AG1130" s="200"/>
      <c r="AH1130" s="200"/>
      <c r="AI1130" s="200"/>
      <c r="AJ1130" s="200"/>
      <c r="AK1130" s="200"/>
      <c r="AL1130" s="200"/>
      <c r="AM1130" s="200"/>
      <c r="AN1130" s="200"/>
      <c r="AO1130" s="200"/>
      <c r="AP1130" s="200"/>
      <c r="AQ1130" s="200"/>
      <c r="AR1130" s="200"/>
      <c r="AS1130" s="200"/>
      <c r="AT1130" s="200"/>
    </row>
    <row r="1131" spans="1:46" ht="16.5" customHeight="1">
      <c r="A1131" s="307"/>
      <c r="B1131" s="307"/>
      <c r="C1131" s="200"/>
      <c r="D1131" s="200"/>
      <c r="E1131" s="200"/>
      <c r="F1131" s="200"/>
      <c r="G1131" s="200"/>
      <c r="H1131" s="200"/>
      <c r="I1131" s="200"/>
      <c r="J1131" s="200"/>
      <c r="K1131" s="200"/>
      <c r="L1131" s="200"/>
      <c r="M1131" s="200"/>
      <c r="N1131" s="200"/>
      <c r="O1131" s="200"/>
      <c r="P1131" s="200"/>
      <c r="Q1131" s="353"/>
      <c r="R1131" s="353"/>
      <c r="S1131" s="200"/>
      <c r="T1131" s="353"/>
      <c r="U1131" s="353"/>
      <c r="V1131" s="353"/>
      <c r="W1131" s="432"/>
      <c r="X1131" s="200"/>
      <c r="Y1131" s="200"/>
      <c r="Z1131" s="200"/>
      <c r="AA1131" s="200"/>
      <c r="AB1131" s="200"/>
      <c r="AC1131" s="200"/>
      <c r="AD1131" s="200"/>
      <c r="AE1131" s="200"/>
      <c r="AF1131" s="200"/>
      <c r="AG1131" s="200"/>
      <c r="AH1131" s="200"/>
      <c r="AI1131" s="200"/>
      <c r="AJ1131" s="200"/>
      <c r="AK1131" s="200"/>
      <c r="AL1131" s="200"/>
      <c r="AM1131" s="200"/>
      <c r="AN1131" s="200"/>
      <c r="AO1131" s="200"/>
      <c r="AP1131" s="200"/>
      <c r="AQ1131" s="200"/>
      <c r="AR1131" s="200"/>
      <c r="AS1131" s="200"/>
      <c r="AT1131" s="200"/>
    </row>
    <row r="1132" spans="1:46" ht="16.5" customHeight="1">
      <c r="A1132" s="307"/>
      <c r="B1132" s="307"/>
      <c r="C1132" s="200"/>
      <c r="D1132" s="200"/>
      <c r="E1132" s="200"/>
      <c r="F1132" s="200"/>
      <c r="G1132" s="200"/>
      <c r="H1132" s="200"/>
      <c r="I1132" s="200"/>
      <c r="J1132" s="200"/>
      <c r="K1132" s="200"/>
      <c r="L1132" s="200"/>
      <c r="M1132" s="200"/>
      <c r="N1132" s="200"/>
      <c r="O1132" s="200"/>
      <c r="P1132" s="200"/>
      <c r="Q1132" s="353"/>
      <c r="R1132" s="353"/>
      <c r="S1132" s="200"/>
      <c r="T1132" s="353"/>
      <c r="U1132" s="353"/>
      <c r="V1132" s="353"/>
      <c r="W1132" s="432"/>
      <c r="X1132" s="200"/>
      <c r="Y1132" s="200"/>
      <c r="Z1132" s="200"/>
      <c r="AA1132" s="200"/>
      <c r="AB1132" s="200"/>
      <c r="AC1132" s="200"/>
      <c r="AD1132" s="200"/>
      <c r="AE1132" s="200"/>
      <c r="AF1132" s="200"/>
      <c r="AG1132" s="200"/>
      <c r="AH1132" s="200"/>
      <c r="AI1132" s="200"/>
      <c r="AJ1132" s="200"/>
      <c r="AK1132" s="200"/>
      <c r="AL1132" s="200"/>
      <c r="AM1132" s="200"/>
      <c r="AN1132" s="200"/>
      <c r="AO1132" s="200"/>
      <c r="AP1132" s="200"/>
      <c r="AQ1132" s="200"/>
      <c r="AR1132" s="200"/>
      <c r="AS1132" s="200"/>
      <c r="AT1132" s="200"/>
    </row>
    <row r="1133" spans="1:46" ht="16.5" customHeight="1">
      <c r="A1133" s="307"/>
      <c r="B1133" s="307"/>
      <c r="C1133" s="200"/>
      <c r="D1133" s="200"/>
      <c r="E1133" s="200"/>
      <c r="F1133" s="200"/>
      <c r="G1133" s="200"/>
      <c r="H1133" s="200"/>
      <c r="I1133" s="200"/>
      <c r="J1133" s="200"/>
      <c r="K1133" s="200"/>
      <c r="L1133" s="200"/>
      <c r="M1133" s="200"/>
      <c r="N1133" s="200"/>
      <c r="O1133" s="200"/>
      <c r="P1133" s="200"/>
      <c r="Q1133" s="353"/>
      <c r="R1133" s="353"/>
      <c r="S1133" s="200"/>
      <c r="T1133" s="353"/>
      <c r="U1133" s="353"/>
      <c r="V1133" s="353"/>
      <c r="W1133" s="432"/>
      <c r="X1133" s="200"/>
      <c r="Y1133" s="200"/>
      <c r="Z1133" s="200"/>
      <c r="AA1133" s="200"/>
      <c r="AB1133" s="200"/>
      <c r="AC1133" s="200"/>
      <c r="AD1133" s="200"/>
      <c r="AE1133" s="200"/>
      <c r="AF1133" s="200"/>
      <c r="AG1133" s="200"/>
      <c r="AH1133" s="200"/>
      <c r="AI1133" s="200"/>
      <c r="AJ1133" s="200"/>
      <c r="AK1133" s="200"/>
      <c r="AL1133" s="200"/>
      <c r="AM1133" s="200"/>
      <c r="AN1133" s="200"/>
      <c r="AO1133" s="200"/>
      <c r="AP1133" s="200"/>
      <c r="AQ1133" s="200"/>
      <c r="AR1133" s="200"/>
      <c r="AS1133" s="200"/>
      <c r="AT1133" s="200"/>
    </row>
    <row r="1134" spans="1:46" ht="16.5" customHeight="1">
      <c r="A1134" s="307"/>
      <c r="B1134" s="307"/>
      <c r="C1134" s="200"/>
      <c r="D1134" s="200"/>
      <c r="E1134" s="200"/>
      <c r="F1134" s="200"/>
      <c r="G1134" s="200"/>
      <c r="H1134" s="200"/>
      <c r="I1134" s="200"/>
      <c r="J1134" s="200"/>
      <c r="K1134" s="200"/>
      <c r="L1134" s="200"/>
      <c r="M1134" s="200"/>
      <c r="N1134" s="200"/>
      <c r="O1134" s="200"/>
      <c r="P1134" s="200"/>
      <c r="Q1134" s="353"/>
      <c r="R1134" s="353"/>
      <c r="S1134" s="200"/>
      <c r="T1134" s="353"/>
      <c r="U1134" s="353"/>
      <c r="V1134" s="353"/>
      <c r="W1134" s="432"/>
      <c r="X1134" s="200"/>
      <c r="Y1134" s="200"/>
      <c r="Z1134" s="200"/>
      <c r="AA1134" s="200"/>
      <c r="AB1134" s="200"/>
      <c r="AC1134" s="200"/>
      <c r="AD1134" s="200"/>
      <c r="AE1134" s="200"/>
      <c r="AF1134" s="200"/>
      <c r="AG1134" s="200"/>
      <c r="AH1134" s="200"/>
      <c r="AI1134" s="200"/>
      <c r="AJ1134" s="200"/>
      <c r="AK1134" s="200"/>
      <c r="AL1134" s="200"/>
      <c r="AM1134" s="200"/>
      <c r="AN1134" s="200"/>
      <c r="AO1134" s="200"/>
      <c r="AP1134" s="200"/>
      <c r="AQ1134" s="200"/>
      <c r="AR1134" s="200"/>
      <c r="AS1134" s="200"/>
      <c r="AT1134" s="200"/>
    </row>
    <row r="1135" spans="1:46" ht="16.5" customHeight="1">
      <c r="A1135" s="307"/>
      <c r="B1135" s="307"/>
      <c r="C1135" s="200"/>
      <c r="D1135" s="200"/>
      <c r="E1135" s="200"/>
      <c r="F1135" s="200"/>
      <c r="G1135" s="200"/>
      <c r="H1135" s="200"/>
      <c r="I1135" s="200"/>
      <c r="J1135" s="200"/>
      <c r="K1135" s="200"/>
      <c r="L1135" s="200"/>
      <c r="M1135" s="200"/>
      <c r="N1135" s="200"/>
      <c r="O1135" s="200"/>
      <c r="P1135" s="200"/>
      <c r="Q1135" s="353"/>
      <c r="R1135" s="353"/>
      <c r="S1135" s="200"/>
      <c r="T1135" s="353"/>
      <c r="U1135" s="353"/>
      <c r="V1135" s="353"/>
      <c r="W1135" s="432"/>
      <c r="X1135" s="200"/>
      <c r="Y1135" s="200"/>
      <c r="Z1135" s="200"/>
      <c r="AA1135" s="200"/>
      <c r="AB1135" s="200"/>
      <c r="AC1135" s="200"/>
      <c r="AD1135" s="200"/>
      <c r="AE1135" s="200"/>
      <c r="AF1135" s="200"/>
      <c r="AG1135" s="200"/>
      <c r="AH1135" s="200"/>
      <c r="AI1135" s="200"/>
      <c r="AJ1135" s="200"/>
      <c r="AK1135" s="200"/>
      <c r="AL1135" s="200"/>
      <c r="AM1135" s="200"/>
      <c r="AN1135" s="200"/>
      <c r="AO1135" s="200"/>
      <c r="AP1135" s="200"/>
      <c r="AQ1135" s="200"/>
      <c r="AR1135" s="200"/>
      <c r="AS1135" s="200"/>
      <c r="AT1135" s="200"/>
    </row>
    <row r="1136" spans="1:46" ht="16.5" customHeight="1">
      <c r="A1136" s="307"/>
      <c r="B1136" s="307"/>
      <c r="C1136" s="200"/>
      <c r="D1136" s="200"/>
      <c r="E1136" s="200"/>
      <c r="F1136" s="200"/>
      <c r="G1136" s="200"/>
      <c r="H1136" s="200"/>
      <c r="I1136" s="200"/>
      <c r="J1136" s="200"/>
      <c r="K1136" s="200"/>
      <c r="L1136" s="200"/>
      <c r="M1136" s="200"/>
      <c r="N1136" s="200"/>
      <c r="O1136" s="200"/>
      <c r="P1136" s="200"/>
      <c r="Q1136" s="353"/>
      <c r="R1136" s="353"/>
      <c r="S1136" s="200"/>
      <c r="T1136" s="353"/>
      <c r="U1136" s="353"/>
      <c r="V1136" s="353"/>
      <c r="W1136" s="432"/>
      <c r="X1136" s="200"/>
      <c r="Y1136" s="200"/>
      <c r="Z1136" s="200"/>
      <c r="AA1136" s="200"/>
      <c r="AB1136" s="200"/>
      <c r="AC1136" s="200"/>
      <c r="AD1136" s="200"/>
      <c r="AE1136" s="200"/>
      <c r="AF1136" s="200"/>
      <c r="AG1136" s="200"/>
      <c r="AH1136" s="200"/>
      <c r="AI1136" s="200"/>
      <c r="AJ1136" s="200"/>
      <c r="AK1136" s="200"/>
      <c r="AL1136" s="200"/>
      <c r="AM1136" s="200"/>
      <c r="AN1136" s="200"/>
      <c r="AO1136" s="200"/>
      <c r="AP1136" s="200"/>
      <c r="AQ1136" s="200"/>
      <c r="AR1136" s="200"/>
      <c r="AS1136" s="200"/>
      <c r="AT1136" s="200"/>
    </row>
    <row r="1137" spans="1:46" ht="16.5" customHeight="1">
      <c r="A1137" s="307"/>
      <c r="B1137" s="307"/>
      <c r="C1137" s="200"/>
      <c r="D1137" s="200"/>
      <c r="E1137" s="200"/>
      <c r="F1137" s="200"/>
      <c r="G1137" s="200"/>
      <c r="H1137" s="200"/>
      <c r="I1137" s="200"/>
      <c r="J1137" s="200"/>
      <c r="K1137" s="200"/>
      <c r="L1137" s="200"/>
      <c r="M1137" s="200"/>
      <c r="N1137" s="200"/>
      <c r="O1137" s="200"/>
      <c r="P1137" s="200"/>
      <c r="Q1137" s="353"/>
      <c r="R1137" s="353"/>
      <c r="S1137" s="200"/>
      <c r="T1137" s="353"/>
      <c r="U1137" s="353"/>
      <c r="V1137" s="353"/>
      <c r="W1137" s="432"/>
      <c r="X1137" s="200"/>
      <c r="Y1137" s="200"/>
      <c r="Z1137" s="200"/>
      <c r="AA1137" s="200"/>
      <c r="AB1137" s="200"/>
      <c r="AC1137" s="200"/>
      <c r="AD1137" s="200"/>
      <c r="AE1137" s="200"/>
      <c r="AF1137" s="200"/>
      <c r="AG1137" s="200"/>
      <c r="AH1137" s="200"/>
      <c r="AI1137" s="200"/>
      <c r="AJ1137" s="200"/>
      <c r="AK1137" s="200"/>
      <c r="AL1137" s="200"/>
      <c r="AM1137" s="200"/>
      <c r="AN1137" s="200"/>
      <c r="AO1137" s="200"/>
      <c r="AP1137" s="200"/>
      <c r="AQ1137" s="200"/>
      <c r="AR1137" s="200"/>
      <c r="AS1137" s="200"/>
      <c r="AT1137" s="200"/>
    </row>
    <row r="1138" spans="1:46" ht="16.5" customHeight="1">
      <c r="A1138" s="307"/>
      <c r="B1138" s="307"/>
      <c r="C1138" s="200"/>
      <c r="D1138" s="200"/>
      <c r="E1138" s="200"/>
      <c r="F1138" s="200"/>
      <c r="G1138" s="200"/>
      <c r="H1138" s="200"/>
      <c r="I1138" s="200"/>
      <c r="J1138" s="200"/>
      <c r="K1138" s="200"/>
      <c r="L1138" s="200"/>
      <c r="M1138" s="200"/>
      <c r="N1138" s="200"/>
      <c r="O1138" s="200"/>
      <c r="P1138" s="200"/>
      <c r="Q1138" s="353"/>
      <c r="R1138" s="353"/>
      <c r="S1138" s="200"/>
      <c r="T1138" s="353"/>
      <c r="U1138" s="353"/>
      <c r="V1138" s="353"/>
      <c r="W1138" s="432"/>
      <c r="X1138" s="200"/>
      <c r="Y1138" s="200"/>
      <c r="Z1138" s="200"/>
      <c r="AA1138" s="200"/>
      <c r="AB1138" s="200"/>
      <c r="AC1138" s="200"/>
      <c r="AD1138" s="200"/>
      <c r="AE1138" s="200"/>
      <c r="AF1138" s="200"/>
      <c r="AG1138" s="200"/>
      <c r="AH1138" s="200"/>
      <c r="AI1138" s="200"/>
      <c r="AJ1138" s="200"/>
      <c r="AK1138" s="200"/>
      <c r="AL1138" s="200"/>
      <c r="AM1138" s="200"/>
      <c r="AN1138" s="200"/>
      <c r="AO1138" s="200"/>
      <c r="AP1138" s="200"/>
      <c r="AQ1138" s="200"/>
      <c r="AR1138" s="200"/>
      <c r="AS1138" s="200"/>
      <c r="AT1138" s="200"/>
    </row>
    <row r="1139" spans="1:46" ht="16.5" customHeight="1">
      <c r="A1139" s="307"/>
      <c r="B1139" s="307"/>
      <c r="C1139" s="200"/>
      <c r="D1139" s="200"/>
      <c r="E1139" s="200"/>
      <c r="F1139" s="200"/>
      <c r="G1139" s="200"/>
      <c r="H1139" s="200"/>
      <c r="I1139" s="200"/>
      <c r="J1139" s="200"/>
      <c r="K1139" s="200"/>
      <c r="L1139" s="200"/>
      <c r="M1139" s="200"/>
      <c r="N1139" s="200"/>
      <c r="O1139" s="200"/>
      <c r="P1139" s="200"/>
      <c r="Q1139" s="353"/>
      <c r="R1139" s="353"/>
      <c r="S1139" s="200"/>
      <c r="T1139" s="353"/>
      <c r="U1139" s="353"/>
      <c r="V1139" s="353"/>
      <c r="W1139" s="432"/>
      <c r="X1139" s="200"/>
      <c r="Y1139" s="200"/>
      <c r="Z1139" s="200"/>
      <c r="AA1139" s="200"/>
      <c r="AB1139" s="200"/>
      <c r="AC1139" s="200"/>
      <c r="AD1139" s="200"/>
      <c r="AE1139" s="200"/>
      <c r="AF1139" s="200"/>
      <c r="AG1139" s="200"/>
      <c r="AH1139" s="200"/>
      <c r="AI1139" s="200"/>
      <c r="AJ1139" s="200"/>
      <c r="AK1139" s="200"/>
      <c r="AL1139" s="200"/>
      <c r="AM1139" s="200"/>
      <c r="AN1139" s="200"/>
      <c r="AO1139" s="200"/>
      <c r="AP1139" s="200"/>
      <c r="AQ1139" s="200"/>
      <c r="AR1139" s="200"/>
      <c r="AS1139" s="200"/>
      <c r="AT1139" s="200"/>
    </row>
    <row r="1140" spans="1:46" ht="16.5" customHeight="1">
      <c r="A1140" s="307"/>
      <c r="B1140" s="307"/>
      <c r="C1140" s="200"/>
      <c r="D1140" s="200"/>
      <c r="E1140" s="200"/>
      <c r="F1140" s="200"/>
      <c r="G1140" s="200"/>
      <c r="H1140" s="200"/>
      <c r="I1140" s="200"/>
      <c r="J1140" s="200"/>
      <c r="K1140" s="200"/>
      <c r="L1140" s="200"/>
      <c r="M1140" s="200"/>
      <c r="N1140" s="200"/>
      <c r="O1140" s="200"/>
      <c r="P1140" s="200"/>
      <c r="Q1140" s="353"/>
      <c r="R1140" s="353"/>
      <c r="S1140" s="200"/>
      <c r="T1140" s="353"/>
      <c r="U1140" s="353"/>
      <c r="V1140" s="353"/>
      <c r="W1140" s="432"/>
      <c r="X1140" s="200"/>
      <c r="Y1140" s="200"/>
      <c r="Z1140" s="200"/>
      <c r="AA1140" s="200"/>
      <c r="AB1140" s="200"/>
      <c r="AC1140" s="200"/>
      <c r="AD1140" s="200"/>
      <c r="AE1140" s="200"/>
      <c r="AF1140" s="200"/>
      <c r="AG1140" s="200"/>
      <c r="AH1140" s="200"/>
      <c r="AI1140" s="200"/>
      <c r="AJ1140" s="200"/>
      <c r="AK1140" s="200"/>
      <c r="AL1140" s="200"/>
      <c r="AM1140" s="200"/>
      <c r="AN1140" s="200"/>
      <c r="AO1140" s="200"/>
      <c r="AP1140" s="200"/>
      <c r="AQ1140" s="200"/>
      <c r="AR1140" s="200"/>
      <c r="AS1140" s="200"/>
      <c r="AT1140" s="200"/>
    </row>
    <row r="1141" spans="1:46" ht="16.5" customHeight="1">
      <c r="A1141" s="307"/>
      <c r="B1141" s="307"/>
      <c r="C1141" s="200"/>
      <c r="D1141" s="200"/>
      <c r="E1141" s="200"/>
      <c r="F1141" s="200"/>
      <c r="G1141" s="200"/>
      <c r="H1141" s="200"/>
      <c r="I1141" s="200"/>
      <c r="J1141" s="200"/>
      <c r="K1141" s="200"/>
      <c r="L1141" s="200"/>
      <c r="M1141" s="200"/>
      <c r="N1141" s="200"/>
      <c r="O1141" s="200"/>
      <c r="P1141" s="200"/>
      <c r="Q1141" s="353"/>
      <c r="R1141" s="353"/>
      <c r="S1141" s="200"/>
      <c r="T1141" s="353"/>
      <c r="U1141" s="353"/>
      <c r="V1141" s="353"/>
      <c r="W1141" s="432"/>
      <c r="X1141" s="200"/>
      <c r="Y1141" s="200"/>
      <c r="Z1141" s="200"/>
      <c r="AA1141" s="200"/>
      <c r="AB1141" s="200"/>
      <c r="AC1141" s="200"/>
      <c r="AD1141" s="200"/>
      <c r="AE1141" s="200"/>
      <c r="AF1141" s="200"/>
      <c r="AG1141" s="200"/>
      <c r="AH1141" s="200"/>
      <c r="AI1141" s="200"/>
      <c r="AJ1141" s="200"/>
      <c r="AK1141" s="200"/>
      <c r="AL1141" s="200"/>
      <c r="AM1141" s="200"/>
      <c r="AN1141" s="200"/>
      <c r="AO1141" s="200"/>
      <c r="AP1141" s="200"/>
      <c r="AQ1141" s="200"/>
      <c r="AR1141" s="200"/>
      <c r="AS1141" s="200"/>
      <c r="AT1141" s="200"/>
    </row>
    <row r="1142" spans="1:46" ht="16.5" customHeight="1">
      <c r="A1142" s="307"/>
      <c r="B1142" s="307"/>
      <c r="C1142" s="200"/>
      <c r="D1142" s="200"/>
      <c r="E1142" s="200"/>
      <c r="F1142" s="200"/>
      <c r="G1142" s="200"/>
      <c r="H1142" s="200"/>
      <c r="I1142" s="200"/>
      <c r="J1142" s="200"/>
      <c r="K1142" s="200"/>
      <c r="L1142" s="200"/>
      <c r="M1142" s="200"/>
      <c r="N1142" s="200"/>
      <c r="O1142" s="200"/>
      <c r="P1142" s="200"/>
      <c r="Q1142" s="353"/>
      <c r="R1142" s="353"/>
      <c r="S1142" s="200"/>
      <c r="T1142" s="353"/>
      <c r="U1142" s="353"/>
      <c r="V1142" s="353"/>
      <c r="W1142" s="432"/>
      <c r="X1142" s="200"/>
      <c r="Y1142" s="200"/>
      <c r="Z1142" s="200"/>
      <c r="AA1142" s="200"/>
      <c r="AB1142" s="200"/>
      <c r="AC1142" s="200"/>
      <c r="AD1142" s="200"/>
      <c r="AE1142" s="200"/>
      <c r="AF1142" s="200"/>
      <c r="AG1142" s="200"/>
      <c r="AH1142" s="200"/>
      <c r="AI1142" s="200"/>
      <c r="AJ1142" s="200"/>
      <c r="AK1142" s="200"/>
      <c r="AL1142" s="200"/>
      <c r="AM1142" s="200"/>
      <c r="AN1142" s="200"/>
      <c r="AO1142" s="200"/>
      <c r="AP1142" s="200"/>
      <c r="AQ1142" s="200"/>
      <c r="AR1142" s="200"/>
      <c r="AS1142" s="200"/>
      <c r="AT1142" s="200"/>
    </row>
    <row r="1143" spans="1:46" ht="16.5" customHeight="1">
      <c r="A1143" s="307"/>
      <c r="B1143" s="307"/>
      <c r="C1143" s="200"/>
      <c r="D1143" s="200"/>
      <c r="E1143" s="200"/>
      <c r="F1143" s="200"/>
      <c r="G1143" s="200"/>
      <c r="H1143" s="200"/>
      <c r="I1143" s="200"/>
      <c r="J1143" s="200"/>
      <c r="K1143" s="200"/>
      <c r="L1143" s="200"/>
      <c r="M1143" s="200"/>
      <c r="N1143" s="200"/>
      <c r="O1143" s="200"/>
      <c r="P1143" s="200"/>
      <c r="Q1143" s="353"/>
      <c r="R1143" s="353"/>
      <c r="S1143" s="200"/>
      <c r="T1143" s="353"/>
      <c r="U1143" s="353"/>
      <c r="V1143" s="353"/>
      <c r="W1143" s="432"/>
      <c r="X1143" s="200"/>
      <c r="Y1143" s="200"/>
      <c r="Z1143" s="200"/>
      <c r="AA1143" s="200"/>
      <c r="AB1143" s="200"/>
      <c r="AC1143" s="200"/>
      <c r="AD1143" s="200"/>
      <c r="AE1143" s="200"/>
      <c r="AF1143" s="200"/>
      <c r="AG1143" s="200"/>
      <c r="AH1143" s="200"/>
      <c r="AI1143" s="200"/>
      <c r="AJ1143" s="200"/>
      <c r="AK1143" s="200"/>
      <c r="AL1143" s="200"/>
      <c r="AM1143" s="200"/>
      <c r="AN1143" s="200"/>
      <c r="AO1143" s="200"/>
      <c r="AP1143" s="200"/>
      <c r="AQ1143" s="200"/>
      <c r="AR1143" s="200"/>
      <c r="AS1143" s="200"/>
      <c r="AT1143" s="200"/>
    </row>
    <row r="1144" spans="1:46" ht="16.5" customHeight="1">
      <c r="A1144" s="307"/>
      <c r="B1144" s="307"/>
      <c r="C1144" s="200"/>
      <c r="D1144" s="200"/>
      <c r="E1144" s="200"/>
      <c r="F1144" s="200"/>
      <c r="G1144" s="200"/>
      <c r="H1144" s="200"/>
      <c r="I1144" s="200"/>
      <c r="J1144" s="200"/>
      <c r="K1144" s="200"/>
      <c r="L1144" s="200"/>
      <c r="M1144" s="200"/>
      <c r="N1144" s="200"/>
      <c r="O1144" s="200"/>
      <c r="P1144" s="200"/>
      <c r="Q1144" s="353"/>
      <c r="R1144" s="353"/>
      <c r="S1144" s="200"/>
      <c r="T1144" s="353"/>
      <c r="U1144" s="353"/>
      <c r="V1144" s="353"/>
      <c r="W1144" s="432"/>
      <c r="X1144" s="200"/>
      <c r="Y1144" s="200"/>
      <c r="Z1144" s="200"/>
      <c r="AA1144" s="200"/>
      <c r="AB1144" s="200"/>
      <c r="AC1144" s="200"/>
      <c r="AD1144" s="200"/>
      <c r="AE1144" s="200"/>
      <c r="AF1144" s="200"/>
      <c r="AG1144" s="200"/>
      <c r="AH1144" s="200"/>
      <c r="AI1144" s="200"/>
      <c r="AJ1144" s="200"/>
      <c r="AK1144" s="200"/>
      <c r="AL1144" s="200"/>
      <c r="AM1144" s="200"/>
      <c r="AN1144" s="200"/>
      <c r="AO1144" s="200"/>
      <c r="AP1144" s="200"/>
      <c r="AQ1144" s="200"/>
      <c r="AR1144" s="200"/>
      <c r="AS1144" s="200"/>
      <c r="AT1144" s="200"/>
    </row>
    <row r="1145" spans="1:46" ht="16.5" customHeight="1">
      <c r="A1145" s="307"/>
      <c r="B1145" s="307"/>
      <c r="C1145" s="200"/>
      <c r="D1145" s="200"/>
      <c r="E1145" s="200"/>
      <c r="F1145" s="200"/>
      <c r="G1145" s="200"/>
      <c r="H1145" s="200"/>
      <c r="I1145" s="200"/>
      <c r="J1145" s="200"/>
      <c r="K1145" s="200"/>
      <c r="L1145" s="200"/>
      <c r="M1145" s="200"/>
      <c r="N1145" s="200"/>
      <c r="O1145" s="200"/>
      <c r="P1145" s="200"/>
      <c r="Q1145" s="353"/>
      <c r="R1145" s="353"/>
      <c r="S1145" s="200"/>
      <c r="T1145" s="353"/>
      <c r="U1145" s="353"/>
      <c r="V1145" s="353"/>
      <c r="W1145" s="432"/>
      <c r="X1145" s="200"/>
      <c r="Y1145" s="200"/>
      <c r="Z1145" s="200"/>
      <c r="AA1145" s="200"/>
      <c r="AB1145" s="200"/>
      <c r="AC1145" s="200"/>
      <c r="AD1145" s="200"/>
      <c r="AE1145" s="200"/>
      <c r="AF1145" s="200"/>
      <c r="AG1145" s="200"/>
      <c r="AH1145" s="200"/>
      <c r="AI1145" s="200"/>
      <c r="AJ1145" s="200"/>
      <c r="AK1145" s="200"/>
      <c r="AL1145" s="200"/>
      <c r="AM1145" s="200"/>
      <c r="AN1145" s="200"/>
      <c r="AO1145" s="200"/>
      <c r="AP1145" s="200"/>
      <c r="AQ1145" s="200"/>
      <c r="AR1145" s="200"/>
      <c r="AS1145" s="200"/>
      <c r="AT1145" s="200"/>
    </row>
    <row r="1146" spans="1:46" ht="16.5" customHeight="1">
      <c r="A1146" s="307"/>
      <c r="B1146" s="307"/>
      <c r="C1146" s="200"/>
      <c r="D1146" s="200"/>
      <c r="E1146" s="200"/>
      <c r="F1146" s="200"/>
      <c r="G1146" s="200"/>
      <c r="H1146" s="200"/>
      <c r="I1146" s="200"/>
      <c r="J1146" s="200"/>
      <c r="K1146" s="200"/>
      <c r="L1146" s="200"/>
      <c r="M1146" s="200"/>
      <c r="N1146" s="200"/>
      <c r="O1146" s="200"/>
      <c r="P1146" s="200"/>
      <c r="Q1146" s="353"/>
      <c r="R1146" s="353"/>
      <c r="S1146" s="200"/>
      <c r="T1146" s="353"/>
      <c r="U1146" s="353"/>
      <c r="V1146" s="353"/>
      <c r="W1146" s="432"/>
      <c r="X1146" s="200"/>
      <c r="Y1146" s="200"/>
      <c r="Z1146" s="200"/>
      <c r="AA1146" s="200"/>
      <c r="AB1146" s="200"/>
      <c r="AC1146" s="200"/>
      <c r="AD1146" s="200"/>
      <c r="AE1146" s="200"/>
      <c r="AF1146" s="200"/>
      <c r="AG1146" s="200"/>
      <c r="AH1146" s="200"/>
      <c r="AI1146" s="200"/>
      <c r="AJ1146" s="200"/>
      <c r="AK1146" s="200"/>
      <c r="AL1146" s="200"/>
      <c r="AM1146" s="200"/>
      <c r="AN1146" s="200"/>
      <c r="AO1146" s="200"/>
      <c r="AP1146" s="200"/>
      <c r="AQ1146" s="200"/>
      <c r="AR1146" s="200"/>
      <c r="AS1146" s="200"/>
      <c r="AT1146" s="200"/>
    </row>
    <row r="1147" spans="1:46" ht="16.5" customHeight="1">
      <c r="A1147" s="307"/>
      <c r="B1147" s="307"/>
      <c r="C1147" s="200"/>
      <c r="D1147" s="200"/>
      <c r="E1147" s="200"/>
      <c r="F1147" s="200"/>
      <c r="G1147" s="200"/>
      <c r="H1147" s="200"/>
      <c r="I1147" s="200"/>
      <c r="J1147" s="200"/>
      <c r="K1147" s="200"/>
      <c r="L1147" s="200"/>
      <c r="M1147" s="200"/>
      <c r="N1147" s="200"/>
      <c r="O1147" s="200"/>
      <c r="P1147" s="200"/>
      <c r="Q1147" s="353"/>
      <c r="R1147" s="353"/>
      <c r="S1147" s="200"/>
      <c r="T1147" s="353"/>
      <c r="U1147" s="353"/>
      <c r="V1147" s="353"/>
      <c r="W1147" s="432"/>
      <c r="X1147" s="200"/>
      <c r="Y1147" s="200"/>
      <c r="Z1147" s="200"/>
      <c r="AA1147" s="200"/>
      <c r="AB1147" s="200"/>
      <c r="AC1147" s="200"/>
      <c r="AD1147" s="200"/>
      <c r="AE1147" s="200"/>
      <c r="AF1147" s="200"/>
      <c r="AG1147" s="200"/>
      <c r="AH1147" s="200"/>
      <c r="AI1147" s="200"/>
      <c r="AJ1147" s="200"/>
      <c r="AK1147" s="200"/>
      <c r="AL1147" s="200"/>
      <c r="AM1147" s="200"/>
      <c r="AN1147" s="200"/>
      <c r="AO1147" s="200"/>
      <c r="AP1147" s="200"/>
      <c r="AQ1147" s="200"/>
      <c r="AR1147" s="200"/>
      <c r="AS1147" s="200"/>
      <c r="AT1147" s="200"/>
    </row>
    <row r="1148" spans="1:46" ht="16.5" customHeight="1">
      <c r="A1148" s="307"/>
      <c r="B1148" s="307"/>
      <c r="C1148" s="200"/>
      <c r="D1148" s="200"/>
      <c r="E1148" s="200"/>
      <c r="F1148" s="200"/>
      <c r="G1148" s="200"/>
      <c r="H1148" s="200"/>
      <c r="I1148" s="200"/>
      <c r="J1148" s="200"/>
      <c r="K1148" s="200"/>
      <c r="L1148" s="200"/>
      <c r="M1148" s="200"/>
      <c r="N1148" s="200"/>
      <c r="O1148" s="200"/>
      <c r="P1148" s="200"/>
      <c r="Q1148" s="353"/>
      <c r="R1148" s="353"/>
      <c r="S1148" s="200"/>
      <c r="T1148" s="353"/>
      <c r="U1148" s="353"/>
      <c r="V1148" s="353"/>
      <c r="W1148" s="432"/>
      <c r="X1148" s="200"/>
      <c r="Y1148" s="200"/>
      <c r="Z1148" s="200"/>
      <c r="AA1148" s="200"/>
      <c r="AB1148" s="200"/>
      <c r="AC1148" s="200"/>
      <c r="AD1148" s="200"/>
      <c r="AE1148" s="200"/>
      <c r="AF1148" s="200"/>
      <c r="AG1148" s="200"/>
      <c r="AH1148" s="200"/>
      <c r="AI1148" s="200"/>
      <c r="AJ1148" s="200"/>
      <c r="AK1148" s="200"/>
      <c r="AL1148" s="200"/>
      <c r="AM1148" s="200"/>
      <c r="AN1148" s="200"/>
      <c r="AO1148" s="200"/>
      <c r="AP1148" s="200"/>
      <c r="AQ1148" s="200"/>
      <c r="AR1148" s="200"/>
      <c r="AS1148" s="200"/>
      <c r="AT1148" s="200"/>
    </row>
    <row r="1149" spans="1:46" ht="16.5" customHeight="1">
      <c r="A1149" s="307"/>
      <c r="B1149" s="307"/>
      <c r="C1149" s="200"/>
      <c r="D1149" s="200"/>
      <c r="E1149" s="200"/>
      <c r="F1149" s="200"/>
      <c r="G1149" s="200"/>
      <c r="H1149" s="200"/>
      <c r="I1149" s="200"/>
      <c r="J1149" s="200"/>
      <c r="K1149" s="200"/>
      <c r="L1149" s="200"/>
      <c r="M1149" s="200"/>
      <c r="N1149" s="200"/>
      <c r="O1149" s="200"/>
      <c r="P1149" s="200"/>
      <c r="Q1149" s="353"/>
      <c r="R1149" s="353"/>
      <c r="S1149" s="200"/>
      <c r="T1149" s="353"/>
      <c r="U1149" s="353"/>
      <c r="V1149" s="353"/>
      <c r="W1149" s="432"/>
      <c r="X1149" s="200"/>
      <c r="Y1149" s="200"/>
      <c r="Z1149" s="200"/>
      <c r="AA1149" s="200"/>
      <c r="AB1149" s="200"/>
      <c r="AC1149" s="200"/>
      <c r="AD1149" s="200"/>
      <c r="AE1149" s="200"/>
      <c r="AF1149" s="200"/>
      <c r="AG1149" s="200"/>
      <c r="AH1149" s="200"/>
      <c r="AI1149" s="200"/>
      <c r="AJ1149" s="200"/>
      <c r="AK1149" s="200"/>
      <c r="AL1149" s="200"/>
      <c r="AM1149" s="200"/>
      <c r="AN1149" s="200"/>
      <c r="AO1149" s="200"/>
      <c r="AP1149" s="200"/>
      <c r="AQ1149" s="200"/>
      <c r="AR1149" s="200"/>
      <c r="AS1149" s="200"/>
      <c r="AT1149" s="200"/>
    </row>
    <row r="1150" spans="1:46" ht="16.5" customHeight="1">
      <c r="A1150" s="307"/>
      <c r="B1150" s="307"/>
      <c r="C1150" s="200"/>
      <c r="D1150" s="200"/>
      <c r="E1150" s="200"/>
      <c r="F1150" s="200"/>
      <c r="G1150" s="200"/>
      <c r="H1150" s="200"/>
      <c r="I1150" s="200"/>
      <c r="J1150" s="200"/>
      <c r="K1150" s="200"/>
      <c r="L1150" s="200"/>
      <c r="M1150" s="200"/>
      <c r="N1150" s="200"/>
      <c r="O1150" s="200"/>
      <c r="P1150" s="200"/>
      <c r="Q1150" s="353"/>
      <c r="R1150" s="353"/>
      <c r="S1150" s="200"/>
      <c r="T1150" s="353"/>
      <c r="U1150" s="353"/>
      <c r="V1150" s="353"/>
      <c r="W1150" s="432"/>
      <c r="X1150" s="200"/>
      <c r="Y1150" s="200"/>
      <c r="Z1150" s="200"/>
      <c r="AA1150" s="200"/>
      <c r="AB1150" s="200"/>
      <c r="AC1150" s="200"/>
      <c r="AD1150" s="200"/>
      <c r="AE1150" s="200"/>
      <c r="AF1150" s="200"/>
      <c r="AG1150" s="200"/>
      <c r="AH1150" s="200"/>
      <c r="AI1150" s="200"/>
      <c r="AJ1150" s="200"/>
      <c r="AK1150" s="200"/>
      <c r="AL1150" s="200"/>
      <c r="AM1150" s="200"/>
      <c r="AN1150" s="200"/>
      <c r="AO1150" s="200"/>
      <c r="AP1150" s="200"/>
      <c r="AQ1150" s="200"/>
      <c r="AR1150" s="200"/>
      <c r="AS1150" s="200"/>
      <c r="AT1150" s="200"/>
    </row>
    <row r="1151" spans="1:46" ht="16.5" customHeight="1">
      <c r="A1151" s="307"/>
      <c r="B1151" s="307"/>
      <c r="C1151" s="200"/>
      <c r="D1151" s="200"/>
      <c r="E1151" s="200"/>
      <c r="F1151" s="200"/>
      <c r="G1151" s="200"/>
      <c r="H1151" s="200"/>
      <c r="I1151" s="200"/>
      <c r="J1151" s="200"/>
      <c r="K1151" s="200"/>
      <c r="L1151" s="200"/>
      <c r="M1151" s="200"/>
      <c r="N1151" s="200"/>
      <c r="O1151" s="200"/>
      <c r="P1151" s="200"/>
      <c r="Q1151" s="353"/>
      <c r="R1151" s="353"/>
      <c r="S1151" s="200"/>
      <c r="T1151" s="353"/>
      <c r="U1151" s="353"/>
      <c r="V1151" s="353"/>
      <c r="W1151" s="432"/>
      <c r="X1151" s="200"/>
      <c r="Y1151" s="200"/>
      <c r="Z1151" s="200"/>
      <c r="AA1151" s="200"/>
      <c r="AB1151" s="200"/>
      <c r="AC1151" s="200"/>
      <c r="AD1151" s="200"/>
      <c r="AE1151" s="200"/>
      <c r="AF1151" s="200"/>
      <c r="AG1151" s="200"/>
      <c r="AH1151" s="200"/>
      <c r="AI1151" s="200"/>
      <c r="AJ1151" s="200"/>
      <c r="AK1151" s="200"/>
      <c r="AL1151" s="200"/>
      <c r="AM1151" s="200"/>
      <c r="AN1151" s="200"/>
      <c r="AO1151" s="200"/>
      <c r="AP1151" s="200"/>
      <c r="AQ1151" s="200"/>
      <c r="AR1151" s="200"/>
      <c r="AS1151" s="200"/>
      <c r="AT1151" s="200"/>
    </row>
    <row r="1152" spans="1:46" ht="16.5" customHeight="1">
      <c r="A1152" s="307"/>
      <c r="B1152" s="307"/>
      <c r="C1152" s="200"/>
      <c r="D1152" s="200"/>
      <c r="E1152" s="200"/>
      <c r="F1152" s="200"/>
      <c r="G1152" s="200"/>
      <c r="H1152" s="200"/>
      <c r="I1152" s="200"/>
      <c r="J1152" s="200"/>
      <c r="K1152" s="200"/>
      <c r="L1152" s="200"/>
      <c r="M1152" s="200"/>
      <c r="N1152" s="200"/>
      <c r="O1152" s="200"/>
      <c r="P1152" s="200"/>
      <c r="Q1152" s="353"/>
      <c r="R1152" s="353"/>
      <c r="S1152" s="200"/>
      <c r="T1152" s="353"/>
      <c r="U1152" s="353"/>
      <c r="V1152" s="353"/>
      <c r="W1152" s="432"/>
      <c r="X1152" s="200"/>
      <c r="Y1152" s="200"/>
      <c r="Z1152" s="200"/>
      <c r="AA1152" s="200"/>
      <c r="AB1152" s="200"/>
      <c r="AC1152" s="200"/>
      <c r="AD1152" s="200"/>
      <c r="AE1152" s="200"/>
      <c r="AF1152" s="200"/>
      <c r="AG1152" s="200"/>
      <c r="AH1152" s="200"/>
      <c r="AI1152" s="200"/>
      <c r="AJ1152" s="200"/>
      <c r="AK1152" s="200"/>
      <c r="AL1152" s="200"/>
      <c r="AM1152" s="200"/>
      <c r="AN1152" s="200"/>
      <c r="AO1152" s="200"/>
      <c r="AP1152" s="200"/>
      <c r="AQ1152" s="200"/>
      <c r="AR1152" s="200"/>
      <c r="AS1152" s="200"/>
      <c r="AT1152" s="200"/>
    </row>
    <row r="1153" spans="1:46" ht="16.5" customHeight="1">
      <c r="A1153" s="307"/>
      <c r="B1153" s="307"/>
      <c r="C1153" s="200"/>
      <c r="D1153" s="200"/>
      <c r="E1153" s="200"/>
      <c r="F1153" s="200"/>
      <c r="G1153" s="200"/>
      <c r="H1153" s="200"/>
      <c r="I1153" s="200"/>
      <c r="J1153" s="200"/>
      <c r="K1153" s="200"/>
      <c r="L1153" s="200"/>
      <c r="M1153" s="200"/>
      <c r="N1153" s="200"/>
      <c r="O1153" s="200"/>
      <c r="P1153" s="200"/>
      <c r="Q1153" s="353"/>
      <c r="R1153" s="353"/>
      <c r="S1153" s="200"/>
      <c r="T1153" s="353"/>
      <c r="U1153" s="353"/>
      <c r="V1153" s="353"/>
      <c r="W1153" s="432"/>
      <c r="X1153" s="200"/>
      <c r="Y1153" s="200"/>
      <c r="Z1153" s="200"/>
      <c r="AA1153" s="200"/>
      <c r="AB1153" s="200"/>
      <c r="AC1153" s="200"/>
      <c r="AD1153" s="200"/>
      <c r="AE1153" s="200"/>
      <c r="AF1153" s="200"/>
      <c r="AG1153" s="200"/>
      <c r="AH1153" s="200"/>
      <c r="AI1153" s="200"/>
      <c r="AJ1153" s="200"/>
      <c r="AK1153" s="200"/>
      <c r="AL1153" s="200"/>
      <c r="AM1153" s="200"/>
      <c r="AN1153" s="200"/>
      <c r="AO1153" s="200"/>
      <c r="AP1153" s="200"/>
      <c r="AQ1153" s="200"/>
      <c r="AR1153" s="200"/>
      <c r="AS1153" s="200"/>
      <c r="AT1153" s="200"/>
    </row>
    <row r="1154" spans="1:46" ht="16.5" customHeight="1">
      <c r="A1154" s="307"/>
      <c r="B1154" s="307"/>
      <c r="C1154" s="200"/>
      <c r="D1154" s="200"/>
      <c r="E1154" s="200"/>
      <c r="F1154" s="200"/>
      <c r="G1154" s="200"/>
      <c r="H1154" s="200"/>
      <c r="I1154" s="200"/>
      <c r="J1154" s="200"/>
      <c r="K1154" s="200"/>
      <c r="L1154" s="200"/>
      <c r="M1154" s="200"/>
      <c r="N1154" s="200"/>
      <c r="O1154" s="200"/>
      <c r="P1154" s="200"/>
      <c r="Q1154" s="353"/>
      <c r="R1154" s="353"/>
      <c r="S1154" s="200"/>
      <c r="T1154" s="353"/>
      <c r="U1154" s="353"/>
      <c r="V1154" s="353"/>
      <c r="W1154" s="432"/>
      <c r="X1154" s="200"/>
      <c r="Y1154" s="200"/>
      <c r="Z1154" s="200"/>
      <c r="AA1154" s="200"/>
      <c r="AB1154" s="200"/>
      <c r="AC1154" s="200"/>
      <c r="AD1154" s="200"/>
      <c r="AE1154" s="200"/>
      <c r="AF1154" s="200"/>
      <c r="AG1154" s="200"/>
      <c r="AH1154" s="200"/>
      <c r="AI1154" s="200"/>
      <c r="AJ1154" s="200"/>
      <c r="AK1154" s="200"/>
      <c r="AL1154" s="200"/>
      <c r="AM1154" s="200"/>
      <c r="AN1154" s="200"/>
      <c r="AO1154" s="200"/>
      <c r="AP1154" s="200"/>
      <c r="AQ1154" s="200"/>
      <c r="AR1154" s="200"/>
      <c r="AS1154" s="200"/>
      <c r="AT1154" s="200"/>
    </row>
    <row r="1155" spans="1:46" ht="16.5" customHeight="1">
      <c r="A1155" s="307"/>
      <c r="B1155" s="307"/>
      <c r="C1155" s="200"/>
      <c r="D1155" s="200"/>
      <c r="E1155" s="200"/>
      <c r="F1155" s="200"/>
      <c r="G1155" s="200"/>
      <c r="H1155" s="200"/>
      <c r="I1155" s="200"/>
      <c r="J1155" s="200"/>
      <c r="K1155" s="200"/>
      <c r="L1155" s="200"/>
      <c r="M1155" s="200"/>
      <c r="N1155" s="200"/>
      <c r="O1155" s="200"/>
      <c r="P1155" s="200"/>
      <c r="Q1155" s="353"/>
      <c r="R1155" s="353"/>
      <c r="S1155" s="200"/>
      <c r="T1155" s="353"/>
      <c r="U1155" s="353"/>
      <c r="V1155" s="353"/>
      <c r="W1155" s="432"/>
      <c r="X1155" s="200"/>
      <c r="Y1155" s="200"/>
      <c r="Z1155" s="200"/>
      <c r="AA1155" s="200"/>
      <c r="AB1155" s="200"/>
      <c r="AC1155" s="200"/>
      <c r="AD1155" s="200"/>
      <c r="AE1155" s="200"/>
      <c r="AF1155" s="200"/>
      <c r="AG1155" s="200"/>
      <c r="AH1155" s="200"/>
      <c r="AI1155" s="200"/>
      <c r="AJ1155" s="200"/>
      <c r="AK1155" s="200"/>
      <c r="AL1155" s="200"/>
      <c r="AM1155" s="200"/>
      <c r="AN1155" s="200"/>
      <c r="AO1155" s="200"/>
      <c r="AP1155" s="200"/>
      <c r="AQ1155" s="200"/>
      <c r="AR1155" s="200"/>
      <c r="AS1155" s="200"/>
      <c r="AT1155" s="200"/>
    </row>
    <row r="1156" spans="1:46" ht="16.5" customHeight="1">
      <c r="A1156" s="307"/>
      <c r="B1156" s="307"/>
      <c r="C1156" s="200"/>
      <c r="D1156" s="200"/>
      <c r="E1156" s="200"/>
      <c r="F1156" s="200"/>
      <c r="G1156" s="200"/>
      <c r="H1156" s="200"/>
      <c r="I1156" s="200"/>
      <c r="J1156" s="200"/>
      <c r="K1156" s="200"/>
      <c r="L1156" s="200"/>
      <c r="M1156" s="200"/>
      <c r="N1156" s="200"/>
      <c r="O1156" s="200"/>
      <c r="P1156" s="200"/>
      <c r="Q1156" s="353"/>
      <c r="R1156" s="353"/>
      <c r="S1156" s="200"/>
      <c r="T1156" s="353"/>
      <c r="U1156" s="353"/>
      <c r="V1156" s="353"/>
      <c r="W1156" s="432"/>
      <c r="X1156" s="200"/>
      <c r="Y1156" s="200"/>
      <c r="Z1156" s="200"/>
      <c r="AA1156" s="200"/>
      <c r="AB1156" s="200"/>
      <c r="AC1156" s="200"/>
      <c r="AD1156" s="200"/>
      <c r="AE1156" s="200"/>
      <c r="AF1156" s="200"/>
      <c r="AG1156" s="200"/>
      <c r="AH1156" s="200"/>
      <c r="AI1156" s="200"/>
      <c r="AJ1156" s="200"/>
      <c r="AK1156" s="200"/>
      <c r="AL1156" s="200"/>
      <c r="AM1156" s="200"/>
      <c r="AN1156" s="200"/>
      <c r="AO1156" s="200"/>
      <c r="AP1156" s="200"/>
      <c r="AQ1156" s="200"/>
      <c r="AR1156" s="200"/>
      <c r="AS1156" s="200"/>
      <c r="AT1156" s="200"/>
    </row>
    <row r="1157" spans="1:46" ht="16.5" customHeight="1">
      <c r="A1157" s="307"/>
      <c r="B1157" s="307"/>
      <c r="C1157" s="200"/>
      <c r="D1157" s="200"/>
      <c r="E1157" s="200"/>
      <c r="F1157" s="200"/>
      <c r="G1157" s="200"/>
      <c r="H1157" s="200"/>
      <c r="I1157" s="200"/>
      <c r="J1157" s="200"/>
      <c r="K1157" s="200"/>
      <c r="L1157" s="200"/>
      <c r="M1157" s="200"/>
      <c r="N1157" s="200"/>
      <c r="O1157" s="200"/>
      <c r="P1157" s="200"/>
      <c r="Q1157" s="353"/>
      <c r="R1157" s="353"/>
      <c r="S1157" s="200"/>
      <c r="T1157" s="353"/>
      <c r="U1157" s="353"/>
      <c r="V1157" s="353"/>
      <c r="W1157" s="432"/>
      <c r="X1157" s="200"/>
      <c r="Y1157" s="200"/>
      <c r="Z1157" s="200"/>
      <c r="AA1157" s="200"/>
      <c r="AB1157" s="200"/>
      <c r="AC1157" s="200"/>
      <c r="AD1157" s="200"/>
      <c r="AE1157" s="200"/>
      <c r="AF1157" s="200"/>
      <c r="AG1157" s="200"/>
      <c r="AH1157" s="200"/>
      <c r="AI1157" s="200"/>
      <c r="AJ1157" s="200"/>
      <c r="AK1157" s="200"/>
      <c r="AL1157" s="200"/>
      <c r="AM1157" s="200"/>
      <c r="AN1157" s="200"/>
      <c r="AO1157" s="200"/>
      <c r="AP1157" s="200"/>
      <c r="AQ1157" s="200"/>
      <c r="AR1157" s="200"/>
      <c r="AS1157" s="200"/>
      <c r="AT1157" s="200"/>
    </row>
    <row r="1158" spans="1:46" ht="16.5" customHeight="1">
      <c r="A1158" s="307"/>
      <c r="B1158" s="307"/>
      <c r="C1158" s="200"/>
      <c r="D1158" s="200"/>
      <c r="E1158" s="200"/>
      <c r="F1158" s="200"/>
      <c r="G1158" s="200"/>
      <c r="H1158" s="200"/>
      <c r="I1158" s="200"/>
      <c r="J1158" s="200"/>
      <c r="K1158" s="200"/>
      <c r="L1158" s="200"/>
      <c r="M1158" s="200"/>
      <c r="N1158" s="200"/>
      <c r="O1158" s="200"/>
      <c r="P1158" s="200"/>
      <c r="Q1158" s="353"/>
      <c r="R1158" s="353"/>
      <c r="S1158" s="200"/>
      <c r="T1158" s="353"/>
      <c r="U1158" s="353"/>
      <c r="V1158" s="353"/>
      <c r="W1158" s="432"/>
      <c r="X1158" s="200"/>
      <c r="Y1158" s="200"/>
      <c r="Z1158" s="200"/>
      <c r="AA1158" s="200"/>
      <c r="AB1158" s="200"/>
      <c r="AC1158" s="200"/>
      <c r="AD1158" s="200"/>
      <c r="AE1158" s="200"/>
      <c r="AF1158" s="200"/>
      <c r="AG1158" s="200"/>
      <c r="AH1158" s="200"/>
      <c r="AI1158" s="200"/>
      <c r="AJ1158" s="200"/>
      <c r="AK1158" s="200"/>
      <c r="AL1158" s="200"/>
      <c r="AM1158" s="200"/>
      <c r="AN1158" s="200"/>
      <c r="AO1158" s="200"/>
      <c r="AP1158" s="200"/>
      <c r="AQ1158" s="200"/>
      <c r="AR1158" s="200"/>
      <c r="AS1158" s="200"/>
      <c r="AT1158" s="200"/>
    </row>
    <row r="1159" spans="1:46" ht="16.5" customHeight="1">
      <c r="A1159" s="307"/>
      <c r="B1159" s="307"/>
      <c r="C1159" s="200"/>
      <c r="D1159" s="200"/>
      <c r="E1159" s="200"/>
      <c r="F1159" s="200"/>
      <c r="G1159" s="200"/>
      <c r="H1159" s="200"/>
      <c r="I1159" s="200"/>
      <c r="J1159" s="200"/>
      <c r="K1159" s="200"/>
      <c r="L1159" s="200"/>
      <c r="M1159" s="200"/>
      <c r="N1159" s="200"/>
      <c r="O1159" s="200"/>
      <c r="P1159" s="200"/>
      <c r="Q1159" s="353"/>
      <c r="R1159" s="353"/>
      <c r="S1159" s="200"/>
      <c r="T1159" s="353"/>
      <c r="U1159" s="353"/>
      <c r="V1159" s="353"/>
      <c r="W1159" s="432"/>
      <c r="X1159" s="200"/>
      <c r="Y1159" s="200"/>
      <c r="Z1159" s="200"/>
      <c r="AA1159" s="200"/>
      <c r="AB1159" s="200"/>
      <c r="AC1159" s="200"/>
      <c r="AD1159" s="200"/>
      <c r="AE1159" s="200"/>
      <c r="AF1159" s="200"/>
      <c r="AG1159" s="200"/>
      <c r="AH1159" s="200"/>
      <c r="AI1159" s="200"/>
      <c r="AJ1159" s="200"/>
      <c r="AK1159" s="200"/>
      <c r="AL1159" s="200"/>
      <c r="AM1159" s="200"/>
      <c r="AN1159" s="200"/>
      <c r="AO1159" s="200"/>
      <c r="AP1159" s="200"/>
      <c r="AQ1159" s="200"/>
      <c r="AR1159" s="200"/>
      <c r="AS1159" s="200"/>
      <c r="AT1159" s="200"/>
    </row>
    <row r="1160" spans="1:46" ht="16.5" customHeight="1">
      <c r="A1160" s="307"/>
      <c r="B1160" s="307"/>
      <c r="C1160" s="200"/>
      <c r="D1160" s="200"/>
      <c r="E1160" s="200"/>
      <c r="F1160" s="200"/>
      <c r="G1160" s="200"/>
      <c r="H1160" s="200"/>
      <c r="I1160" s="200"/>
      <c r="J1160" s="200"/>
      <c r="K1160" s="200"/>
      <c r="L1160" s="200"/>
      <c r="M1160" s="200"/>
      <c r="N1160" s="200"/>
      <c r="O1160" s="200"/>
      <c r="P1160" s="200"/>
      <c r="Q1160" s="353"/>
      <c r="R1160" s="353"/>
      <c r="S1160" s="200"/>
      <c r="T1160" s="353"/>
      <c r="U1160" s="353"/>
      <c r="V1160" s="353"/>
      <c r="W1160" s="432"/>
      <c r="X1160" s="200"/>
      <c r="Y1160" s="200"/>
      <c r="Z1160" s="200"/>
      <c r="AA1160" s="200"/>
      <c r="AB1160" s="200"/>
      <c r="AC1160" s="200"/>
      <c r="AD1160" s="200"/>
      <c r="AE1160" s="200"/>
      <c r="AF1160" s="200"/>
      <c r="AG1160" s="200"/>
      <c r="AH1160" s="200"/>
      <c r="AI1160" s="200"/>
      <c r="AJ1160" s="200"/>
      <c r="AK1160" s="200"/>
      <c r="AL1160" s="200"/>
      <c r="AM1160" s="200"/>
      <c r="AN1160" s="200"/>
      <c r="AO1160" s="200"/>
      <c r="AP1160" s="200"/>
      <c r="AQ1160" s="200"/>
      <c r="AR1160" s="200"/>
      <c r="AS1160" s="200"/>
      <c r="AT1160" s="200"/>
    </row>
    <row r="1161" spans="1:46" ht="16.5" customHeight="1">
      <c r="A1161" s="307"/>
      <c r="B1161" s="307"/>
      <c r="C1161" s="200"/>
      <c r="D1161" s="200"/>
      <c r="E1161" s="200"/>
      <c r="F1161" s="200"/>
      <c r="G1161" s="200"/>
      <c r="H1161" s="200"/>
      <c r="I1161" s="200"/>
      <c r="J1161" s="200"/>
      <c r="K1161" s="200"/>
      <c r="L1161" s="200"/>
      <c r="M1161" s="200"/>
      <c r="N1161" s="200"/>
      <c r="O1161" s="200"/>
      <c r="P1161" s="200"/>
      <c r="Q1161" s="353"/>
      <c r="R1161" s="353"/>
      <c r="S1161" s="200"/>
      <c r="T1161" s="353"/>
      <c r="U1161" s="353"/>
      <c r="V1161" s="353"/>
      <c r="W1161" s="432"/>
      <c r="X1161" s="200"/>
      <c r="Y1161" s="200"/>
      <c r="Z1161" s="200"/>
      <c r="AA1161" s="200"/>
      <c r="AB1161" s="200"/>
      <c r="AC1161" s="200"/>
      <c r="AD1161" s="200"/>
      <c r="AE1161" s="200"/>
      <c r="AF1161" s="200"/>
      <c r="AG1161" s="200"/>
      <c r="AH1161" s="200"/>
      <c r="AI1161" s="200"/>
      <c r="AJ1161" s="200"/>
      <c r="AK1161" s="200"/>
      <c r="AL1161" s="200"/>
      <c r="AM1161" s="200"/>
      <c r="AN1161" s="200"/>
      <c r="AO1161" s="200"/>
      <c r="AP1161" s="200"/>
      <c r="AQ1161" s="200"/>
      <c r="AR1161" s="200"/>
      <c r="AS1161" s="200"/>
      <c r="AT1161" s="200"/>
    </row>
    <row r="1162" spans="1:46" ht="16.5" customHeight="1">
      <c r="A1162" s="307"/>
      <c r="B1162" s="307"/>
      <c r="C1162" s="200"/>
      <c r="D1162" s="200"/>
      <c r="E1162" s="200"/>
      <c r="F1162" s="200"/>
      <c r="G1162" s="200"/>
      <c r="H1162" s="200"/>
      <c r="I1162" s="200"/>
      <c r="J1162" s="200"/>
      <c r="K1162" s="200"/>
      <c r="L1162" s="200"/>
      <c r="M1162" s="200"/>
      <c r="N1162" s="200"/>
      <c r="O1162" s="200"/>
      <c r="P1162" s="200"/>
      <c r="Q1162" s="353"/>
      <c r="R1162" s="353"/>
      <c r="S1162" s="200"/>
      <c r="T1162" s="353"/>
      <c r="U1162" s="353"/>
      <c r="V1162" s="353"/>
      <c r="W1162" s="432"/>
      <c r="X1162" s="200"/>
      <c r="Y1162" s="200"/>
      <c r="Z1162" s="200"/>
      <c r="AA1162" s="200"/>
      <c r="AB1162" s="200"/>
      <c r="AC1162" s="200"/>
      <c r="AD1162" s="200"/>
      <c r="AE1162" s="200"/>
      <c r="AF1162" s="200"/>
      <c r="AG1162" s="200"/>
      <c r="AH1162" s="200"/>
      <c r="AI1162" s="200"/>
      <c r="AJ1162" s="200"/>
      <c r="AK1162" s="200"/>
      <c r="AL1162" s="200"/>
      <c r="AM1162" s="200"/>
      <c r="AN1162" s="200"/>
      <c r="AO1162" s="200"/>
      <c r="AP1162" s="200"/>
      <c r="AQ1162" s="200"/>
      <c r="AR1162" s="200"/>
      <c r="AS1162" s="200"/>
      <c r="AT1162" s="200"/>
    </row>
    <row r="1163" spans="1:46" ht="16.5" customHeight="1">
      <c r="A1163" s="307"/>
      <c r="B1163" s="307"/>
      <c r="C1163" s="200"/>
      <c r="D1163" s="200"/>
      <c r="E1163" s="200"/>
      <c r="F1163" s="200"/>
      <c r="G1163" s="200"/>
      <c r="H1163" s="200"/>
      <c r="I1163" s="200"/>
      <c r="J1163" s="200"/>
      <c r="K1163" s="200"/>
      <c r="L1163" s="200"/>
      <c r="M1163" s="200"/>
      <c r="N1163" s="200"/>
      <c r="O1163" s="200"/>
      <c r="P1163" s="200"/>
      <c r="Q1163" s="353"/>
      <c r="R1163" s="353"/>
      <c r="S1163" s="200"/>
      <c r="T1163" s="353"/>
      <c r="U1163" s="353"/>
      <c r="V1163" s="353"/>
      <c r="W1163" s="432"/>
      <c r="X1163" s="200"/>
      <c r="Y1163" s="200"/>
      <c r="Z1163" s="200"/>
      <c r="AA1163" s="200"/>
      <c r="AB1163" s="200"/>
      <c r="AC1163" s="200"/>
      <c r="AD1163" s="200"/>
      <c r="AE1163" s="200"/>
      <c r="AF1163" s="200"/>
      <c r="AG1163" s="200"/>
      <c r="AH1163" s="200"/>
      <c r="AI1163" s="200"/>
      <c r="AJ1163" s="200"/>
      <c r="AK1163" s="200"/>
      <c r="AL1163" s="200"/>
      <c r="AM1163" s="200"/>
      <c r="AN1163" s="200"/>
      <c r="AO1163" s="200"/>
      <c r="AP1163" s="200"/>
      <c r="AQ1163" s="200"/>
      <c r="AR1163" s="200"/>
      <c r="AS1163" s="200"/>
      <c r="AT1163" s="200"/>
    </row>
    <row r="1164" spans="1:46" ht="16.5" customHeight="1">
      <c r="A1164" s="307"/>
      <c r="B1164" s="307"/>
      <c r="C1164" s="200"/>
      <c r="D1164" s="200"/>
      <c r="E1164" s="200"/>
      <c r="F1164" s="200"/>
      <c r="G1164" s="200"/>
      <c r="H1164" s="200"/>
      <c r="I1164" s="200"/>
      <c r="J1164" s="200"/>
      <c r="K1164" s="200"/>
      <c r="L1164" s="200"/>
      <c r="M1164" s="200"/>
      <c r="N1164" s="200"/>
      <c r="O1164" s="200"/>
      <c r="P1164" s="200"/>
      <c r="Q1164" s="353"/>
      <c r="R1164" s="353"/>
      <c r="S1164" s="200"/>
      <c r="T1164" s="353"/>
      <c r="U1164" s="353"/>
      <c r="V1164" s="353"/>
      <c r="W1164" s="432"/>
      <c r="X1164" s="200"/>
      <c r="Y1164" s="200"/>
      <c r="Z1164" s="200"/>
      <c r="AA1164" s="200"/>
      <c r="AB1164" s="200"/>
      <c r="AC1164" s="200"/>
      <c r="AD1164" s="200"/>
      <c r="AE1164" s="200"/>
      <c r="AF1164" s="200"/>
      <c r="AG1164" s="200"/>
      <c r="AH1164" s="200"/>
      <c r="AI1164" s="200"/>
      <c r="AJ1164" s="200"/>
      <c r="AK1164" s="200"/>
      <c r="AL1164" s="200"/>
      <c r="AM1164" s="200"/>
      <c r="AN1164" s="200"/>
      <c r="AO1164" s="200"/>
      <c r="AP1164" s="200"/>
      <c r="AQ1164" s="200"/>
      <c r="AR1164" s="200"/>
      <c r="AS1164" s="200"/>
      <c r="AT1164" s="200"/>
    </row>
    <row r="1165" spans="1:46" ht="16.5" customHeight="1">
      <c r="A1165" s="307"/>
      <c r="B1165" s="307"/>
      <c r="C1165" s="200"/>
      <c r="D1165" s="200"/>
      <c r="E1165" s="200"/>
      <c r="F1165" s="200"/>
      <c r="G1165" s="200"/>
      <c r="H1165" s="200"/>
      <c r="I1165" s="200"/>
      <c r="J1165" s="200"/>
      <c r="K1165" s="200"/>
      <c r="L1165" s="200"/>
      <c r="M1165" s="200"/>
      <c r="N1165" s="200"/>
      <c r="O1165" s="200"/>
      <c r="P1165" s="200"/>
      <c r="Q1165" s="353"/>
      <c r="R1165" s="353"/>
      <c r="S1165" s="200"/>
      <c r="T1165" s="353"/>
      <c r="U1165" s="353"/>
      <c r="V1165" s="353"/>
      <c r="W1165" s="432"/>
      <c r="X1165" s="200"/>
      <c r="Y1165" s="200"/>
      <c r="Z1165" s="200"/>
      <c r="AA1165" s="200"/>
      <c r="AB1165" s="200"/>
      <c r="AC1165" s="200"/>
      <c r="AD1165" s="200"/>
      <c r="AE1165" s="200"/>
      <c r="AF1165" s="200"/>
      <c r="AG1165" s="200"/>
      <c r="AH1165" s="200"/>
      <c r="AI1165" s="200"/>
      <c r="AJ1165" s="200"/>
      <c r="AK1165" s="200"/>
      <c r="AL1165" s="200"/>
      <c r="AM1165" s="200"/>
      <c r="AN1165" s="200"/>
      <c r="AO1165" s="200"/>
      <c r="AP1165" s="200"/>
      <c r="AQ1165" s="200"/>
      <c r="AR1165" s="200"/>
      <c r="AS1165" s="200"/>
      <c r="AT1165" s="200"/>
    </row>
    <row r="1166" spans="1:46" ht="16.5" customHeight="1">
      <c r="A1166" s="307"/>
      <c r="B1166" s="307"/>
      <c r="C1166" s="200"/>
      <c r="D1166" s="200"/>
      <c r="E1166" s="200"/>
      <c r="F1166" s="200"/>
      <c r="G1166" s="200"/>
      <c r="H1166" s="200"/>
      <c r="I1166" s="200"/>
      <c r="J1166" s="200"/>
      <c r="K1166" s="200"/>
      <c r="L1166" s="200"/>
      <c r="M1166" s="200"/>
      <c r="N1166" s="200"/>
      <c r="O1166" s="200"/>
      <c r="P1166" s="200"/>
      <c r="Q1166" s="353"/>
      <c r="R1166" s="353"/>
      <c r="S1166" s="200"/>
      <c r="T1166" s="353"/>
      <c r="U1166" s="353"/>
      <c r="V1166" s="353"/>
      <c r="W1166" s="432"/>
      <c r="X1166" s="200"/>
      <c r="Y1166" s="200"/>
      <c r="Z1166" s="200"/>
      <c r="AA1166" s="200"/>
      <c r="AB1166" s="200"/>
      <c r="AC1166" s="200"/>
      <c r="AD1166" s="200"/>
      <c r="AE1166" s="200"/>
      <c r="AF1166" s="200"/>
      <c r="AG1166" s="200"/>
      <c r="AH1166" s="200"/>
      <c r="AI1166" s="200"/>
      <c r="AJ1166" s="200"/>
      <c r="AK1166" s="200"/>
      <c r="AL1166" s="200"/>
      <c r="AM1166" s="200"/>
      <c r="AN1166" s="200"/>
      <c r="AO1166" s="200"/>
      <c r="AP1166" s="200"/>
      <c r="AQ1166" s="200"/>
      <c r="AR1166" s="200"/>
      <c r="AS1166" s="200"/>
      <c r="AT1166" s="200"/>
    </row>
    <row r="1167" spans="1:46" ht="16.5" customHeight="1">
      <c r="A1167" s="307"/>
      <c r="B1167" s="307"/>
      <c r="C1167" s="200"/>
      <c r="D1167" s="200"/>
      <c r="E1167" s="200"/>
      <c r="F1167" s="200"/>
      <c r="G1167" s="200"/>
      <c r="H1167" s="200"/>
      <c r="I1167" s="200"/>
      <c r="J1167" s="200"/>
      <c r="K1167" s="200"/>
      <c r="L1167" s="200"/>
      <c r="M1167" s="200"/>
      <c r="N1167" s="200"/>
      <c r="O1167" s="200"/>
      <c r="P1167" s="200"/>
      <c r="Q1167" s="353"/>
      <c r="R1167" s="353"/>
      <c r="S1167" s="200"/>
      <c r="T1167" s="353"/>
      <c r="U1167" s="353"/>
      <c r="V1167" s="353"/>
      <c r="W1167" s="432"/>
      <c r="X1167" s="200"/>
      <c r="Y1167" s="200"/>
      <c r="Z1167" s="200"/>
      <c r="AA1167" s="200"/>
      <c r="AB1167" s="200"/>
      <c r="AC1167" s="200"/>
      <c r="AD1167" s="200"/>
      <c r="AE1167" s="200"/>
      <c r="AF1167" s="200"/>
      <c r="AG1167" s="200"/>
      <c r="AH1167" s="200"/>
      <c r="AI1167" s="200"/>
      <c r="AJ1167" s="200"/>
      <c r="AK1167" s="200"/>
      <c r="AL1167" s="200"/>
      <c r="AM1167" s="200"/>
      <c r="AN1167" s="200"/>
      <c r="AO1167" s="200"/>
      <c r="AP1167" s="200"/>
      <c r="AQ1167" s="200"/>
      <c r="AR1167" s="200"/>
      <c r="AS1167" s="200"/>
      <c r="AT1167" s="200"/>
    </row>
    <row r="1168" spans="1:46" ht="16.5" customHeight="1">
      <c r="A1168" s="307"/>
      <c r="B1168" s="307"/>
      <c r="C1168" s="200"/>
      <c r="D1168" s="200"/>
      <c r="E1168" s="200"/>
      <c r="F1168" s="200"/>
      <c r="G1168" s="200"/>
      <c r="H1168" s="200"/>
      <c r="I1168" s="200"/>
      <c r="J1168" s="200"/>
      <c r="K1168" s="200"/>
      <c r="L1168" s="200"/>
      <c r="M1168" s="200"/>
      <c r="N1168" s="200"/>
      <c r="O1168" s="200"/>
      <c r="P1168" s="200"/>
      <c r="Q1168" s="353"/>
      <c r="R1168" s="353"/>
      <c r="S1168" s="200"/>
      <c r="T1168" s="353"/>
      <c r="U1168" s="353"/>
      <c r="V1168" s="353"/>
      <c r="W1168" s="432"/>
      <c r="X1168" s="200"/>
      <c r="Y1168" s="200"/>
      <c r="Z1168" s="200"/>
      <c r="AA1168" s="200"/>
      <c r="AB1168" s="200"/>
      <c r="AC1168" s="200"/>
      <c r="AD1168" s="200"/>
      <c r="AE1168" s="200"/>
      <c r="AF1168" s="200"/>
      <c r="AG1168" s="200"/>
      <c r="AH1168" s="200"/>
      <c r="AI1168" s="200"/>
      <c r="AJ1168" s="200"/>
      <c r="AK1168" s="200"/>
      <c r="AL1168" s="200"/>
      <c r="AM1168" s="200"/>
      <c r="AN1168" s="200"/>
      <c r="AO1168" s="200"/>
      <c r="AP1168" s="200"/>
      <c r="AQ1168" s="200"/>
      <c r="AR1168" s="200"/>
      <c r="AS1168" s="200"/>
      <c r="AT1168" s="200"/>
    </row>
    <row r="1169" spans="1:46" ht="16.5" customHeight="1">
      <c r="A1169" s="307"/>
      <c r="B1169" s="307"/>
      <c r="C1169" s="200"/>
      <c r="D1169" s="200"/>
      <c r="E1169" s="200"/>
      <c r="F1169" s="200"/>
      <c r="G1169" s="200"/>
      <c r="H1169" s="200"/>
      <c r="I1169" s="200"/>
      <c r="J1169" s="200"/>
      <c r="K1169" s="200"/>
      <c r="L1169" s="200"/>
      <c r="M1169" s="200"/>
      <c r="N1169" s="200"/>
      <c r="O1169" s="200"/>
      <c r="P1169" s="200"/>
      <c r="Q1169" s="353"/>
      <c r="R1169" s="353"/>
      <c r="S1169" s="200"/>
      <c r="T1169" s="353"/>
      <c r="U1169" s="353"/>
      <c r="V1169" s="353"/>
      <c r="W1169" s="432"/>
      <c r="X1169" s="200"/>
      <c r="Y1169" s="200"/>
      <c r="Z1169" s="200"/>
      <c r="AA1169" s="200"/>
      <c r="AB1169" s="200"/>
      <c r="AC1169" s="200"/>
      <c r="AD1169" s="200"/>
      <c r="AE1169" s="200"/>
      <c r="AF1169" s="200"/>
      <c r="AG1169" s="200"/>
      <c r="AH1169" s="200"/>
      <c r="AI1169" s="200"/>
      <c r="AJ1169" s="200"/>
      <c r="AK1169" s="200"/>
      <c r="AL1169" s="200"/>
      <c r="AM1169" s="200"/>
      <c r="AN1169" s="200"/>
      <c r="AO1169" s="200"/>
      <c r="AP1169" s="200"/>
      <c r="AQ1169" s="200"/>
      <c r="AR1169" s="200"/>
      <c r="AS1169" s="200"/>
      <c r="AT1169" s="200"/>
    </row>
    <row r="1170" spans="1:46" ht="16.5" customHeight="1">
      <c r="A1170" s="307"/>
      <c r="B1170" s="307"/>
      <c r="C1170" s="200"/>
      <c r="D1170" s="200"/>
      <c r="E1170" s="200"/>
      <c r="F1170" s="200"/>
      <c r="G1170" s="200"/>
      <c r="H1170" s="200"/>
      <c r="I1170" s="200"/>
      <c r="J1170" s="200"/>
      <c r="K1170" s="200"/>
      <c r="L1170" s="200"/>
      <c r="M1170" s="200"/>
      <c r="N1170" s="200"/>
      <c r="O1170" s="200"/>
      <c r="P1170" s="200"/>
      <c r="Q1170" s="353"/>
      <c r="R1170" s="353"/>
      <c r="S1170" s="200"/>
      <c r="T1170" s="353"/>
      <c r="U1170" s="353"/>
      <c r="V1170" s="353"/>
      <c r="W1170" s="432"/>
      <c r="X1170" s="200"/>
      <c r="Y1170" s="200"/>
      <c r="Z1170" s="200"/>
      <c r="AA1170" s="200"/>
      <c r="AB1170" s="200"/>
      <c r="AC1170" s="200"/>
      <c r="AD1170" s="200"/>
      <c r="AE1170" s="200"/>
      <c r="AF1170" s="200"/>
      <c r="AG1170" s="200"/>
      <c r="AH1170" s="200"/>
      <c r="AI1170" s="200"/>
      <c r="AJ1170" s="200"/>
      <c r="AK1170" s="200"/>
      <c r="AL1170" s="200"/>
      <c r="AM1170" s="200"/>
      <c r="AN1170" s="200"/>
      <c r="AO1170" s="200"/>
      <c r="AP1170" s="200"/>
      <c r="AQ1170" s="200"/>
      <c r="AR1170" s="200"/>
      <c r="AS1170" s="200"/>
      <c r="AT1170" s="200"/>
    </row>
    <row r="1171" spans="1:46" ht="16.5" customHeight="1">
      <c r="A1171" s="307"/>
      <c r="B1171" s="307"/>
      <c r="C1171" s="200"/>
      <c r="D1171" s="200"/>
      <c r="E1171" s="200"/>
      <c r="F1171" s="200"/>
      <c r="G1171" s="200"/>
      <c r="H1171" s="200"/>
      <c r="I1171" s="200"/>
      <c r="J1171" s="200"/>
      <c r="K1171" s="200"/>
      <c r="L1171" s="200"/>
      <c r="M1171" s="200"/>
      <c r="N1171" s="200"/>
      <c r="O1171" s="200"/>
      <c r="P1171" s="200"/>
      <c r="Q1171" s="353"/>
      <c r="R1171" s="353"/>
      <c r="S1171" s="200"/>
      <c r="T1171" s="353"/>
      <c r="U1171" s="353"/>
      <c r="V1171" s="353"/>
      <c r="W1171" s="432"/>
      <c r="X1171" s="200"/>
      <c r="Y1171" s="200"/>
      <c r="Z1171" s="200"/>
      <c r="AA1171" s="200"/>
      <c r="AB1171" s="200"/>
      <c r="AC1171" s="200"/>
      <c r="AD1171" s="200"/>
      <c r="AE1171" s="200"/>
      <c r="AF1171" s="200"/>
      <c r="AG1171" s="200"/>
      <c r="AH1171" s="200"/>
      <c r="AI1171" s="200"/>
      <c r="AJ1171" s="200"/>
      <c r="AK1171" s="200"/>
      <c r="AL1171" s="200"/>
      <c r="AM1171" s="200"/>
      <c r="AN1171" s="200"/>
      <c r="AO1171" s="200"/>
      <c r="AP1171" s="200"/>
      <c r="AQ1171" s="200"/>
      <c r="AR1171" s="200"/>
      <c r="AS1171" s="200"/>
      <c r="AT1171" s="200"/>
    </row>
    <row r="1172" spans="1:46" ht="16.5" customHeight="1">
      <c r="A1172" s="307"/>
      <c r="B1172" s="307"/>
      <c r="C1172" s="200"/>
      <c r="D1172" s="200"/>
      <c r="E1172" s="200"/>
      <c r="F1172" s="200"/>
      <c r="G1172" s="200"/>
      <c r="H1172" s="200"/>
      <c r="I1172" s="200"/>
      <c r="J1172" s="200"/>
      <c r="K1172" s="200"/>
      <c r="L1172" s="200"/>
      <c r="M1172" s="200"/>
      <c r="N1172" s="200"/>
      <c r="O1172" s="200"/>
      <c r="P1172" s="200"/>
      <c r="Q1172" s="353"/>
      <c r="R1172" s="353"/>
      <c r="S1172" s="200"/>
      <c r="T1172" s="353"/>
      <c r="U1172" s="353"/>
      <c r="V1172" s="353"/>
      <c r="W1172" s="432"/>
      <c r="X1172" s="200"/>
      <c r="Y1172" s="200"/>
      <c r="Z1172" s="200"/>
      <c r="AA1172" s="200"/>
      <c r="AB1172" s="200"/>
      <c r="AC1172" s="200"/>
      <c r="AD1172" s="200"/>
      <c r="AE1172" s="200"/>
      <c r="AF1172" s="200"/>
      <c r="AG1172" s="200"/>
      <c r="AH1172" s="200"/>
      <c r="AI1172" s="200"/>
      <c r="AJ1172" s="200"/>
      <c r="AK1172" s="200"/>
      <c r="AL1172" s="200"/>
      <c r="AM1172" s="200"/>
      <c r="AN1172" s="200"/>
      <c r="AO1172" s="200"/>
      <c r="AP1172" s="200"/>
      <c r="AQ1172" s="200"/>
      <c r="AR1172" s="200"/>
      <c r="AS1172" s="200"/>
      <c r="AT1172" s="200"/>
    </row>
    <row r="1173" spans="1:46" ht="16.5" customHeight="1">
      <c r="A1173" s="307"/>
      <c r="B1173" s="307"/>
      <c r="C1173" s="200"/>
      <c r="D1173" s="200"/>
      <c r="E1173" s="200"/>
      <c r="F1173" s="200"/>
      <c r="G1173" s="200"/>
      <c r="H1173" s="200"/>
      <c r="I1173" s="200"/>
      <c r="J1173" s="200"/>
      <c r="K1173" s="200"/>
      <c r="L1173" s="200"/>
      <c r="M1173" s="200"/>
      <c r="N1173" s="200"/>
      <c r="O1173" s="200"/>
      <c r="P1173" s="200"/>
      <c r="Q1173" s="353"/>
      <c r="R1173" s="353"/>
      <c r="S1173" s="200"/>
      <c r="T1173" s="353"/>
      <c r="U1173" s="353"/>
      <c r="V1173" s="353"/>
      <c r="W1173" s="432"/>
      <c r="X1173" s="200"/>
      <c r="Y1173" s="200"/>
      <c r="Z1173" s="200"/>
      <c r="AA1173" s="200"/>
      <c r="AB1173" s="200"/>
      <c r="AC1173" s="200"/>
      <c r="AD1173" s="200"/>
      <c r="AE1173" s="200"/>
      <c r="AF1173" s="200"/>
      <c r="AG1173" s="200"/>
      <c r="AH1173" s="200"/>
      <c r="AI1173" s="200"/>
      <c r="AJ1173" s="200"/>
      <c r="AK1173" s="200"/>
      <c r="AL1173" s="200"/>
      <c r="AM1173" s="200"/>
      <c r="AN1173" s="200"/>
      <c r="AO1173" s="200"/>
      <c r="AP1173" s="200"/>
      <c r="AQ1173" s="200"/>
      <c r="AR1173" s="200"/>
      <c r="AS1173" s="200"/>
      <c r="AT1173" s="200"/>
    </row>
    <row r="1174" spans="1:46" ht="16.5" customHeight="1">
      <c r="A1174" s="307"/>
      <c r="B1174" s="307"/>
      <c r="C1174" s="200"/>
      <c r="D1174" s="200"/>
      <c r="E1174" s="200"/>
      <c r="F1174" s="200"/>
      <c r="G1174" s="200"/>
      <c r="H1174" s="200"/>
      <c r="I1174" s="200"/>
      <c r="J1174" s="200"/>
      <c r="K1174" s="200"/>
      <c r="L1174" s="200"/>
      <c r="M1174" s="200"/>
      <c r="N1174" s="200"/>
      <c r="O1174" s="200"/>
      <c r="P1174" s="200"/>
      <c r="Q1174" s="353"/>
      <c r="R1174" s="353"/>
      <c r="S1174" s="200"/>
      <c r="T1174" s="353"/>
      <c r="U1174" s="353"/>
      <c r="V1174" s="353"/>
      <c r="W1174" s="432"/>
      <c r="X1174" s="200"/>
      <c r="Y1174" s="200"/>
      <c r="Z1174" s="200"/>
      <c r="AA1174" s="200"/>
      <c r="AB1174" s="200"/>
      <c r="AC1174" s="200"/>
      <c r="AD1174" s="200"/>
      <c r="AE1174" s="200"/>
      <c r="AF1174" s="200"/>
      <c r="AG1174" s="200"/>
      <c r="AH1174" s="200"/>
      <c r="AI1174" s="200"/>
      <c r="AJ1174" s="200"/>
      <c r="AK1174" s="200"/>
      <c r="AL1174" s="200"/>
      <c r="AM1174" s="200"/>
      <c r="AN1174" s="200"/>
      <c r="AO1174" s="200"/>
      <c r="AP1174" s="200"/>
      <c r="AQ1174" s="200"/>
      <c r="AR1174" s="200"/>
      <c r="AS1174" s="200"/>
      <c r="AT1174" s="200"/>
    </row>
    <row r="1175" spans="1:46" ht="16.5" customHeight="1">
      <c r="A1175" s="307"/>
      <c r="B1175" s="307"/>
      <c r="C1175" s="200"/>
      <c r="D1175" s="200"/>
      <c r="E1175" s="200"/>
      <c r="F1175" s="200"/>
      <c r="G1175" s="200"/>
      <c r="H1175" s="200"/>
      <c r="I1175" s="200"/>
      <c r="J1175" s="200"/>
      <c r="K1175" s="200"/>
      <c r="L1175" s="200"/>
      <c r="M1175" s="200"/>
      <c r="N1175" s="200"/>
      <c r="O1175" s="200"/>
      <c r="P1175" s="200"/>
      <c r="Q1175" s="353"/>
      <c r="R1175" s="353"/>
      <c r="S1175" s="200"/>
      <c r="T1175" s="353"/>
      <c r="U1175" s="353"/>
      <c r="V1175" s="353"/>
      <c r="W1175" s="432"/>
      <c r="X1175" s="200"/>
      <c r="Y1175" s="200"/>
      <c r="Z1175" s="200"/>
      <c r="AA1175" s="200"/>
      <c r="AB1175" s="200"/>
      <c r="AC1175" s="200"/>
      <c r="AD1175" s="200"/>
      <c r="AE1175" s="200"/>
      <c r="AF1175" s="200"/>
      <c r="AG1175" s="200"/>
      <c r="AH1175" s="200"/>
      <c r="AI1175" s="200"/>
      <c r="AJ1175" s="200"/>
      <c r="AK1175" s="200"/>
      <c r="AL1175" s="200"/>
      <c r="AM1175" s="200"/>
      <c r="AN1175" s="200"/>
      <c r="AO1175" s="200"/>
      <c r="AP1175" s="200"/>
      <c r="AQ1175" s="200"/>
      <c r="AR1175" s="200"/>
      <c r="AS1175" s="200"/>
      <c r="AT1175" s="200"/>
    </row>
    <row r="1176" spans="1:46" ht="16.5" customHeight="1">
      <c r="A1176" s="307"/>
      <c r="B1176" s="307"/>
      <c r="C1176" s="200"/>
      <c r="D1176" s="200"/>
      <c r="E1176" s="200"/>
      <c r="F1176" s="200"/>
      <c r="G1176" s="200"/>
      <c r="H1176" s="200"/>
      <c r="I1176" s="200"/>
      <c r="J1176" s="200"/>
      <c r="K1176" s="200"/>
      <c r="L1176" s="200"/>
      <c r="M1176" s="200"/>
      <c r="N1176" s="200"/>
      <c r="O1176" s="200"/>
      <c r="P1176" s="200"/>
      <c r="Q1176" s="353"/>
      <c r="R1176" s="353"/>
      <c r="S1176" s="200"/>
      <c r="T1176" s="353"/>
      <c r="U1176" s="353"/>
      <c r="V1176" s="353"/>
      <c r="W1176" s="432"/>
      <c r="X1176" s="200"/>
      <c r="Y1176" s="200"/>
      <c r="Z1176" s="200"/>
      <c r="AA1176" s="200"/>
      <c r="AB1176" s="200"/>
      <c r="AC1176" s="200"/>
      <c r="AD1176" s="200"/>
      <c r="AE1176" s="200"/>
      <c r="AF1176" s="200"/>
      <c r="AG1176" s="200"/>
      <c r="AH1176" s="200"/>
      <c r="AI1176" s="200"/>
      <c r="AJ1176" s="200"/>
      <c r="AK1176" s="200"/>
      <c r="AL1176" s="200"/>
      <c r="AM1176" s="200"/>
      <c r="AN1176" s="200"/>
      <c r="AO1176" s="200"/>
      <c r="AP1176" s="200"/>
      <c r="AQ1176" s="200"/>
      <c r="AR1176" s="200"/>
      <c r="AS1176" s="200"/>
      <c r="AT1176" s="200"/>
    </row>
    <row r="1177" spans="1:46" ht="16.5" customHeight="1">
      <c r="A1177" s="307"/>
      <c r="B1177" s="307"/>
      <c r="C1177" s="200"/>
      <c r="D1177" s="200"/>
      <c r="E1177" s="200"/>
      <c r="F1177" s="200"/>
      <c r="G1177" s="200"/>
      <c r="H1177" s="200"/>
      <c r="I1177" s="200"/>
      <c r="J1177" s="200"/>
      <c r="K1177" s="200"/>
      <c r="L1177" s="200"/>
      <c r="M1177" s="200"/>
      <c r="N1177" s="200"/>
      <c r="O1177" s="200"/>
      <c r="P1177" s="200"/>
      <c r="Q1177" s="353"/>
      <c r="R1177" s="353"/>
      <c r="S1177" s="200"/>
      <c r="T1177" s="353"/>
      <c r="U1177" s="353"/>
      <c r="V1177" s="353"/>
      <c r="W1177" s="432"/>
      <c r="X1177" s="200"/>
      <c r="Y1177" s="200"/>
      <c r="Z1177" s="200"/>
      <c r="AA1177" s="200"/>
      <c r="AB1177" s="200"/>
      <c r="AC1177" s="200"/>
      <c r="AD1177" s="200"/>
      <c r="AE1177" s="200"/>
      <c r="AF1177" s="200"/>
      <c r="AG1177" s="200"/>
      <c r="AH1177" s="200"/>
      <c r="AI1177" s="200"/>
      <c r="AJ1177" s="200"/>
      <c r="AK1177" s="200"/>
      <c r="AL1177" s="200"/>
      <c r="AM1177" s="200"/>
      <c r="AN1177" s="200"/>
      <c r="AO1177" s="200"/>
      <c r="AP1177" s="200"/>
      <c r="AQ1177" s="200"/>
      <c r="AR1177" s="200"/>
      <c r="AS1177" s="200"/>
      <c r="AT1177" s="200"/>
    </row>
    <row r="1178" spans="1:46" ht="16.5" customHeight="1">
      <c r="A1178" s="307"/>
      <c r="B1178" s="307"/>
      <c r="C1178" s="200"/>
      <c r="D1178" s="200"/>
      <c r="E1178" s="200"/>
      <c r="F1178" s="200"/>
      <c r="G1178" s="200"/>
      <c r="H1178" s="200"/>
      <c r="I1178" s="200"/>
      <c r="J1178" s="200"/>
      <c r="K1178" s="200"/>
      <c r="L1178" s="200"/>
      <c r="M1178" s="200"/>
      <c r="N1178" s="200"/>
      <c r="O1178" s="200"/>
      <c r="P1178" s="200"/>
      <c r="Q1178" s="353"/>
      <c r="R1178" s="353"/>
      <c r="S1178" s="200"/>
      <c r="T1178" s="353"/>
      <c r="U1178" s="353"/>
      <c r="V1178" s="353"/>
      <c r="W1178" s="432"/>
      <c r="X1178" s="200"/>
      <c r="Y1178" s="200"/>
      <c r="Z1178" s="200"/>
      <c r="AA1178" s="200"/>
      <c r="AB1178" s="200"/>
      <c r="AC1178" s="200"/>
      <c r="AD1178" s="200"/>
      <c r="AE1178" s="200"/>
      <c r="AF1178" s="200"/>
      <c r="AG1178" s="200"/>
      <c r="AH1178" s="200"/>
      <c r="AI1178" s="200"/>
      <c r="AJ1178" s="200"/>
      <c r="AK1178" s="200"/>
      <c r="AL1178" s="200"/>
      <c r="AM1178" s="200"/>
      <c r="AN1178" s="200"/>
      <c r="AO1178" s="200"/>
      <c r="AP1178" s="200"/>
      <c r="AQ1178" s="200"/>
      <c r="AR1178" s="200"/>
      <c r="AS1178" s="200"/>
      <c r="AT1178" s="200"/>
    </row>
    <row r="1179" spans="1:46" ht="16.5" customHeight="1">
      <c r="A1179" s="307"/>
      <c r="B1179" s="307"/>
      <c r="C1179" s="200"/>
      <c r="D1179" s="200"/>
      <c r="E1179" s="200"/>
      <c r="F1179" s="200"/>
      <c r="G1179" s="200"/>
      <c r="H1179" s="200"/>
      <c r="I1179" s="200"/>
      <c r="J1179" s="200"/>
      <c r="K1179" s="200"/>
      <c r="L1179" s="200"/>
      <c r="M1179" s="200"/>
      <c r="N1179" s="200"/>
      <c r="O1179" s="200"/>
      <c r="P1179" s="200"/>
      <c r="Q1179" s="353"/>
      <c r="R1179" s="353"/>
      <c r="S1179" s="200"/>
      <c r="T1179" s="353"/>
      <c r="U1179" s="353"/>
      <c r="V1179" s="353"/>
      <c r="W1179" s="432"/>
      <c r="X1179" s="200"/>
      <c r="Y1179" s="200"/>
      <c r="Z1179" s="200"/>
      <c r="AA1179" s="200"/>
      <c r="AB1179" s="200"/>
      <c r="AC1179" s="200"/>
      <c r="AD1179" s="200"/>
      <c r="AE1179" s="200"/>
      <c r="AF1179" s="200"/>
      <c r="AG1179" s="200"/>
      <c r="AH1179" s="200"/>
      <c r="AI1179" s="200"/>
      <c r="AJ1179" s="200"/>
      <c r="AK1179" s="200"/>
      <c r="AL1179" s="200"/>
      <c r="AM1179" s="200"/>
      <c r="AN1179" s="200"/>
      <c r="AO1179" s="200"/>
      <c r="AP1179" s="200"/>
      <c r="AQ1179" s="200"/>
      <c r="AR1179" s="200"/>
      <c r="AS1179" s="200"/>
      <c r="AT1179" s="200"/>
    </row>
    <row r="1180" spans="1:46" ht="16.5" customHeight="1">
      <c r="A1180" s="307"/>
      <c r="B1180" s="307"/>
      <c r="C1180" s="200"/>
      <c r="D1180" s="200"/>
      <c r="E1180" s="200"/>
      <c r="F1180" s="200"/>
      <c r="G1180" s="200"/>
      <c r="H1180" s="200"/>
      <c r="I1180" s="200"/>
      <c r="J1180" s="200"/>
      <c r="K1180" s="200"/>
      <c r="L1180" s="200"/>
      <c r="M1180" s="200"/>
      <c r="N1180" s="200"/>
      <c r="O1180" s="200"/>
      <c r="P1180" s="200"/>
      <c r="Q1180" s="353"/>
      <c r="R1180" s="353"/>
      <c r="S1180" s="200"/>
      <c r="T1180" s="353"/>
      <c r="U1180" s="353"/>
      <c r="V1180" s="353"/>
      <c r="W1180" s="432"/>
      <c r="X1180" s="200"/>
      <c r="Y1180" s="200"/>
      <c r="Z1180" s="200"/>
      <c r="AA1180" s="200"/>
      <c r="AB1180" s="200"/>
      <c r="AC1180" s="200"/>
      <c r="AD1180" s="200"/>
      <c r="AE1180" s="200"/>
      <c r="AF1180" s="200"/>
      <c r="AG1180" s="200"/>
      <c r="AH1180" s="200"/>
      <c r="AI1180" s="200"/>
      <c r="AJ1180" s="200"/>
      <c r="AK1180" s="200"/>
      <c r="AL1180" s="200"/>
      <c r="AM1180" s="200"/>
      <c r="AN1180" s="200"/>
      <c r="AO1180" s="200"/>
      <c r="AP1180" s="200"/>
      <c r="AQ1180" s="200"/>
      <c r="AR1180" s="200"/>
      <c r="AS1180" s="200"/>
      <c r="AT1180" s="200"/>
    </row>
    <row r="1181" spans="1:46" ht="16.5" customHeight="1">
      <c r="A1181" s="307"/>
      <c r="B1181" s="307"/>
      <c r="C1181" s="200"/>
      <c r="D1181" s="200"/>
      <c r="E1181" s="200"/>
      <c r="F1181" s="200"/>
      <c r="G1181" s="200"/>
      <c r="H1181" s="200"/>
      <c r="I1181" s="200"/>
      <c r="J1181" s="200"/>
      <c r="K1181" s="200"/>
      <c r="L1181" s="200"/>
      <c r="M1181" s="200"/>
      <c r="N1181" s="200"/>
      <c r="O1181" s="200"/>
      <c r="P1181" s="200"/>
      <c r="Q1181" s="353"/>
      <c r="R1181" s="353"/>
      <c r="S1181" s="200"/>
      <c r="T1181" s="353"/>
      <c r="U1181" s="353"/>
      <c r="V1181" s="353"/>
      <c r="W1181" s="432"/>
      <c r="X1181" s="200"/>
      <c r="Y1181" s="200"/>
      <c r="Z1181" s="200"/>
      <c r="AA1181" s="200"/>
      <c r="AB1181" s="200"/>
      <c r="AC1181" s="200"/>
      <c r="AD1181" s="200"/>
      <c r="AE1181" s="200"/>
      <c r="AF1181" s="200"/>
      <c r="AG1181" s="200"/>
      <c r="AH1181" s="200"/>
      <c r="AI1181" s="200"/>
      <c r="AJ1181" s="200"/>
      <c r="AK1181" s="200"/>
      <c r="AL1181" s="200"/>
      <c r="AM1181" s="200"/>
      <c r="AN1181" s="200"/>
      <c r="AO1181" s="200"/>
      <c r="AP1181" s="200"/>
      <c r="AQ1181" s="200"/>
      <c r="AR1181" s="200"/>
      <c r="AS1181" s="200"/>
      <c r="AT1181" s="200"/>
    </row>
    <row r="1182" spans="1:46" ht="16.5" customHeight="1">
      <c r="A1182" s="307"/>
      <c r="B1182" s="307"/>
      <c r="C1182" s="200"/>
      <c r="D1182" s="200"/>
      <c r="E1182" s="200"/>
      <c r="F1182" s="200"/>
      <c r="G1182" s="200"/>
      <c r="H1182" s="200"/>
      <c r="I1182" s="200"/>
      <c r="J1182" s="200"/>
      <c r="K1182" s="200"/>
      <c r="L1182" s="200"/>
      <c r="M1182" s="200"/>
      <c r="N1182" s="200"/>
      <c r="O1182" s="200"/>
      <c r="P1182" s="200"/>
      <c r="Q1182" s="353"/>
      <c r="R1182" s="353"/>
      <c r="S1182" s="200"/>
      <c r="T1182" s="353"/>
      <c r="U1182" s="353"/>
      <c r="V1182" s="353"/>
      <c r="W1182" s="432"/>
      <c r="X1182" s="200"/>
      <c r="Y1182" s="200"/>
      <c r="Z1182" s="200"/>
      <c r="AA1182" s="200"/>
      <c r="AB1182" s="200"/>
      <c r="AC1182" s="200"/>
      <c r="AD1182" s="200"/>
      <c r="AE1182" s="200"/>
      <c r="AF1182" s="200"/>
      <c r="AG1182" s="200"/>
      <c r="AH1182" s="200"/>
      <c r="AI1182" s="200"/>
      <c r="AJ1182" s="200"/>
      <c r="AK1182" s="200"/>
      <c r="AL1182" s="200"/>
      <c r="AM1182" s="200"/>
      <c r="AN1182" s="200"/>
      <c r="AO1182" s="200"/>
      <c r="AP1182" s="200"/>
      <c r="AQ1182" s="200"/>
      <c r="AR1182" s="200"/>
      <c r="AS1182" s="200"/>
      <c r="AT1182" s="200"/>
    </row>
    <row r="1183" spans="1:46" ht="16.5" customHeight="1">
      <c r="A1183" s="307"/>
      <c r="B1183" s="307"/>
      <c r="C1183" s="200"/>
      <c r="D1183" s="200"/>
      <c r="E1183" s="200"/>
      <c r="F1183" s="200"/>
      <c r="G1183" s="200"/>
      <c r="H1183" s="200"/>
      <c r="I1183" s="200"/>
      <c r="J1183" s="200"/>
      <c r="K1183" s="200"/>
      <c r="L1183" s="200"/>
      <c r="M1183" s="200"/>
      <c r="N1183" s="200"/>
      <c r="O1183" s="200"/>
      <c r="P1183" s="200"/>
      <c r="Q1183" s="353"/>
      <c r="R1183" s="353"/>
      <c r="S1183" s="200"/>
      <c r="T1183" s="353"/>
      <c r="U1183" s="353"/>
      <c r="V1183" s="353"/>
      <c r="W1183" s="432"/>
      <c r="X1183" s="200"/>
      <c r="Y1183" s="200"/>
      <c r="Z1183" s="200"/>
      <c r="AA1183" s="200"/>
      <c r="AB1183" s="200"/>
      <c r="AC1183" s="200"/>
      <c r="AD1183" s="200"/>
      <c r="AE1183" s="200"/>
      <c r="AF1183" s="200"/>
      <c r="AG1183" s="200"/>
      <c r="AH1183" s="200"/>
      <c r="AI1183" s="200"/>
      <c r="AJ1183" s="200"/>
      <c r="AK1183" s="200"/>
      <c r="AL1183" s="200"/>
      <c r="AM1183" s="200"/>
      <c r="AN1183" s="200"/>
      <c r="AO1183" s="200"/>
      <c r="AP1183" s="200"/>
      <c r="AQ1183" s="200"/>
      <c r="AR1183" s="200"/>
      <c r="AS1183" s="200"/>
      <c r="AT1183" s="200"/>
    </row>
    <row r="1184" spans="1:46" ht="16.5" customHeight="1">
      <c r="A1184" s="307"/>
      <c r="B1184" s="307"/>
      <c r="C1184" s="200"/>
      <c r="D1184" s="200"/>
      <c r="E1184" s="200"/>
      <c r="F1184" s="200"/>
      <c r="G1184" s="200"/>
      <c r="H1184" s="200"/>
      <c r="I1184" s="200"/>
      <c r="J1184" s="200"/>
      <c r="K1184" s="200"/>
      <c r="L1184" s="200"/>
      <c r="M1184" s="200"/>
      <c r="N1184" s="200"/>
      <c r="O1184" s="200"/>
      <c r="P1184" s="200"/>
      <c r="Q1184" s="353"/>
      <c r="R1184" s="353"/>
      <c r="S1184" s="200"/>
      <c r="T1184" s="353"/>
      <c r="U1184" s="353"/>
      <c r="V1184" s="353"/>
      <c r="W1184" s="432"/>
      <c r="X1184" s="200"/>
      <c r="Y1184" s="200"/>
      <c r="Z1184" s="200"/>
      <c r="AA1184" s="200"/>
      <c r="AB1184" s="200"/>
      <c r="AC1184" s="200"/>
      <c r="AD1184" s="200"/>
      <c r="AE1184" s="200"/>
      <c r="AF1184" s="200"/>
      <c r="AG1184" s="200"/>
      <c r="AH1184" s="200"/>
      <c r="AI1184" s="200"/>
      <c r="AJ1184" s="200"/>
      <c r="AK1184" s="200"/>
      <c r="AL1184" s="200"/>
      <c r="AM1184" s="200"/>
      <c r="AN1184" s="200"/>
      <c r="AO1184" s="200"/>
      <c r="AP1184" s="200"/>
      <c r="AQ1184" s="200"/>
      <c r="AR1184" s="200"/>
      <c r="AS1184" s="200"/>
      <c r="AT1184" s="200"/>
    </row>
    <row r="1185" spans="1:46" ht="16.5" customHeight="1">
      <c r="A1185" s="307"/>
      <c r="B1185" s="307"/>
      <c r="C1185" s="200"/>
      <c r="D1185" s="200"/>
      <c r="E1185" s="200"/>
      <c r="F1185" s="200"/>
      <c r="G1185" s="200"/>
      <c r="H1185" s="200"/>
      <c r="I1185" s="200"/>
      <c r="J1185" s="200"/>
      <c r="K1185" s="200"/>
      <c r="L1185" s="200"/>
      <c r="M1185" s="200"/>
      <c r="N1185" s="200"/>
      <c r="O1185" s="200"/>
      <c r="P1185" s="200"/>
      <c r="Q1185" s="353"/>
      <c r="R1185" s="353"/>
      <c r="S1185" s="200"/>
      <c r="T1185" s="353"/>
      <c r="U1185" s="353"/>
      <c r="V1185" s="353"/>
      <c r="W1185" s="432"/>
      <c r="X1185" s="200"/>
      <c r="Y1185" s="200"/>
      <c r="Z1185" s="200"/>
      <c r="AA1185" s="200"/>
      <c r="AB1185" s="200"/>
      <c r="AC1185" s="200"/>
      <c r="AD1185" s="200"/>
      <c r="AE1185" s="200"/>
      <c r="AF1185" s="200"/>
      <c r="AG1185" s="200"/>
      <c r="AH1185" s="200"/>
      <c r="AI1185" s="200"/>
      <c r="AJ1185" s="200"/>
      <c r="AK1185" s="200"/>
      <c r="AL1185" s="200"/>
      <c r="AM1185" s="200"/>
      <c r="AN1185" s="200"/>
      <c r="AO1185" s="200"/>
      <c r="AP1185" s="200"/>
      <c r="AQ1185" s="200"/>
      <c r="AR1185" s="200"/>
      <c r="AS1185" s="200"/>
      <c r="AT1185" s="200"/>
    </row>
    <row r="1186" spans="1:46" ht="16.5" customHeight="1">
      <c r="A1186" s="307"/>
      <c r="B1186" s="307"/>
      <c r="C1186" s="200"/>
      <c r="D1186" s="200"/>
      <c r="E1186" s="200"/>
      <c r="F1186" s="200"/>
      <c r="G1186" s="200"/>
      <c r="H1186" s="200"/>
      <c r="I1186" s="200"/>
      <c r="J1186" s="200"/>
      <c r="K1186" s="200"/>
      <c r="L1186" s="200"/>
      <c r="M1186" s="200"/>
      <c r="N1186" s="200"/>
      <c r="O1186" s="200"/>
      <c r="P1186" s="200"/>
      <c r="Q1186" s="353"/>
      <c r="R1186" s="353"/>
      <c r="S1186" s="200"/>
      <c r="T1186" s="353"/>
      <c r="U1186" s="353"/>
      <c r="V1186" s="353"/>
      <c r="W1186" s="432"/>
      <c r="X1186" s="200"/>
      <c r="Y1186" s="200"/>
      <c r="Z1186" s="200"/>
      <c r="AA1186" s="200"/>
      <c r="AB1186" s="200"/>
      <c r="AC1186" s="200"/>
      <c r="AD1186" s="200"/>
      <c r="AE1186" s="200"/>
      <c r="AF1186" s="200"/>
      <c r="AG1186" s="200"/>
      <c r="AH1186" s="200"/>
      <c r="AI1186" s="200"/>
      <c r="AJ1186" s="200"/>
      <c r="AK1186" s="200"/>
      <c r="AL1186" s="200"/>
      <c r="AM1186" s="200"/>
      <c r="AN1186" s="200"/>
      <c r="AO1186" s="200"/>
      <c r="AP1186" s="200"/>
      <c r="AQ1186" s="200"/>
      <c r="AR1186" s="200"/>
      <c r="AS1186" s="200"/>
      <c r="AT1186" s="200"/>
    </row>
    <row r="1187" spans="1:46" ht="16.5" customHeight="1">
      <c r="A1187" s="307"/>
      <c r="B1187" s="307"/>
      <c r="C1187" s="200"/>
      <c r="D1187" s="200"/>
      <c r="E1187" s="200"/>
      <c r="F1187" s="200"/>
      <c r="G1187" s="200"/>
      <c r="H1187" s="200"/>
      <c r="I1187" s="200"/>
      <c r="J1187" s="200"/>
      <c r="K1187" s="200"/>
      <c r="L1187" s="200"/>
      <c r="M1187" s="200"/>
      <c r="N1187" s="200"/>
      <c r="O1187" s="200"/>
      <c r="P1187" s="200"/>
      <c r="Q1187" s="353"/>
      <c r="R1187" s="353"/>
      <c r="S1187" s="200"/>
      <c r="T1187" s="353"/>
      <c r="U1187" s="353"/>
      <c r="V1187" s="353"/>
      <c r="W1187" s="432"/>
      <c r="X1187" s="200"/>
      <c r="Y1187" s="200"/>
      <c r="Z1187" s="200"/>
      <c r="AA1187" s="200"/>
      <c r="AB1187" s="200"/>
      <c r="AC1187" s="200"/>
      <c r="AD1187" s="200"/>
      <c r="AE1187" s="200"/>
      <c r="AF1187" s="200"/>
      <c r="AG1187" s="200"/>
      <c r="AH1187" s="200"/>
      <c r="AI1187" s="200"/>
      <c r="AJ1187" s="200"/>
      <c r="AK1187" s="200"/>
      <c r="AL1187" s="200"/>
      <c r="AM1187" s="200"/>
      <c r="AN1187" s="200"/>
      <c r="AO1187" s="200"/>
      <c r="AP1187" s="200"/>
      <c r="AQ1187" s="200"/>
      <c r="AR1187" s="200"/>
      <c r="AS1187" s="200"/>
      <c r="AT1187" s="200"/>
    </row>
    <row r="1188" spans="1:46" ht="16.5" customHeight="1">
      <c r="A1188" s="307"/>
      <c r="B1188" s="307"/>
      <c r="C1188" s="200"/>
      <c r="D1188" s="200"/>
      <c r="E1188" s="200"/>
      <c r="F1188" s="200"/>
      <c r="G1188" s="200"/>
      <c r="H1188" s="200"/>
      <c r="I1188" s="200"/>
      <c r="J1188" s="200"/>
      <c r="K1188" s="200"/>
      <c r="L1188" s="200"/>
      <c r="M1188" s="200"/>
      <c r="N1188" s="200"/>
      <c r="O1188" s="200"/>
      <c r="P1188" s="200"/>
      <c r="Q1188" s="353"/>
      <c r="R1188" s="353"/>
      <c r="S1188" s="200"/>
      <c r="T1188" s="353"/>
      <c r="U1188" s="353"/>
      <c r="V1188" s="353"/>
      <c r="W1188" s="432"/>
      <c r="X1188" s="200"/>
      <c r="Y1188" s="200"/>
      <c r="Z1188" s="200"/>
      <c r="AA1188" s="200"/>
      <c r="AB1188" s="200"/>
      <c r="AC1188" s="200"/>
      <c r="AD1188" s="200"/>
      <c r="AE1188" s="200"/>
      <c r="AF1188" s="200"/>
      <c r="AG1188" s="200"/>
      <c r="AH1188" s="200"/>
      <c r="AI1188" s="200"/>
      <c r="AJ1188" s="200"/>
      <c r="AK1188" s="200"/>
      <c r="AL1188" s="200"/>
      <c r="AM1188" s="200"/>
      <c r="AN1188" s="200"/>
      <c r="AO1188" s="200"/>
      <c r="AP1188" s="200"/>
      <c r="AQ1188" s="200"/>
      <c r="AR1188" s="200"/>
      <c r="AS1188" s="200"/>
      <c r="AT1188" s="200"/>
    </row>
    <row r="1189" spans="1:46" ht="16.5" customHeight="1">
      <c r="A1189" s="307"/>
      <c r="B1189" s="307"/>
      <c r="C1189" s="200"/>
      <c r="D1189" s="200"/>
      <c r="E1189" s="200"/>
      <c r="F1189" s="200"/>
      <c r="G1189" s="200"/>
      <c r="H1189" s="200"/>
      <c r="I1189" s="200"/>
      <c r="J1189" s="200"/>
      <c r="K1189" s="200"/>
      <c r="L1189" s="200"/>
      <c r="M1189" s="200"/>
      <c r="N1189" s="200"/>
      <c r="O1189" s="200"/>
      <c r="P1189" s="200"/>
      <c r="Q1189" s="353"/>
      <c r="R1189" s="353"/>
      <c r="S1189" s="200"/>
      <c r="T1189" s="353"/>
      <c r="U1189" s="353"/>
      <c r="V1189" s="353"/>
      <c r="W1189" s="432"/>
      <c r="X1189" s="200"/>
      <c r="Y1189" s="200"/>
      <c r="Z1189" s="200"/>
      <c r="AA1189" s="200"/>
      <c r="AB1189" s="200"/>
      <c r="AC1189" s="200"/>
      <c r="AD1189" s="200"/>
      <c r="AE1189" s="200"/>
      <c r="AF1189" s="200"/>
      <c r="AG1189" s="200"/>
      <c r="AH1189" s="200"/>
      <c r="AI1189" s="200"/>
      <c r="AJ1189" s="200"/>
      <c r="AK1189" s="200"/>
      <c r="AL1189" s="200"/>
      <c r="AM1189" s="200"/>
      <c r="AN1189" s="200"/>
      <c r="AO1189" s="200"/>
      <c r="AP1189" s="200"/>
      <c r="AQ1189" s="200"/>
      <c r="AR1189" s="200"/>
      <c r="AS1189" s="200"/>
      <c r="AT1189" s="200"/>
    </row>
    <row r="1190" spans="1:46" ht="16.5" customHeight="1">
      <c r="A1190" s="307"/>
      <c r="B1190" s="307"/>
      <c r="C1190" s="200"/>
      <c r="D1190" s="200"/>
      <c r="E1190" s="200"/>
      <c r="F1190" s="200"/>
      <c r="G1190" s="200"/>
      <c r="H1190" s="200"/>
      <c r="I1190" s="200"/>
      <c r="J1190" s="200"/>
      <c r="K1190" s="200"/>
      <c r="L1190" s="200"/>
      <c r="M1190" s="200"/>
      <c r="N1190" s="200"/>
      <c r="O1190" s="200"/>
      <c r="P1190" s="200"/>
      <c r="Q1190" s="353"/>
      <c r="R1190" s="353"/>
      <c r="S1190" s="200"/>
      <c r="T1190" s="353"/>
      <c r="U1190" s="353"/>
      <c r="V1190" s="353"/>
      <c r="W1190" s="432"/>
      <c r="X1190" s="200"/>
      <c r="Y1190" s="200"/>
      <c r="Z1190" s="200"/>
      <c r="AA1190" s="200"/>
      <c r="AB1190" s="200"/>
      <c r="AC1190" s="200"/>
      <c r="AD1190" s="200"/>
      <c r="AE1190" s="200"/>
      <c r="AF1190" s="200"/>
      <c r="AG1190" s="200"/>
      <c r="AH1190" s="200"/>
      <c r="AI1190" s="200"/>
      <c r="AJ1190" s="200"/>
      <c r="AK1190" s="200"/>
      <c r="AL1190" s="200"/>
      <c r="AM1190" s="200"/>
      <c r="AN1190" s="200"/>
      <c r="AO1190" s="200"/>
      <c r="AP1190" s="200"/>
      <c r="AQ1190" s="200"/>
      <c r="AR1190" s="200"/>
      <c r="AS1190" s="200"/>
      <c r="AT1190" s="200"/>
    </row>
    <row r="1191" spans="1:46" ht="16.5" customHeight="1">
      <c r="A1191" s="307"/>
      <c r="B1191" s="307"/>
      <c r="C1191" s="200"/>
      <c r="D1191" s="200"/>
      <c r="E1191" s="200"/>
      <c r="F1191" s="200"/>
      <c r="G1191" s="200"/>
      <c r="H1191" s="200"/>
      <c r="I1191" s="200"/>
      <c r="J1191" s="200"/>
      <c r="K1191" s="200"/>
      <c r="L1191" s="200"/>
      <c r="M1191" s="200"/>
      <c r="N1191" s="200"/>
      <c r="O1191" s="200"/>
      <c r="P1191" s="200"/>
      <c r="Q1191" s="353"/>
      <c r="R1191" s="353"/>
      <c r="S1191" s="200"/>
      <c r="T1191" s="353"/>
      <c r="U1191" s="353"/>
      <c r="V1191" s="353"/>
      <c r="W1191" s="432"/>
      <c r="X1191" s="200"/>
      <c r="Y1191" s="200"/>
      <c r="Z1191" s="200"/>
      <c r="AA1191" s="200"/>
      <c r="AB1191" s="200"/>
      <c r="AC1191" s="200"/>
      <c r="AD1191" s="200"/>
      <c r="AE1191" s="200"/>
      <c r="AF1191" s="200"/>
      <c r="AG1191" s="200"/>
      <c r="AH1191" s="200"/>
      <c r="AI1191" s="200"/>
      <c r="AJ1191" s="200"/>
      <c r="AK1191" s="200"/>
      <c r="AL1191" s="200"/>
      <c r="AM1191" s="200"/>
      <c r="AN1191" s="200"/>
      <c r="AO1191" s="200"/>
      <c r="AP1191" s="200"/>
      <c r="AQ1191" s="200"/>
      <c r="AR1191" s="200"/>
      <c r="AS1191" s="200"/>
      <c r="AT1191" s="200"/>
    </row>
    <row r="1192" spans="1:46" ht="16.5" customHeight="1">
      <c r="A1192" s="307"/>
      <c r="B1192" s="307"/>
      <c r="C1192" s="200"/>
      <c r="D1192" s="200"/>
      <c r="E1192" s="200"/>
      <c r="F1192" s="200"/>
      <c r="G1192" s="200"/>
      <c r="H1192" s="200"/>
      <c r="I1192" s="200"/>
      <c r="J1192" s="200"/>
      <c r="K1192" s="200"/>
      <c r="L1192" s="200"/>
      <c r="M1192" s="200"/>
      <c r="N1192" s="200"/>
      <c r="O1192" s="200"/>
      <c r="P1192" s="200"/>
      <c r="Q1192" s="353"/>
      <c r="R1192" s="353"/>
      <c r="S1192" s="200"/>
      <c r="T1192" s="353"/>
      <c r="U1192" s="353"/>
      <c r="V1192" s="353"/>
      <c r="W1192" s="432"/>
      <c r="X1192" s="200"/>
      <c r="Y1192" s="200"/>
      <c r="Z1192" s="200"/>
      <c r="AA1192" s="200"/>
      <c r="AB1192" s="200"/>
      <c r="AC1192" s="200"/>
      <c r="AD1192" s="200"/>
      <c r="AE1192" s="200"/>
      <c r="AF1192" s="200"/>
      <c r="AG1192" s="200"/>
      <c r="AH1192" s="200"/>
      <c r="AI1192" s="200"/>
      <c r="AJ1192" s="200"/>
      <c r="AK1192" s="200"/>
      <c r="AL1192" s="200"/>
      <c r="AM1192" s="200"/>
      <c r="AN1192" s="200"/>
      <c r="AO1192" s="200"/>
      <c r="AP1192" s="200"/>
      <c r="AQ1192" s="200"/>
      <c r="AR1192" s="200"/>
      <c r="AS1192" s="200"/>
      <c r="AT1192" s="200"/>
    </row>
    <row r="1193" spans="1:46" ht="16.5" customHeight="1">
      <c r="A1193" s="307"/>
      <c r="B1193" s="307"/>
      <c r="C1193" s="200"/>
      <c r="D1193" s="200"/>
      <c r="E1193" s="200"/>
      <c r="F1193" s="200"/>
      <c r="G1193" s="200"/>
      <c r="H1193" s="200"/>
      <c r="I1193" s="200"/>
      <c r="J1193" s="200"/>
      <c r="K1193" s="200"/>
      <c r="L1193" s="200"/>
      <c r="M1193" s="200"/>
      <c r="N1193" s="200"/>
      <c r="O1193" s="200"/>
      <c r="P1193" s="200"/>
      <c r="Q1193" s="353"/>
      <c r="R1193" s="353"/>
      <c r="S1193" s="200"/>
      <c r="T1193" s="353"/>
      <c r="U1193" s="353"/>
      <c r="V1193" s="353"/>
      <c r="W1193" s="432"/>
      <c r="X1193" s="200"/>
      <c r="Y1193" s="200"/>
      <c r="Z1193" s="200"/>
      <c r="AA1193" s="200"/>
      <c r="AB1193" s="200"/>
      <c r="AC1193" s="200"/>
      <c r="AD1193" s="200"/>
      <c r="AE1193" s="200"/>
      <c r="AF1193" s="200"/>
      <c r="AG1193" s="200"/>
      <c r="AH1193" s="200"/>
      <c r="AI1193" s="200"/>
      <c r="AJ1193" s="200"/>
      <c r="AK1193" s="200"/>
      <c r="AL1193" s="200"/>
      <c r="AM1193" s="200"/>
      <c r="AN1193" s="200"/>
      <c r="AO1193" s="200"/>
      <c r="AP1193" s="200"/>
      <c r="AQ1193" s="200"/>
      <c r="AR1193" s="200"/>
      <c r="AS1193" s="200"/>
      <c r="AT1193" s="200"/>
    </row>
    <row r="1194" spans="1:46" ht="16.5" customHeight="1">
      <c r="A1194" s="307"/>
      <c r="B1194" s="307"/>
      <c r="C1194" s="200"/>
      <c r="D1194" s="200"/>
      <c r="E1194" s="200"/>
      <c r="F1194" s="200"/>
      <c r="G1194" s="200"/>
      <c r="H1194" s="200"/>
      <c r="I1194" s="200"/>
      <c r="J1194" s="200"/>
      <c r="K1194" s="200"/>
      <c r="L1194" s="200"/>
      <c r="M1194" s="200"/>
      <c r="N1194" s="200"/>
      <c r="O1194" s="200"/>
      <c r="P1194" s="200"/>
      <c r="Q1194" s="353"/>
      <c r="R1194" s="353"/>
      <c r="S1194" s="200"/>
      <c r="T1194" s="353"/>
      <c r="U1194" s="353"/>
      <c r="V1194" s="353"/>
      <c r="W1194" s="432"/>
      <c r="X1194" s="200"/>
      <c r="Y1194" s="200"/>
      <c r="Z1194" s="200"/>
      <c r="AA1194" s="200"/>
      <c r="AB1194" s="200"/>
      <c r="AC1194" s="200"/>
      <c r="AD1194" s="200"/>
      <c r="AE1194" s="200"/>
      <c r="AF1194" s="200"/>
      <c r="AG1194" s="200"/>
      <c r="AH1194" s="200"/>
      <c r="AI1194" s="200"/>
      <c r="AJ1194" s="200"/>
      <c r="AK1194" s="200"/>
      <c r="AL1194" s="200"/>
      <c r="AM1194" s="200"/>
      <c r="AN1194" s="200"/>
      <c r="AO1194" s="200"/>
      <c r="AP1194" s="200"/>
      <c r="AQ1194" s="200"/>
      <c r="AR1194" s="200"/>
      <c r="AS1194" s="200"/>
      <c r="AT1194" s="200"/>
    </row>
    <row r="1195" spans="1:46" ht="16.5" customHeight="1">
      <c r="A1195" s="307"/>
      <c r="B1195" s="307"/>
      <c r="C1195" s="200"/>
      <c r="D1195" s="200"/>
      <c r="E1195" s="200"/>
      <c r="F1195" s="200"/>
      <c r="G1195" s="200"/>
      <c r="H1195" s="200"/>
      <c r="I1195" s="200"/>
      <c r="J1195" s="200"/>
      <c r="K1195" s="200"/>
      <c r="L1195" s="200"/>
      <c r="M1195" s="200"/>
      <c r="N1195" s="200"/>
      <c r="O1195" s="200"/>
      <c r="P1195" s="200"/>
      <c r="Q1195" s="353"/>
      <c r="R1195" s="353"/>
      <c r="S1195" s="200"/>
      <c r="T1195" s="353"/>
      <c r="U1195" s="353"/>
      <c r="V1195" s="353"/>
      <c r="W1195" s="432"/>
      <c r="X1195" s="200"/>
      <c r="Y1195" s="200"/>
      <c r="Z1195" s="200"/>
      <c r="AA1195" s="200"/>
      <c r="AB1195" s="200"/>
      <c r="AC1195" s="200"/>
      <c r="AD1195" s="200"/>
      <c r="AE1195" s="200"/>
      <c r="AF1195" s="200"/>
      <c r="AG1195" s="200"/>
      <c r="AH1195" s="200"/>
      <c r="AI1195" s="200"/>
      <c r="AJ1195" s="200"/>
      <c r="AK1195" s="200"/>
      <c r="AL1195" s="200"/>
      <c r="AM1195" s="200"/>
      <c r="AN1195" s="200"/>
      <c r="AO1195" s="200"/>
      <c r="AP1195" s="200"/>
      <c r="AQ1195" s="200"/>
      <c r="AR1195" s="200"/>
      <c r="AS1195" s="200"/>
      <c r="AT1195" s="200"/>
    </row>
    <row r="1196" spans="1:46" ht="16.5" customHeight="1">
      <c r="A1196" s="307"/>
      <c r="B1196" s="307"/>
      <c r="C1196" s="200"/>
      <c r="D1196" s="200"/>
      <c r="E1196" s="200"/>
      <c r="F1196" s="200"/>
      <c r="G1196" s="200"/>
      <c r="H1196" s="200"/>
      <c r="I1196" s="200"/>
      <c r="J1196" s="200"/>
      <c r="K1196" s="200"/>
      <c r="L1196" s="200"/>
      <c r="M1196" s="200"/>
      <c r="N1196" s="200"/>
      <c r="O1196" s="200"/>
      <c r="P1196" s="200"/>
      <c r="Q1196" s="353"/>
      <c r="R1196" s="353"/>
      <c r="S1196" s="200"/>
      <c r="T1196" s="353"/>
      <c r="U1196" s="353"/>
      <c r="V1196" s="353"/>
      <c r="W1196" s="432"/>
      <c r="X1196" s="200"/>
      <c r="Y1196" s="200"/>
      <c r="Z1196" s="200"/>
      <c r="AA1196" s="200"/>
      <c r="AB1196" s="200"/>
      <c r="AC1196" s="200"/>
      <c r="AD1196" s="200"/>
      <c r="AE1196" s="200"/>
      <c r="AF1196" s="200"/>
      <c r="AG1196" s="200"/>
      <c r="AH1196" s="200"/>
      <c r="AI1196" s="200"/>
      <c r="AJ1196" s="200"/>
      <c r="AK1196" s="200"/>
      <c r="AL1196" s="200"/>
      <c r="AM1196" s="200"/>
      <c r="AN1196" s="200"/>
      <c r="AO1196" s="200"/>
      <c r="AP1196" s="200"/>
      <c r="AQ1196" s="200"/>
      <c r="AR1196" s="200"/>
      <c r="AS1196" s="200"/>
      <c r="AT1196" s="200"/>
    </row>
    <row r="1197" spans="1:46" ht="16.5" customHeight="1">
      <c r="A1197" s="307"/>
      <c r="B1197" s="307"/>
      <c r="C1197" s="200"/>
      <c r="D1197" s="200"/>
      <c r="E1197" s="200"/>
      <c r="F1197" s="200"/>
      <c r="G1197" s="200"/>
      <c r="H1197" s="200"/>
      <c r="I1197" s="200"/>
      <c r="J1197" s="200"/>
      <c r="K1197" s="200"/>
      <c r="L1197" s="200"/>
      <c r="M1197" s="200"/>
      <c r="N1197" s="200"/>
      <c r="O1197" s="200"/>
      <c r="P1197" s="200"/>
      <c r="Q1197" s="353"/>
      <c r="R1197" s="353"/>
      <c r="S1197" s="200"/>
      <c r="T1197" s="353"/>
      <c r="U1197" s="353"/>
      <c r="V1197" s="353"/>
      <c r="W1197" s="432"/>
      <c r="X1197" s="200"/>
      <c r="Y1197" s="200"/>
      <c r="Z1197" s="200"/>
      <c r="AA1197" s="200"/>
      <c r="AB1197" s="200"/>
      <c r="AC1197" s="200"/>
      <c r="AD1197" s="200"/>
      <c r="AE1197" s="200"/>
      <c r="AF1197" s="200"/>
      <c r="AG1197" s="200"/>
      <c r="AH1197" s="200"/>
      <c r="AI1197" s="200"/>
      <c r="AJ1197" s="200"/>
      <c r="AK1197" s="200"/>
      <c r="AL1197" s="200"/>
      <c r="AM1197" s="200"/>
      <c r="AN1197" s="200"/>
      <c r="AO1197" s="200"/>
      <c r="AP1197" s="200"/>
      <c r="AQ1197" s="200"/>
      <c r="AR1197" s="200"/>
      <c r="AS1197" s="200"/>
      <c r="AT1197" s="200"/>
    </row>
    <row r="1198" spans="1:46" ht="16.5" customHeight="1">
      <c r="A1198" s="307"/>
      <c r="B1198" s="307"/>
      <c r="C1198" s="200"/>
      <c r="D1198" s="200"/>
      <c r="E1198" s="200"/>
      <c r="F1198" s="200"/>
      <c r="G1198" s="200"/>
      <c r="H1198" s="200"/>
      <c r="I1198" s="200"/>
      <c r="J1198" s="200"/>
      <c r="K1198" s="200"/>
      <c r="L1198" s="200"/>
      <c r="M1198" s="200"/>
      <c r="N1198" s="200"/>
      <c r="O1198" s="200"/>
      <c r="P1198" s="200"/>
      <c r="Q1198" s="353"/>
      <c r="R1198" s="353"/>
      <c r="S1198" s="200"/>
      <c r="T1198" s="353"/>
      <c r="U1198" s="353"/>
      <c r="V1198" s="353"/>
      <c r="W1198" s="432"/>
      <c r="X1198" s="200"/>
      <c r="Y1198" s="200"/>
      <c r="Z1198" s="200"/>
      <c r="AA1198" s="200"/>
      <c r="AB1198" s="200"/>
      <c r="AC1198" s="200"/>
      <c r="AD1198" s="200"/>
      <c r="AE1198" s="200"/>
      <c r="AF1198" s="200"/>
      <c r="AG1198" s="200"/>
      <c r="AH1198" s="200"/>
      <c r="AI1198" s="200"/>
      <c r="AJ1198" s="200"/>
      <c r="AK1198" s="200"/>
      <c r="AL1198" s="200"/>
      <c r="AM1198" s="200"/>
      <c r="AN1198" s="200"/>
      <c r="AO1198" s="200"/>
      <c r="AP1198" s="200"/>
      <c r="AQ1198" s="200"/>
      <c r="AR1198" s="200"/>
      <c r="AS1198" s="200"/>
      <c r="AT1198" s="200"/>
    </row>
    <row r="1199" spans="1:46" ht="16.5" customHeight="1">
      <c r="A1199" s="307"/>
      <c r="B1199" s="307"/>
      <c r="C1199" s="200"/>
      <c r="D1199" s="200"/>
      <c r="E1199" s="200"/>
      <c r="F1199" s="200"/>
      <c r="G1199" s="200"/>
      <c r="H1199" s="200"/>
      <c r="I1199" s="200"/>
      <c r="J1199" s="200"/>
      <c r="K1199" s="200"/>
      <c r="L1199" s="200"/>
      <c r="M1199" s="200"/>
      <c r="N1199" s="200"/>
      <c r="O1199" s="200"/>
      <c r="P1199" s="200"/>
      <c r="Q1199" s="353"/>
      <c r="R1199" s="353"/>
      <c r="S1199" s="200"/>
      <c r="T1199" s="353"/>
      <c r="U1199" s="353"/>
      <c r="V1199" s="353"/>
      <c r="W1199" s="432"/>
      <c r="X1199" s="200"/>
      <c r="Y1199" s="200"/>
      <c r="Z1199" s="200"/>
      <c r="AA1199" s="200"/>
      <c r="AB1199" s="200"/>
      <c r="AC1199" s="200"/>
      <c r="AD1199" s="200"/>
      <c r="AE1199" s="200"/>
      <c r="AF1199" s="200"/>
      <c r="AG1199" s="200"/>
      <c r="AH1199" s="200"/>
      <c r="AI1199" s="200"/>
      <c r="AJ1199" s="200"/>
      <c r="AK1199" s="200"/>
      <c r="AL1199" s="200"/>
      <c r="AM1199" s="200"/>
      <c r="AN1199" s="200"/>
      <c r="AO1199" s="200"/>
      <c r="AP1199" s="200"/>
      <c r="AQ1199" s="200"/>
      <c r="AR1199" s="200"/>
      <c r="AS1199" s="200"/>
      <c r="AT1199" s="200"/>
    </row>
    <row r="1200" spans="1:46" ht="16.5" customHeight="1">
      <c r="A1200" s="307"/>
      <c r="B1200" s="307"/>
      <c r="C1200" s="200"/>
      <c r="D1200" s="200"/>
      <c r="E1200" s="200"/>
      <c r="F1200" s="200"/>
      <c r="G1200" s="200"/>
      <c r="H1200" s="200"/>
      <c r="I1200" s="200"/>
      <c r="J1200" s="200"/>
      <c r="K1200" s="200"/>
      <c r="L1200" s="200"/>
      <c r="M1200" s="200"/>
      <c r="N1200" s="200"/>
      <c r="O1200" s="200"/>
      <c r="P1200" s="200"/>
      <c r="Q1200" s="353"/>
      <c r="R1200" s="353"/>
      <c r="S1200" s="200"/>
      <c r="T1200" s="353"/>
      <c r="U1200" s="353"/>
      <c r="V1200" s="353"/>
      <c r="W1200" s="432"/>
      <c r="X1200" s="200"/>
      <c r="Y1200" s="200"/>
      <c r="Z1200" s="200"/>
      <c r="AA1200" s="200"/>
      <c r="AB1200" s="200"/>
      <c r="AC1200" s="200"/>
      <c r="AD1200" s="200"/>
      <c r="AE1200" s="200"/>
      <c r="AF1200" s="200"/>
      <c r="AG1200" s="200"/>
      <c r="AH1200" s="200"/>
      <c r="AI1200" s="200"/>
      <c r="AJ1200" s="200"/>
      <c r="AK1200" s="200"/>
      <c r="AL1200" s="200"/>
      <c r="AM1200" s="200"/>
      <c r="AN1200" s="200"/>
      <c r="AO1200" s="200"/>
      <c r="AP1200" s="200"/>
      <c r="AQ1200" s="200"/>
      <c r="AR1200" s="200"/>
      <c r="AS1200" s="200"/>
      <c r="AT1200" s="200"/>
    </row>
    <row r="1201" spans="1:46" ht="16.5" customHeight="1">
      <c r="A1201" s="307"/>
      <c r="B1201" s="307"/>
      <c r="C1201" s="200"/>
      <c r="D1201" s="200"/>
      <c r="E1201" s="200"/>
      <c r="F1201" s="200"/>
      <c r="G1201" s="200"/>
      <c r="H1201" s="200"/>
      <c r="I1201" s="200"/>
      <c r="J1201" s="200"/>
      <c r="K1201" s="200"/>
      <c r="L1201" s="200"/>
      <c r="M1201" s="200"/>
      <c r="N1201" s="200"/>
      <c r="O1201" s="200"/>
      <c r="P1201" s="200"/>
      <c r="Q1201" s="353"/>
      <c r="R1201" s="353"/>
      <c r="S1201" s="200"/>
      <c r="T1201" s="353"/>
      <c r="U1201" s="353"/>
      <c r="V1201" s="353"/>
      <c r="W1201" s="432"/>
      <c r="X1201" s="200"/>
      <c r="Y1201" s="200"/>
      <c r="Z1201" s="200"/>
      <c r="AA1201" s="200"/>
      <c r="AB1201" s="200"/>
      <c r="AC1201" s="200"/>
      <c r="AD1201" s="200"/>
      <c r="AE1201" s="200"/>
      <c r="AF1201" s="200"/>
      <c r="AG1201" s="200"/>
      <c r="AH1201" s="200"/>
      <c r="AI1201" s="200"/>
      <c r="AJ1201" s="200"/>
      <c r="AK1201" s="200"/>
      <c r="AL1201" s="200"/>
      <c r="AM1201" s="200"/>
      <c r="AN1201" s="200"/>
      <c r="AO1201" s="200"/>
      <c r="AP1201" s="200"/>
      <c r="AQ1201" s="200"/>
      <c r="AR1201" s="200"/>
      <c r="AS1201" s="200"/>
      <c r="AT1201" s="200"/>
    </row>
    <row r="1202" spans="1:46" ht="16.5" customHeight="1">
      <c r="A1202" s="307"/>
      <c r="B1202" s="307"/>
      <c r="C1202" s="200"/>
      <c r="D1202" s="200"/>
      <c r="E1202" s="200"/>
      <c r="F1202" s="200"/>
      <c r="G1202" s="200"/>
      <c r="H1202" s="200"/>
      <c r="I1202" s="200"/>
      <c r="J1202" s="200"/>
      <c r="K1202" s="200"/>
      <c r="L1202" s="200"/>
      <c r="M1202" s="200"/>
      <c r="N1202" s="200"/>
      <c r="O1202" s="200"/>
      <c r="P1202" s="200"/>
      <c r="Q1202" s="353"/>
      <c r="R1202" s="353"/>
      <c r="S1202" s="200"/>
      <c r="T1202" s="353"/>
      <c r="U1202" s="353"/>
      <c r="V1202" s="353"/>
      <c r="W1202" s="432"/>
      <c r="X1202" s="200"/>
      <c r="Y1202" s="200"/>
      <c r="Z1202" s="200"/>
      <c r="AA1202" s="200"/>
      <c r="AB1202" s="200"/>
      <c r="AC1202" s="200"/>
      <c r="AD1202" s="200"/>
      <c r="AE1202" s="200"/>
      <c r="AF1202" s="200"/>
      <c r="AG1202" s="200"/>
      <c r="AH1202" s="200"/>
      <c r="AI1202" s="200"/>
      <c r="AJ1202" s="200"/>
      <c r="AK1202" s="200"/>
      <c r="AL1202" s="200"/>
      <c r="AM1202" s="200"/>
      <c r="AN1202" s="200"/>
      <c r="AO1202" s="200"/>
      <c r="AP1202" s="200"/>
      <c r="AQ1202" s="200"/>
      <c r="AR1202" s="200"/>
      <c r="AS1202" s="200"/>
      <c r="AT1202" s="200"/>
    </row>
    <row r="1203" spans="1:46" ht="16.5" customHeight="1">
      <c r="A1203" s="307"/>
      <c r="B1203" s="307"/>
      <c r="C1203" s="200"/>
      <c r="D1203" s="200"/>
      <c r="E1203" s="200"/>
      <c r="F1203" s="200"/>
      <c r="G1203" s="200"/>
      <c r="H1203" s="200"/>
      <c r="I1203" s="200"/>
      <c r="J1203" s="200"/>
      <c r="K1203" s="200"/>
      <c r="L1203" s="200"/>
      <c r="M1203" s="200"/>
      <c r="N1203" s="200"/>
      <c r="O1203" s="200"/>
      <c r="P1203" s="200"/>
      <c r="Q1203" s="353"/>
      <c r="R1203" s="353"/>
      <c r="S1203" s="200"/>
      <c r="T1203" s="353"/>
      <c r="U1203" s="353"/>
      <c r="V1203" s="353"/>
      <c r="W1203" s="432"/>
      <c r="X1203" s="200"/>
      <c r="Y1203" s="200"/>
      <c r="Z1203" s="200"/>
      <c r="AA1203" s="200"/>
      <c r="AB1203" s="200"/>
      <c r="AC1203" s="200"/>
      <c r="AD1203" s="200"/>
      <c r="AE1203" s="200"/>
      <c r="AF1203" s="200"/>
      <c r="AG1203" s="200"/>
      <c r="AH1203" s="200"/>
      <c r="AI1203" s="200"/>
      <c r="AJ1203" s="200"/>
      <c r="AK1203" s="200"/>
      <c r="AL1203" s="200"/>
      <c r="AM1203" s="200"/>
      <c r="AN1203" s="200"/>
      <c r="AO1203" s="200"/>
      <c r="AP1203" s="200"/>
      <c r="AQ1203" s="200"/>
      <c r="AR1203" s="200"/>
      <c r="AS1203" s="200"/>
      <c r="AT1203" s="200"/>
    </row>
    <row r="1204" spans="1:46" ht="16.5" customHeight="1">
      <c r="A1204" s="307"/>
      <c r="B1204" s="307"/>
      <c r="C1204" s="200"/>
      <c r="D1204" s="200"/>
      <c r="E1204" s="200"/>
      <c r="F1204" s="200"/>
      <c r="G1204" s="200"/>
      <c r="H1204" s="200"/>
      <c r="I1204" s="200"/>
      <c r="J1204" s="200"/>
      <c r="K1204" s="200"/>
      <c r="L1204" s="200"/>
      <c r="M1204" s="200"/>
      <c r="N1204" s="200"/>
      <c r="O1204" s="200"/>
      <c r="P1204" s="200"/>
      <c r="Q1204" s="353"/>
      <c r="R1204" s="353"/>
      <c r="S1204" s="200"/>
      <c r="T1204" s="353"/>
      <c r="U1204" s="353"/>
      <c r="V1204" s="353"/>
      <c r="W1204" s="432"/>
      <c r="X1204" s="200"/>
      <c r="Y1204" s="200"/>
      <c r="Z1204" s="200"/>
      <c r="AA1204" s="200"/>
      <c r="AB1204" s="200"/>
      <c r="AC1204" s="200"/>
      <c r="AD1204" s="200"/>
      <c r="AE1204" s="200"/>
      <c r="AF1204" s="200"/>
      <c r="AG1204" s="200"/>
      <c r="AH1204" s="200"/>
      <c r="AI1204" s="200"/>
      <c r="AJ1204" s="200"/>
      <c r="AK1204" s="200"/>
      <c r="AL1204" s="200"/>
      <c r="AM1204" s="200"/>
      <c r="AN1204" s="200"/>
      <c r="AO1204" s="200"/>
      <c r="AP1204" s="200"/>
      <c r="AQ1204" s="200"/>
      <c r="AR1204" s="200"/>
      <c r="AS1204" s="200"/>
      <c r="AT1204" s="200"/>
    </row>
    <row r="1205" spans="1:46" ht="16.5" customHeight="1">
      <c r="A1205" s="307"/>
      <c r="B1205" s="307"/>
      <c r="C1205" s="200"/>
      <c r="D1205" s="200"/>
      <c r="E1205" s="200"/>
      <c r="F1205" s="200"/>
      <c r="G1205" s="200"/>
      <c r="H1205" s="200"/>
      <c r="I1205" s="200"/>
      <c r="J1205" s="200"/>
      <c r="K1205" s="200"/>
      <c r="L1205" s="200"/>
      <c r="M1205" s="200"/>
      <c r="N1205" s="200"/>
      <c r="O1205" s="200"/>
      <c r="P1205" s="200"/>
      <c r="Q1205" s="353"/>
      <c r="R1205" s="353"/>
      <c r="S1205" s="200"/>
      <c r="T1205" s="353"/>
      <c r="U1205" s="353"/>
      <c r="V1205" s="353"/>
      <c r="W1205" s="432"/>
      <c r="X1205" s="200"/>
      <c r="Y1205" s="200"/>
      <c r="Z1205" s="200"/>
      <c r="AA1205" s="200"/>
      <c r="AB1205" s="200"/>
      <c r="AC1205" s="200"/>
      <c r="AD1205" s="200"/>
      <c r="AE1205" s="200"/>
      <c r="AF1205" s="200"/>
      <c r="AG1205" s="200"/>
      <c r="AH1205" s="200"/>
      <c r="AI1205" s="200"/>
      <c r="AJ1205" s="200"/>
      <c r="AK1205" s="200"/>
      <c r="AL1205" s="200"/>
      <c r="AM1205" s="200"/>
      <c r="AN1205" s="200"/>
      <c r="AO1205" s="200"/>
      <c r="AP1205" s="200"/>
      <c r="AQ1205" s="200"/>
      <c r="AR1205" s="200"/>
      <c r="AS1205" s="200"/>
      <c r="AT1205" s="200"/>
    </row>
    <row r="1206" spans="1:46" ht="16.5" customHeight="1">
      <c r="A1206" s="307"/>
      <c r="B1206" s="307"/>
      <c r="C1206" s="200"/>
      <c r="D1206" s="200"/>
      <c r="E1206" s="200"/>
      <c r="F1206" s="200"/>
      <c r="G1206" s="200"/>
      <c r="H1206" s="200"/>
      <c r="I1206" s="200"/>
      <c r="J1206" s="200"/>
      <c r="K1206" s="200"/>
      <c r="L1206" s="200"/>
      <c r="M1206" s="200"/>
      <c r="N1206" s="200"/>
      <c r="O1206" s="200"/>
      <c r="P1206" s="200"/>
      <c r="Q1206" s="353"/>
      <c r="R1206" s="353"/>
      <c r="S1206" s="200"/>
      <c r="T1206" s="353"/>
      <c r="U1206" s="353"/>
      <c r="V1206" s="353"/>
      <c r="W1206" s="432"/>
      <c r="X1206" s="200"/>
      <c r="Y1206" s="200"/>
      <c r="Z1206" s="200"/>
      <c r="AA1206" s="200"/>
      <c r="AB1206" s="200"/>
      <c r="AC1206" s="200"/>
      <c r="AD1206" s="200"/>
      <c r="AE1206" s="200"/>
      <c r="AF1206" s="200"/>
      <c r="AG1206" s="200"/>
      <c r="AH1206" s="200"/>
      <c r="AI1206" s="200"/>
      <c r="AJ1206" s="200"/>
      <c r="AK1206" s="200"/>
      <c r="AL1206" s="200"/>
      <c r="AM1206" s="200"/>
      <c r="AN1206" s="200"/>
      <c r="AO1206" s="200"/>
      <c r="AP1206" s="200"/>
      <c r="AQ1206" s="200"/>
      <c r="AR1206" s="200"/>
      <c r="AS1206" s="200"/>
      <c r="AT1206" s="200"/>
    </row>
    <row r="1207" spans="1:46" ht="16.5" customHeight="1">
      <c r="A1207" s="307"/>
      <c r="B1207" s="307"/>
      <c r="C1207" s="200"/>
      <c r="D1207" s="200"/>
      <c r="E1207" s="200"/>
      <c r="F1207" s="200"/>
      <c r="G1207" s="200"/>
      <c r="H1207" s="200"/>
      <c r="I1207" s="200"/>
      <c r="J1207" s="200"/>
      <c r="K1207" s="200"/>
      <c r="L1207" s="200"/>
      <c r="M1207" s="200"/>
      <c r="N1207" s="200"/>
      <c r="O1207" s="200"/>
      <c r="P1207" s="200"/>
      <c r="Q1207" s="353"/>
      <c r="R1207" s="353"/>
      <c r="S1207" s="200"/>
      <c r="T1207" s="353"/>
      <c r="U1207" s="353"/>
      <c r="V1207" s="353"/>
      <c r="W1207" s="432"/>
      <c r="X1207" s="200"/>
      <c r="Y1207" s="200"/>
      <c r="Z1207" s="200"/>
      <c r="AA1207" s="200"/>
      <c r="AB1207" s="200"/>
      <c r="AC1207" s="200"/>
      <c r="AD1207" s="200"/>
      <c r="AE1207" s="200"/>
      <c r="AF1207" s="200"/>
      <c r="AG1207" s="200"/>
      <c r="AH1207" s="200"/>
      <c r="AI1207" s="200"/>
      <c r="AJ1207" s="200"/>
      <c r="AK1207" s="200"/>
      <c r="AL1207" s="200"/>
      <c r="AM1207" s="200"/>
      <c r="AN1207" s="200"/>
      <c r="AO1207" s="200"/>
      <c r="AP1207" s="200"/>
      <c r="AQ1207" s="200"/>
      <c r="AR1207" s="200"/>
      <c r="AS1207" s="200"/>
      <c r="AT1207" s="200"/>
    </row>
    <row r="1208" spans="1:46" ht="16.5" customHeight="1">
      <c r="A1208" s="307"/>
      <c r="B1208" s="307"/>
      <c r="C1208" s="200"/>
      <c r="D1208" s="200"/>
      <c r="E1208" s="200"/>
      <c r="F1208" s="200"/>
      <c r="G1208" s="200"/>
      <c r="H1208" s="200"/>
      <c r="I1208" s="200"/>
      <c r="J1208" s="200"/>
      <c r="K1208" s="200"/>
      <c r="L1208" s="200"/>
      <c r="M1208" s="200"/>
      <c r="N1208" s="200"/>
      <c r="O1208" s="200"/>
      <c r="P1208" s="200"/>
      <c r="Q1208" s="353"/>
      <c r="R1208" s="353"/>
      <c r="S1208" s="200"/>
      <c r="T1208" s="353"/>
      <c r="U1208" s="353"/>
      <c r="V1208" s="353"/>
      <c r="W1208" s="432"/>
      <c r="X1208" s="200"/>
      <c r="Y1208" s="200"/>
      <c r="Z1208" s="200"/>
      <c r="AA1208" s="200"/>
      <c r="AB1208" s="200"/>
      <c r="AC1208" s="200"/>
      <c r="AD1208" s="200"/>
      <c r="AE1208" s="200"/>
      <c r="AF1208" s="200"/>
      <c r="AG1208" s="200"/>
      <c r="AH1208" s="200"/>
      <c r="AI1208" s="200"/>
      <c r="AJ1208" s="200"/>
      <c r="AK1208" s="200"/>
      <c r="AL1208" s="200"/>
      <c r="AM1208" s="200"/>
      <c r="AN1208" s="200"/>
      <c r="AO1208" s="200"/>
      <c r="AP1208" s="200"/>
      <c r="AQ1208" s="200"/>
      <c r="AR1208" s="200"/>
      <c r="AS1208" s="200"/>
      <c r="AT1208" s="200"/>
    </row>
    <row r="1209" spans="1:46" ht="16.5" customHeight="1">
      <c r="A1209" s="307"/>
      <c r="B1209" s="307"/>
      <c r="C1209" s="200"/>
      <c r="D1209" s="200"/>
      <c r="E1209" s="200"/>
      <c r="F1209" s="200"/>
      <c r="G1209" s="200"/>
      <c r="H1209" s="200"/>
      <c r="I1209" s="200"/>
      <c r="J1209" s="200"/>
      <c r="K1209" s="200"/>
      <c r="L1209" s="200"/>
      <c r="M1209" s="200"/>
      <c r="N1209" s="200"/>
      <c r="O1209" s="200"/>
      <c r="P1209" s="200"/>
      <c r="Q1209" s="353"/>
      <c r="R1209" s="353"/>
      <c r="S1209" s="200"/>
      <c r="T1209" s="353"/>
      <c r="U1209" s="353"/>
      <c r="V1209" s="353"/>
      <c r="W1209" s="432"/>
      <c r="X1209" s="200"/>
      <c r="Y1209" s="200"/>
      <c r="Z1209" s="200"/>
      <c r="AA1209" s="200"/>
      <c r="AB1209" s="200"/>
      <c r="AC1209" s="200"/>
      <c r="AD1209" s="200"/>
      <c r="AE1209" s="200"/>
      <c r="AF1209" s="200"/>
      <c r="AG1209" s="200"/>
      <c r="AH1209" s="200"/>
      <c r="AI1209" s="200"/>
      <c r="AJ1209" s="200"/>
      <c r="AK1209" s="200"/>
      <c r="AL1209" s="200"/>
      <c r="AM1209" s="200"/>
      <c r="AN1209" s="200"/>
      <c r="AO1209" s="200"/>
      <c r="AP1209" s="200"/>
      <c r="AQ1209" s="200"/>
      <c r="AR1209" s="200"/>
      <c r="AS1209" s="200"/>
      <c r="AT1209" s="200"/>
    </row>
    <row r="1210" spans="1:46" ht="16.5" customHeight="1">
      <c r="A1210" s="307"/>
      <c r="B1210" s="307"/>
      <c r="C1210" s="200"/>
      <c r="D1210" s="200"/>
      <c r="E1210" s="200"/>
      <c r="F1210" s="200"/>
      <c r="G1210" s="200"/>
      <c r="H1210" s="200"/>
      <c r="I1210" s="200"/>
      <c r="J1210" s="200"/>
      <c r="K1210" s="200"/>
      <c r="L1210" s="200"/>
      <c r="M1210" s="200"/>
      <c r="N1210" s="200"/>
      <c r="O1210" s="200"/>
      <c r="P1210" s="200"/>
      <c r="Q1210" s="353"/>
      <c r="R1210" s="353"/>
      <c r="S1210" s="200"/>
      <c r="T1210" s="353"/>
      <c r="U1210" s="353"/>
      <c r="V1210" s="353"/>
      <c r="W1210" s="432"/>
      <c r="X1210" s="200"/>
      <c r="Y1210" s="200"/>
      <c r="Z1210" s="200"/>
      <c r="AA1210" s="200"/>
      <c r="AB1210" s="200"/>
      <c r="AC1210" s="200"/>
      <c r="AD1210" s="200"/>
      <c r="AE1210" s="200"/>
      <c r="AF1210" s="200"/>
      <c r="AG1210" s="200"/>
      <c r="AH1210" s="200"/>
      <c r="AI1210" s="200"/>
      <c r="AJ1210" s="200"/>
      <c r="AK1210" s="200"/>
      <c r="AL1210" s="200"/>
      <c r="AM1210" s="200"/>
      <c r="AN1210" s="200"/>
      <c r="AO1210" s="200"/>
      <c r="AP1210" s="200"/>
      <c r="AQ1210" s="200"/>
      <c r="AR1210" s="200"/>
      <c r="AS1210" s="200"/>
      <c r="AT1210" s="200"/>
    </row>
    <row r="1211" spans="1:46" ht="16.5" customHeight="1">
      <c r="A1211" s="307"/>
      <c r="B1211" s="307"/>
      <c r="C1211" s="200"/>
      <c r="D1211" s="200"/>
      <c r="E1211" s="200"/>
      <c r="F1211" s="200"/>
      <c r="G1211" s="200"/>
      <c r="H1211" s="200"/>
      <c r="I1211" s="200"/>
      <c r="J1211" s="200"/>
      <c r="K1211" s="200"/>
      <c r="L1211" s="200"/>
      <c r="M1211" s="200"/>
      <c r="N1211" s="200"/>
      <c r="O1211" s="200"/>
      <c r="P1211" s="200"/>
      <c r="Q1211" s="353"/>
      <c r="R1211" s="353"/>
      <c r="S1211" s="200"/>
      <c r="T1211" s="353"/>
      <c r="U1211" s="353"/>
      <c r="V1211" s="353"/>
      <c r="W1211" s="432"/>
      <c r="X1211" s="200"/>
      <c r="Y1211" s="200"/>
      <c r="Z1211" s="200"/>
      <c r="AA1211" s="200"/>
      <c r="AB1211" s="200"/>
      <c r="AC1211" s="200"/>
      <c r="AD1211" s="200"/>
      <c r="AE1211" s="200"/>
      <c r="AF1211" s="200"/>
      <c r="AG1211" s="200"/>
      <c r="AH1211" s="200"/>
      <c r="AI1211" s="200"/>
      <c r="AJ1211" s="200"/>
      <c r="AK1211" s="200"/>
      <c r="AL1211" s="200"/>
      <c r="AM1211" s="200"/>
      <c r="AN1211" s="200"/>
      <c r="AO1211" s="200"/>
      <c r="AP1211" s="200"/>
      <c r="AQ1211" s="200"/>
      <c r="AR1211" s="200"/>
      <c r="AS1211" s="200"/>
      <c r="AT1211" s="200"/>
    </row>
    <row r="1212" spans="1:46" ht="16.5" customHeight="1">
      <c r="A1212" s="307"/>
      <c r="B1212" s="307"/>
      <c r="C1212" s="200"/>
      <c r="D1212" s="200"/>
      <c r="E1212" s="200"/>
      <c r="F1212" s="200"/>
      <c r="G1212" s="200"/>
      <c r="H1212" s="200"/>
      <c r="I1212" s="200"/>
      <c r="J1212" s="200"/>
      <c r="K1212" s="200"/>
      <c r="L1212" s="200"/>
      <c r="M1212" s="200"/>
      <c r="N1212" s="200"/>
      <c r="O1212" s="200"/>
      <c r="P1212" s="200"/>
      <c r="Q1212" s="353"/>
      <c r="R1212" s="353"/>
      <c r="S1212" s="200"/>
      <c r="T1212" s="353"/>
      <c r="U1212" s="353"/>
      <c r="V1212" s="353"/>
      <c r="W1212" s="432"/>
      <c r="X1212" s="200"/>
      <c r="Y1212" s="200"/>
      <c r="Z1212" s="200"/>
      <c r="AA1212" s="200"/>
      <c r="AB1212" s="200"/>
      <c r="AC1212" s="200"/>
      <c r="AD1212" s="200"/>
      <c r="AE1212" s="200"/>
      <c r="AF1212" s="200"/>
      <c r="AG1212" s="200"/>
      <c r="AH1212" s="200"/>
      <c r="AI1212" s="200"/>
      <c r="AJ1212" s="200"/>
      <c r="AK1212" s="200"/>
      <c r="AL1212" s="200"/>
      <c r="AM1212" s="200"/>
      <c r="AN1212" s="200"/>
      <c r="AO1212" s="200"/>
      <c r="AP1212" s="200"/>
      <c r="AQ1212" s="200"/>
      <c r="AR1212" s="200"/>
      <c r="AS1212" s="200"/>
      <c r="AT1212" s="200"/>
    </row>
    <row r="1213" spans="1:46" ht="16.5" customHeight="1">
      <c r="A1213" s="307"/>
      <c r="B1213" s="307"/>
      <c r="C1213" s="200"/>
      <c r="D1213" s="200"/>
      <c r="E1213" s="200"/>
      <c r="F1213" s="200"/>
      <c r="G1213" s="200"/>
      <c r="H1213" s="200"/>
      <c r="I1213" s="200"/>
      <c r="J1213" s="200"/>
      <c r="K1213" s="200"/>
      <c r="L1213" s="200"/>
      <c r="M1213" s="200"/>
      <c r="N1213" s="200"/>
      <c r="O1213" s="200"/>
      <c r="P1213" s="200"/>
      <c r="Q1213" s="353"/>
      <c r="R1213" s="353"/>
      <c r="S1213" s="200"/>
      <c r="T1213" s="353"/>
      <c r="U1213" s="353"/>
      <c r="V1213" s="353"/>
      <c r="W1213" s="432"/>
      <c r="X1213" s="200"/>
      <c r="Y1213" s="200"/>
      <c r="Z1213" s="200"/>
      <c r="AA1213" s="200"/>
      <c r="AB1213" s="200"/>
      <c r="AC1213" s="200"/>
      <c r="AD1213" s="200"/>
      <c r="AE1213" s="200"/>
      <c r="AF1213" s="200"/>
      <c r="AG1213" s="200"/>
      <c r="AH1213" s="200"/>
      <c r="AI1213" s="200"/>
      <c r="AJ1213" s="200"/>
      <c r="AK1213" s="200"/>
      <c r="AL1213" s="200"/>
      <c r="AM1213" s="200"/>
      <c r="AN1213" s="200"/>
      <c r="AO1213" s="200"/>
      <c r="AP1213" s="200"/>
      <c r="AQ1213" s="200"/>
      <c r="AR1213" s="200"/>
      <c r="AS1213" s="200"/>
      <c r="AT1213" s="200"/>
    </row>
    <row r="1214" spans="1:46" ht="16.5" customHeight="1">
      <c r="A1214" s="307"/>
      <c r="B1214" s="307"/>
      <c r="C1214" s="200"/>
      <c r="D1214" s="200"/>
      <c r="E1214" s="200"/>
      <c r="F1214" s="200"/>
      <c r="G1214" s="200"/>
      <c r="H1214" s="200"/>
      <c r="I1214" s="200"/>
      <c r="J1214" s="200"/>
      <c r="K1214" s="200"/>
      <c r="L1214" s="200"/>
      <c r="M1214" s="200"/>
      <c r="N1214" s="200"/>
      <c r="O1214" s="200"/>
      <c r="P1214" s="200"/>
      <c r="Q1214" s="353"/>
      <c r="R1214" s="353"/>
      <c r="S1214" s="200"/>
      <c r="T1214" s="353"/>
      <c r="U1214" s="353"/>
      <c r="V1214" s="353"/>
      <c r="W1214" s="432"/>
      <c r="X1214" s="200"/>
      <c r="Y1214" s="200"/>
      <c r="Z1214" s="200"/>
      <c r="AA1214" s="200"/>
      <c r="AB1214" s="200"/>
      <c r="AC1214" s="200"/>
      <c r="AD1214" s="200"/>
      <c r="AE1214" s="200"/>
      <c r="AF1214" s="200"/>
      <c r="AG1214" s="200"/>
      <c r="AH1214" s="200"/>
      <c r="AI1214" s="200"/>
      <c r="AJ1214" s="200"/>
      <c r="AK1214" s="200"/>
      <c r="AL1214" s="200"/>
      <c r="AM1214" s="200"/>
      <c r="AN1214" s="200"/>
      <c r="AO1214" s="200"/>
      <c r="AP1214" s="200"/>
      <c r="AQ1214" s="200"/>
      <c r="AR1214" s="200"/>
      <c r="AS1214" s="200"/>
      <c r="AT1214" s="200"/>
    </row>
    <row r="1215" spans="1:46" ht="16.5" customHeight="1">
      <c r="A1215" s="307"/>
      <c r="B1215" s="307"/>
      <c r="C1215" s="200"/>
      <c r="D1215" s="200"/>
      <c r="E1215" s="200"/>
      <c r="F1215" s="200"/>
      <c r="G1215" s="200"/>
      <c r="H1215" s="200"/>
      <c r="I1215" s="200"/>
      <c r="J1215" s="200"/>
      <c r="K1215" s="200"/>
      <c r="L1215" s="200"/>
      <c r="M1215" s="200"/>
      <c r="N1215" s="200"/>
      <c r="O1215" s="200"/>
      <c r="P1215" s="200"/>
      <c r="Q1215" s="353"/>
      <c r="R1215" s="353"/>
      <c r="S1215" s="200"/>
      <c r="T1215" s="353"/>
      <c r="U1215" s="353"/>
      <c r="V1215" s="353"/>
      <c r="W1215" s="432"/>
      <c r="X1215" s="200"/>
      <c r="Y1215" s="200"/>
      <c r="Z1215" s="200"/>
      <c r="AA1215" s="200"/>
      <c r="AB1215" s="200"/>
      <c r="AC1215" s="200"/>
      <c r="AD1215" s="200"/>
      <c r="AE1215" s="200"/>
      <c r="AF1215" s="200"/>
      <c r="AG1215" s="200"/>
      <c r="AH1215" s="200"/>
      <c r="AI1215" s="200"/>
      <c r="AJ1215" s="200"/>
      <c r="AK1215" s="200"/>
      <c r="AL1215" s="200"/>
      <c r="AM1215" s="200"/>
      <c r="AN1215" s="200"/>
      <c r="AO1215" s="200"/>
      <c r="AP1215" s="200"/>
      <c r="AQ1215" s="200"/>
      <c r="AR1215" s="200"/>
      <c r="AS1215" s="200"/>
      <c r="AT1215" s="200"/>
    </row>
    <row r="1216" spans="1:46" ht="16.5" customHeight="1">
      <c r="A1216" s="307"/>
      <c r="B1216" s="307"/>
      <c r="C1216" s="200"/>
      <c r="D1216" s="200"/>
      <c r="E1216" s="200"/>
      <c r="F1216" s="200"/>
      <c r="G1216" s="200"/>
      <c r="H1216" s="200"/>
      <c r="I1216" s="200"/>
      <c r="J1216" s="200"/>
      <c r="K1216" s="200"/>
      <c r="L1216" s="200"/>
      <c r="M1216" s="200"/>
      <c r="N1216" s="200"/>
      <c r="O1216" s="200"/>
      <c r="P1216" s="200"/>
      <c r="Q1216" s="353"/>
      <c r="R1216" s="353"/>
      <c r="S1216" s="200"/>
      <c r="T1216" s="353"/>
      <c r="U1216" s="353"/>
      <c r="V1216" s="353"/>
      <c r="W1216" s="432"/>
      <c r="X1216" s="200"/>
      <c r="Y1216" s="200"/>
      <c r="Z1216" s="200"/>
      <c r="AA1216" s="200"/>
      <c r="AB1216" s="200"/>
      <c r="AC1216" s="200"/>
      <c r="AD1216" s="200"/>
      <c r="AE1216" s="200"/>
      <c r="AF1216" s="200"/>
      <c r="AG1216" s="200"/>
      <c r="AH1216" s="200"/>
      <c r="AI1216" s="200"/>
      <c r="AJ1216" s="200"/>
      <c r="AK1216" s="200"/>
      <c r="AL1216" s="200"/>
      <c r="AM1216" s="200"/>
      <c r="AN1216" s="200"/>
      <c r="AO1216" s="200"/>
      <c r="AP1216" s="200"/>
      <c r="AQ1216" s="200"/>
      <c r="AR1216" s="200"/>
      <c r="AS1216" s="200"/>
      <c r="AT1216" s="200"/>
    </row>
    <row r="1217" spans="1:46" ht="16.5" customHeight="1">
      <c r="A1217" s="307"/>
      <c r="B1217" s="307"/>
      <c r="C1217" s="200"/>
      <c r="D1217" s="200"/>
      <c r="E1217" s="200"/>
      <c r="F1217" s="200"/>
      <c r="G1217" s="200"/>
      <c r="H1217" s="200"/>
      <c r="I1217" s="200"/>
      <c r="J1217" s="200"/>
      <c r="K1217" s="200"/>
      <c r="L1217" s="200"/>
      <c r="M1217" s="200"/>
      <c r="N1217" s="200"/>
      <c r="O1217" s="200"/>
      <c r="P1217" s="200"/>
      <c r="Q1217" s="353"/>
      <c r="R1217" s="353"/>
      <c r="S1217" s="200"/>
      <c r="T1217" s="353"/>
      <c r="U1217" s="353"/>
      <c r="V1217" s="353"/>
      <c r="W1217" s="432"/>
      <c r="X1217" s="200"/>
      <c r="Y1217" s="200"/>
      <c r="Z1217" s="200"/>
      <c r="AA1217" s="200"/>
      <c r="AB1217" s="200"/>
      <c r="AC1217" s="200"/>
      <c r="AD1217" s="200"/>
      <c r="AE1217" s="200"/>
      <c r="AF1217" s="200"/>
      <c r="AG1217" s="200"/>
      <c r="AH1217" s="200"/>
      <c r="AI1217" s="200"/>
      <c r="AJ1217" s="200"/>
      <c r="AK1217" s="200"/>
      <c r="AL1217" s="200"/>
      <c r="AM1217" s="200"/>
      <c r="AN1217" s="200"/>
      <c r="AO1217" s="200"/>
      <c r="AP1217" s="200"/>
      <c r="AQ1217" s="200"/>
      <c r="AR1217" s="200"/>
      <c r="AS1217" s="200"/>
      <c r="AT1217" s="200"/>
    </row>
    <row r="1218" spans="1:46" ht="16.5" customHeight="1">
      <c r="A1218" s="307"/>
      <c r="B1218" s="307"/>
      <c r="C1218" s="200"/>
      <c r="D1218" s="200"/>
      <c r="E1218" s="200"/>
      <c r="F1218" s="200"/>
      <c r="G1218" s="200"/>
      <c r="H1218" s="200"/>
      <c r="I1218" s="200"/>
      <c r="J1218" s="200"/>
      <c r="K1218" s="200"/>
      <c r="L1218" s="200"/>
      <c r="M1218" s="200"/>
      <c r="N1218" s="200"/>
      <c r="O1218" s="200"/>
      <c r="P1218" s="200"/>
      <c r="Q1218" s="353"/>
      <c r="R1218" s="353"/>
      <c r="S1218" s="200"/>
      <c r="T1218" s="353"/>
      <c r="U1218" s="353"/>
      <c r="V1218" s="353"/>
      <c r="W1218" s="432"/>
      <c r="X1218" s="200"/>
      <c r="Y1218" s="200"/>
      <c r="Z1218" s="200"/>
      <c r="AA1218" s="200"/>
      <c r="AB1218" s="200"/>
      <c r="AC1218" s="200"/>
      <c r="AD1218" s="200"/>
      <c r="AE1218" s="200"/>
      <c r="AF1218" s="200"/>
      <c r="AG1218" s="200"/>
      <c r="AH1218" s="200"/>
      <c r="AI1218" s="200"/>
      <c r="AJ1218" s="200"/>
      <c r="AK1218" s="200"/>
      <c r="AL1218" s="200"/>
      <c r="AM1218" s="200"/>
      <c r="AN1218" s="200"/>
      <c r="AO1218" s="200"/>
      <c r="AP1218" s="200"/>
      <c r="AQ1218" s="200"/>
      <c r="AR1218" s="200"/>
      <c r="AS1218" s="200"/>
      <c r="AT1218" s="200"/>
    </row>
    <row r="1219" spans="1:46" ht="16.5" customHeight="1">
      <c r="A1219" s="307"/>
      <c r="B1219" s="307"/>
      <c r="C1219" s="200"/>
      <c r="D1219" s="200"/>
      <c r="E1219" s="200"/>
      <c r="F1219" s="200"/>
      <c r="G1219" s="200"/>
      <c r="H1219" s="200"/>
      <c r="I1219" s="200"/>
      <c r="J1219" s="200"/>
      <c r="K1219" s="200"/>
      <c r="L1219" s="200"/>
      <c r="M1219" s="200"/>
      <c r="N1219" s="200"/>
      <c r="O1219" s="200"/>
      <c r="P1219" s="200"/>
      <c r="Q1219" s="353"/>
      <c r="R1219" s="353"/>
      <c r="S1219" s="200"/>
      <c r="T1219" s="353"/>
      <c r="U1219" s="353"/>
      <c r="V1219" s="353"/>
      <c r="W1219" s="432"/>
      <c r="X1219" s="200"/>
      <c r="Y1219" s="200"/>
      <c r="Z1219" s="200"/>
      <c r="AA1219" s="200"/>
      <c r="AB1219" s="200"/>
      <c r="AC1219" s="200"/>
      <c r="AD1219" s="200"/>
      <c r="AE1219" s="200"/>
      <c r="AF1219" s="200"/>
      <c r="AG1219" s="200"/>
      <c r="AH1219" s="200"/>
      <c r="AI1219" s="200"/>
      <c r="AJ1219" s="200"/>
      <c r="AK1219" s="200"/>
      <c r="AL1219" s="200"/>
      <c r="AM1219" s="200"/>
      <c r="AN1219" s="200"/>
      <c r="AO1219" s="200"/>
      <c r="AP1219" s="200"/>
      <c r="AQ1219" s="200"/>
      <c r="AR1219" s="200"/>
      <c r="AS1219" s="200"/>
      <c r="AT1219" s="200"/>
    </row>
    <row r="1220" spans="1:46" ht="16.5" customHeight="1">
      <c r="A1220" s="307"/>
      <c r="B1220" s="307"/>
      <c r="C1220" s="200"/>
      <c r="D1220" s="200"/>
      <c r="E1220" s="200"/>
      <c r="F1220" s="200"/>
      <c r="G1220" s="200"/>
      <c r="H1220" s="200"/>
      <c r="I1220" s="200"/>
      <c r="J1220" s="200"/>
      <c r="K1220" s="200"/>
      <c r="L1220" s="200"/>
      <c r="M1220" s="200"/>
      <c r="N1220" s="200"/>
      <c r="O1220" s="200"/>
      <c r="P1220" s="200"/>
      <c r="Q1220" s="353"/>
      <c r="R1220" s="353"/>
      <c r="S1220" s="200"/>
      <c r="T1220" s="353"/>
      <c r="U1220" s="353"/>
      <c r="V1220" s="353"/>
      <c r="W1220" s="432"/>
      <c r="X1220" s="200"/>
      <c r="Y1220" s="200"/>
      <c r="Z1220" s="200"/>
      <c r="AA1220" s="200"/>
      <c r="AB1220" s="200"/>
      <c r="AC1220" s="200"/>
      <c r="AD1220" s="200"/>
      <c r="AE1220" s="200"/>
      <c r="AF1220" s="200"/>
      <c r="AG1220" s="200"/>
      <c r="AH1220" s="200"/>
      <c r="AI1220" s="200"/>
      <c r="AJ1220" s="200"/>
      <c r="AK1220" s="200"/>
      <c r="AL1220" s="200"/>
      <c r="AM1220" s="200"/>
      <c r="AN1220" s="200"/>
      <c r="AO1220" s="200"/>
      <c r="AP1220" s="200"/>
      <c r="AQ1220" s="200"/>
      <c r="AR1220" s="200"/>
      <c r="AS1220" s="200"/>
      <c r="AT1220" s="200"/>
    </row>
    <row r="1221" spans="1:46" ht="16.5" customHeight="1">
      <c r="A1221" s="307"/>
      <c r="B1221" s="307"/>
      <c r="C1221" s="200"/>
      <c r="D1221" s="200"/>
      <c r="E1221" s="200"/>
      <c r="F1221" s="200"/>
      <c r="G1221" s="200"/>
      <c r="H1221" s="200"/>
      <c r="I1221" s="200"/>
      <c r="J1221" s="200"/>
      <c r="K1221" s="200"/>
      <c r="L1221" s="200"/>
      <c r="M1221" s="200"/>
      <c r="N1221" s="200"/>
      <c r="O1221" s="200"/>
      <c r="P1221" s="200"/>
      <c r="Q1221" s="353"/>
      <c r="R1221" s="353"/>
      <c r="S1221" s="200"/>
      <c r="T1221" s="353"/>
      <c r="U1221" s="353"/>
      <c r="V1221" s="353"/>
      <c r="W1221" s="432"/>
      <c r="X1221" s="200"/>
      <c r="Y1221" s="200"/>
      <c r="Z1221" s="200"/>
      <c r="AA1221" s="200"/>
      <c r="AB1221" s="200"/>
      <c r="AC1221" s="200"/>
      <c r="AD1221" s="200"/>
      <c r="AE1221" s="200"/>
      <c r="AF1221" s="200"/>
      <c r="AG1221" s="200"/>
      <c r="AH1221" s="200"/>
      <c r="AI1221" s="200"/>
      <c r="AJ1221" s="200"/>
      <c r="AK1221" s="200"/>
      <c r="AL1221" s="200"/>
      <c r="AM1221" s="200"/>
      <c r="AN1221" s="200"/>
      <c r="AO1221" s="200"/>
      <c r="AP1221" s="200"/>
      <c r="AQ1221" s="200"/>
      <c r="AR1221" s="200"/>
      <c r="AS1221" s="200"/>
      <c r="AT1221" s="200"/>
    </row>
    <row r="1222" spans="1:46" ht="16.5" customHeight="1">
      <c r="A1222" s="307"/>
      <c r="B1222" s="307"/>
      <c r="C1222" s="200"/>
      <c r="D1222" s="200"/>
      <c r="E1222" s="200"/>
      <c r="F1222" s="200"/>
      <c r="G1222" s="200"/>
      <c r="H1222" s="200"/>
      <c r="I1222" s="200"/>
      <c r="J1222" s="200"/>
      <c r="K1222" s="200"/>
      <c r="L1222" s="200"/>
      <c r="M1222" s="200"/>
      <c r="N1222" s="200"/>
      <c r="O1222" s="200"/>
      <c r="P1222" s="200"/>
      <c r="Q1222" s="353"/>
      <c r="R1222" s="353"/>
      <c r="S1222" s="200"/>
      <c r="T1222" s="353"/>
      <c r="U1222" s="353"/>
      <c r="V1222" s="353"/>
      <c r="W1222" s="432"/>
      <c r="X1222" s="200"/>
      <c r="Y1222" s="200"/>
      <c r="Z1222" s="200"/>
      <c r="AA1222" s="200"/>
      <c r="AB1222" s="200"/>
      <c r="AC1222" s="200"/>
      <c r="AD1222" s="200"/>
      <c r="AE1222" s="200"/>
      <c r="AF1222" s="200"/>
      <c r="AG1222" s="200"/>
      <c r="AH1222" s="200"/>
      <c r="AI1222" s="200"/>
      <c r="AJ1222" s="200"/>
      <c r="AK1222" s="200"/>
      <c r="AL1222" s="200"/>
      <c r="AM1222" s="200"/>
      <c r="AN1222" s="200"/>
      <c r="AO1222" s="200"/>
      <c r="AP1222" s="200"/>
      <c r="AQ1222" s="200"/>
      <c r="AR1222" s="200"/>
      <c r="AS1222" s="200"/>
      <c r="AT1222" s="200"/>
    </row>
    <row r="1223" spans="1:46" ht="16.5" customHeight="1">
      <c r="A1223" s="307"/>
      <c r="B1223" s="307"/>
      <c r="C1223" s="200"/>
      <c r="D1223" s="200"/>
      <c r="E1223" s="200"/>
      <c r="F1223" s="200"/>
      <c r="G1223" s="200"/>
      <c r="H1223" s="200"/>
      <c r="I1223" s="200"/>
      <c r="J1223" s="200"/>
      <c r="K1223" s="200"/>
      <c r="L1223" s="200"/>
      <c r="M1223" s="200"/>
      <c r="N1223" s="200"/>
      <c r="O1223" s="200"/>
      <c r="P1223" s="200"/>
      <c r="Q1223" s="353"/>
      <c r="R1223" s="353"/>
      <c r="S1223" s="200"/>
      <c r="T1223" s="353"/>
      <c r="U1223" s="353"/>
      <c r="V1223" s="353"/>
      <c r="W1223" s="432"/>
      <c r="X1223" s="200"/>
      <c r="Y1223" s="200"/>
      <c r="Z1223" s="200"/>
      <c r="AA1223" s="200"/>
      <c r="AB1223" s="200"/>
      <c r="AC1223" s="200"/>
      <c r="AD1223" s="200"/>
      <c r="AE1223" s="200"/>
      <c r="AF1223" s="200"/>
      <c r="AG1223" s="200"/>
      <c r="AH1223" s="200"/>
      <c r="AI1223" s="200"/>
      <c r="AJ1223" s="200"/>
      <c r="AK1223" s="200"/>
      <c r="AL1223" s="200"/>
      <c r="AM1223" s="200"/>
      <c r="AN1223" s="200"/>
      <c r="AO1223" s="200"/>
      <c r="AP1223" s="200"/>
      <c r="AQ1223" s="200"/>
      <c r="AR1223" s="200"/>
      <c r="AS1223" s="200"/>
      <c r="AT1223" s="200"/>
    </row>
    <row r="1224" spans="1:46" ht="16.5" customHeight="1">
      <c r="A1224" s="307"/>
      <c r="B1224" s="307"/>
      <c r="C1224" s="200"/>
      <c r="D1224" s="200"/>
      <c r="E1224" s="200"/>
      <c r="F1224" s="200"/>
      <c r="G1224" s="200"/>
      <c r="H1224" s="200"/>
      <c r="I1224" s="200"/>
      <c r="J1224" s="200"/>
      <c r="K1224" s="200"/>
      <c r="L1224" s="200"/>
      <c r="M1224" s="200"/>
      <c r="N1224" s="200"/>
      <c r="O1224" s="200"/>
      <c r="P1224" s="200"/>
      <c r="Q1224" s="353"/>
      <c r="R1224" s="353"/>
      <c r="S1224" s="200"/>
      <c r="T1224" s="353"/>
      <c r="U1224" s="353"/>
      <c r="V1224" s="353"/>
      <c r="W1224" s="432"/>
      <c r="X1224" s="200"/>
      <c r="Y1224" s="200"/>
      <c r="Z1224" s="200"/>
      <c r="AA1224" s="200"/>
      <c r="AB1224" s="200"/>
      <c r="AC1224" s="200"/>
      <c r="AD1224" s="200"/>
      <c r="AE1224" s="200"/>
      <c r="AF1224" s="200"/>
      <c r="AG1224" s="200"/>
      <c r="AH1224" s="200"/>
      <c r="AI1224" s="200"/>
      <c r="AJ1224" s="200"/>
      <c r="AK1224" s="200"/>
      <c r="AL1224" s="200"/>
      <c r="AM1224" s="200"/>
      <c r="AN1224" s="200"/>
      <c r="AO1224" s="200"/>
      <c r="AP1224" s="200"/>
      <c r="AQ1224" s="200"/>
      <c r="AR1224" s="200"/>
      <c r="AS1224" s="200"/>
      <c r="AT1224" s="200"/>
    </row>
    <row r="1225" spans="1:46" ht="16.5" customHeight="1">
      <c r="A1225" s="307"/>
      <c r="B1225" s="307"/>
      <c r="C1225" s="200"/>
      <c r="D1225" s="200"/>
      <c r="E1225" s="200"/>
      <c r="F1225" s="200"/>
      <c r="G1225" s="200"/>
      <c r="H1225" s="200"/>
      <c r="I1225" s="200"/>
      <c r="J1225" s="200"/>
      <c r="K1225" s="200"/>
      <c r="L1225" s="200"/>
      <c r="M1225" s="200"/>
      <c r="N1225" s="200"/>
      <c r="O1225" s="200"/>
      <c r="P1225" s="200"/>
      <c r="Q1225" s="353"/>
      <c r="R1225" s="353"/>
      <c r="S1225" s="200"/>
      <c r="T1225" s="353"/>
      <c r="U1225" s="353"/>
      <c r="V1225" s="353"/>
      <c r="W1225" s="432"/>
      <c r="X1225" s="200"/>
      <c r="Y1225" s="200"/>
      <c r="Z1225" s="200"/>
      <c r="AA1225" s="200"/>
      <c r="AB1225" s="200"/>
      <c r="AC1225" s="200"/>
      <c r="AD1225" s="200"/>
      <c r="AE1225" s="200"/>
      <c r="AF1225" s="200"/>
      <c r="AG1225" s="200"/>
      <c r="AH1225" s="200"/>
      <c r="AI1225" s="200"/>
      <c r="AJ1225" s="200"/>
      <c r="AK1225" s="200"/>
      <c r="AL1225" s="200"/>
      <c r="AM1225" s="200"/>
      <c r="AN1225" s="200"/>
      <c r="AO1225" s="200"/>
      <c r="AP1225" s="200"/>
      <c r="AQ1225" s="200"/>
      <c r="AR1225" s="200"/>
      <c r="AS1225" s="200"/>
      <c r="AT1225" s="200"/>
    </row>
    <row r="1226" spans="1:46" ht="16.5" customHeight="1">
      <c r="A1226" s="307"/>
      <c r="B1226" s="307"/>
      <c r="C1226" s="200"/>
      <c r="D1226" s="200"/>
      <c r="E1226" s="200"/>
      <c r="F1226" s="200"/>
      <c r="G1226" s="200"/>
      <c r="H1226" s="200"/>
      <c r="I1226" s="200"/>
      <c r="J1226" s="200"/>
      <c r="K1226" s="200"/>
      <c r="L1226" s="200"/>
      <c r="M1226" s="200"/>
      <c r="N1226" s="200"/>
      <c r="O1226" s="200"/>
      <c r="P1226" s="200"/>
      <c r="Q1226" s="353"/>
      <c r="R1226" s="353"/>
      <c r="S1226" s="200"/>
      <c r="T1226" s="353"/>
      <c r="U1226" s="353"/>
      <c r="V1226" s="353"/>
      <c r="W1226" s="432"/>
      <c r="X1226" s="200"/>
      <c r="Y1226" s="200"/>
      <c r="Z1226" s="200"/>
      <c r="AA1226" s="200"/>
      <c r="AB1226" s="200"/>
      <c r="AC1226" s="200"/>
      <c r="AD1226" s="200"/>
      <c r="AE1226" s="200"/>
      <c r="AF1226" s="200"/>
      <c r="AG1226" s="200"/>
      <c r="AH1226" s="200"/>
      <c r="AI1226" s="200"/>
      <c r="AJ1226" s="200"/>
      <c r="AK1226" s="200"/>
      <c r="AL1226" s="200"/>
      <c r="AM1226" s="200"/>
      <c r="AN1226" s="200"/>
      <c r="AO1226" s="200"/>
      <c r="AP1226" s="200"/>
      <c r="AQ1226" s="200"/>
      <c r="AR1226" s="200"/>
      <c r="AS1226" s="200"/>
      <c r="AT1226" s="200"/>
    </row>
    <row r="1227" spans="1:46" ht="16.5" customHeight="1">
      <c r="A1227" s="307"/>
      <c r="B1227" s="307"/>
      <c r="C1227" s="200"/>
      <c r="D1227" s="200"/>
      <c r="E1227" s="200"/>
      <c r="F1227" s="200"/>
      <c r="G1227" s="200"/>
      <c r="H1227" s="200"/>
      <c r="I1227" s="200"/>
      <c r="J1227" s="200"/>
      <c r="K1227" s="200"/>
      <c r="L1227" s="200"/>
      <c r="M1227" s="200"/>
      <c r="N1227" s="200"/>
      <c r="O1227" s="200"/>
      <c r="P1227" s="200"/>
      <c r="Q1227" s="353"/>
      <c r="R1227" s="353"/>
      <c r="S1227" s="200"/>
      <c r="T1227" s="353"/>
      <c r="U1227" s="353"/>
      <c r="V1227" s="353"/>
      <c r="W1227" s="432"/>
      <c r="X1227" s="200"/>
      <c r="Y1227" s="200"/>
      <c r="Z1227" s="200"/>
      <c r="AA1227" s="200"/>
      <c r="AB1227" s="200"/>
      <c r="AC1227" s="200"/>
      <c r="AD1227" s="200"/>
      <c r="AE1227" s="200"/>
      <c r="AF1227" s="200"/>
      <c r="AG1227" s="200"/>
      <c r="AH1227" s="200"/>
      <c r="AI1227" s="200"/>
      <c r="AJ1227" s="200"/>
      <c r="AK1227" s="200"/>
      <c r="AL1227" s="200"/>
      <c r="AM1227" s="200"/>
      <c r="AN1227" s="200"/>
      <c r="AO1227" s="200"/>
      <c r="AP1227" s="200"/>
      <c r="AQ1227" s="200"/>
      <c r="AR1227" s="200"/>
      <c r="AS1227" s="200"/>
      <c r="AT1227" s="200"/>
    </row>
    <row r="1228" spans="1:46" ht="16.5" customHeight="1">
      <c r="A1228" s="307"/>
      <c r="B1228" s="307"/>
      <c r="C1228" s="200"/>
      <c r="D1228" s="200"/>
      <c r="E1228" s="200"/>
      <c r="F1228" s="200"/>
      <c r="G1228" s="200"/>
      <c r="H1228" s="200"/>
      <c r="I1228" s="200"/>
      <c r="J1228" s="200"/>
      <c r="K1228" s="200"/>
      <c r="L1228" s="200"/>
      <c r="M1228" s="200"/>
      <c r="N1228" s="200"/>
      <c r="O1228" s="200"/>
      <c r="P1228" s="200"/>
      <c r="Q1228" s="353"/>
      <c r="R1228" s="353"/>
      <c r="S1228" s="200"/>
      <c r="T1228" s="353"/>
      <c r="U1228" s="353"/>
      <c r="V1228" s="353"/>
      <c r="W1228" s="432"/>
      <c r="X1228" s="200"/>
      <c r="Y1228" s="200"/>
      <c r="Z1228" s="200"/>
      <c r="AA1228" s="200"/>
      <c r="AB1228" s="200"/>
      <c r="AC1228" s="200"/>
      <c r="AD1228" s="200"/>
      <c r="AE1228" s="200"/>
      <c r="AF1228" s="200"/>
      <c r="AG1228" s="200"/>
      <c r="AH1228" s="200"/>
      <c r="AI1228" s="200"/>
      <c r="AJ1228" s="200"/>
      <c r="AK1228" s="200"/>
      <c r="AL1228" s="200"/>
      <c r="AM1228" s="200"/>
      <c r="AN1228" s="200"/>
      <c r="AO1228" s="200"/>
      <c r="AP1228" s="200"/>
      <c r="AQ1228" s="200"/>
      <c r="AR1228" s="200"/>
      <c r="AS1228" s="200"/>
      <c r="AT1228" s="200"/>
    </row>
    <row r="1229" spans="1:46" ht="16.5" customHeight="1">
      <c r="A1229" s="307"/>
      <c r="B1229" s="307"/>
      <c r="C1229" s="200"/>
      <c r="D1229" s="200"/>
      <c r="E1229" s="200"/>
      <c r="F1229" s="200"/>
      <c r="G1229" s="200"/>
      <c r="H1229" s="200"/>
      <c r="I1229" s="200"/>
      <c r="J1229" s="200"/>
      <c r="K1229" s="200"/>
      <c r="L1229" s="200"/>
      <c r="M1229" s="200"/>
      <c r="N1229" s="200"/>
      <c r="O1229" s="200"/>
      <c r="P1229" s="200"/>
      <c r="Q1229" s="353"/>
      <c r="R1229" s="353"/>
      <c r="S1229" s="200"/>
      <c r="T1229" s="353"/>
      <c r="U1229" s="353"/>
      <c r="V1229" s="353"/>
      <c r="W1229" s="432"/>
      <c r="X1229" s="200"/>
      <c r="Y1229" s="200"/>
      <c r="Z1229" s="200"/>
      <c r="AA1229" s="200"/>
      <c r="AB1229" s="200"/>
      <c r="AC1229" s="200"/>
      <c r="AD1229" s="200"/>
      <c r="AE1229" s="200"/>
      <c r="AF1229" s="200"/>
      <c r="AG1229" s="200"/>
      <c r="AH1229" s="200"/>
      <c r="AI1229" s="200"/>
      <c r="AJ1229" s="200"/>
      <c r="AK1229" s="200"/>
      <c r="AL1229" s="200"/>
      <c r="AM1229" s="200"/>
      <c r="AN1229" s="200"/>
      <c r="AO1229" s="200"/>
      <c r="AP1229" s="200"/>
      <c r="AQ1229" s="200"/>
      <c r="AR1229" s="200"/>
      <c r="AS1229" s="200"/>
      <c r="AT1229" s="200"/>
    </row>
    <row r="1230" spans="1:46" ht="16.5" customHeight="1">
      <c r="A1230" s="307"/>
      <c r="B1230" s="307"/>
      <c r="C1230" s="200"/>
      <c r="D1230" s="200"/>
      <c r="E1230" s="200"/>
      <c r="F1230" s="200"/>
      <c r="G1230" s="200"/>
      <c r="H1230" s="200"/>
      <c r="I1230" s="200"/>
      <c r="J1230" s="200"/>
      <c r="K1230" s="200"/>
      <c r="L1230" s="200"/>
      <c r="M1230" s="200"/>
      <c r="N1230" s="200"/>
      <c r="O1230" s="200"/>
      <c r="P1230" s="200"/>
      <c r="Q1230" s="353"/>
      <c r="R1230" s="353"/>
      <c r="S1230" s="200"/>
      <c r="T1230" s="353"/>
      <c r="U1230" s="353"/>
      <c r="V1230" s="353"/>
      <c r="W1230" s="432"/>
      <c r="X1230" s="200"/>
      <c r="Y1230" s="200"/>
      <c r="Z1230" s="200"/>
      <c r="AA1230" s="200"/>
      <c r="AB1230" s="200"/>
      <c r="AC1230" s="200"/>
      <c r="AD1230" s="200"/>
      <c r="AE1230" s="200"/>
      <c r="AF1230" s="200"/>
      <c r="AG1230" s="200"/>
      <c r="AH1230" s="200"/>
      <c r="AI1230" s="200"/>
      <c r="AJ1230" s="200"/>
      <c r="AK1230" s="200"/>
      <c r="AL1230" s="200"/>
      <c r="AM1230" s="200"/>
      <c r="AN1230" s="200"/>
      <c r="AO1230" s="200"/>
      <c r="AP1230" s="200"/>
      <c r="AQ1230" s="200"/>
      <c r="AR1230" s="200"/>
      <c r="AS1230" s="200"/>
      <c r="AT1230" s="200"/>
    </row>
    <row r="1231" spans="1:46" ht="16.5" customHeight="1">
      <c r="A1231" s="307"/>
      <c r="B1231" s="307"/>
      <c r="C1231" s="200"/>
      <c r="D1231" s="200"/>
      <c r="E1231" s="200"/>
      <c r="F1231" s="200"/>
      <c r="G1231" s="200"/>
      <c r="H1231" s="200"/>
      <c r="I1231" s="200"/>
      <c r="J1231" s="200"/>
      <c r="K1231" s="200"/>
      <c r="L1231" s="200"/>
      <c r="M1231" s="200"/>
      <c r="N1231" s="200"/>
      <c r="O1231" s="200"/>
      <c r="P1231" s="200"/>
      <c r="Q1231" s="353"/>
      <c r="R1231" s="353"/>
      <c r="S1231" s="200"/>
      <c r="T1231" s="353"/>
      <c r="U1231" s="353"/>
      <c r="V1231" s="353"/>
      <c r="W1231" s="432"/>
      <c r="X1231" s="200"/>
      <c r="Y1231" s="200"/>
      <c r="Z1231" s="200"/>
      <c r="AA1231" s="200"/>
      <c r="AB1231" s="200"/>
      <c r="AC1231" s="200"/>
      <c r="AD1231" s="200"/>
      <c r="AE1231" s="200"/>
      <c r="AF1231" s="200"/>
      <c r="AG1231" s="200"/>
      <c r="AH1231" s="200"/>
      <c r="AI1231" s="200"/>
      <c r="AJ1231" s="200"/>
      <c r="AK1231" s="200"/>
      <c r="AL1231" s="200"/>
      <c r="AM1231" s="200"/>
      <c r="AN1231" s="200"/>
      <c r="AO1231" s="200"/>
      <c r="AP1231" s="200"/>
      <c r="AQ1231" s="200"/>
      <c r="AR1231" s="200"/>
      <c r="AS1231" s="200"/>
      <c r="AT1231" s="200"/>
    </row>
    <row r="1232" spans="1:46" ht="16.5" customHeight="1">
      <c r="A1232" s="307"/>
      <c r="B1232" s="307"/>
      <c r="C1232" s="200"/>
      <c r="D1232" s="200"/>
      <c r="E1232" s="200"/>
      <c r="F1232" s="200"/>
      <c r="G1232" s="200"/>
      <c r="H1232" s="200"/>
      <c r="I1232" s="200"/>
      <c r="J1232" s="200"/>
      <c r="K1232" s="200"/>
      <c r="L1232" s="200"/>
      <c r="M1232" s="200"/>
      <c r="N1232" s="200"/>
      <c r="O1232" s="200"/>
      <c r="P1232" s="200"/>
      <c r="Q1232" s="353"/>
      <c r="R1232" s="353"/>
      <c r="S1232" s="200"/>
      <c r="T1232" s="353"/>
      <c r="U1232" s="353"/>
      <c r="V1232" s="353"/>
      <c r="W1232" s="432"/>
      <c r="X1232" s="200"/>
      <c r="Y1232" s="200"/>
      <c r="Z1232" s="200"/>
      <c r="AA1232" s="200"/>
      <c r="AB1232" s="200"/>
      <c r="AC1232" s="200"/>
      <c r="AD1232" s="200"/>
      <c r="AE1232" s="200"/>
      <c r="AF1232" s="200"/>
      <c r="AG1232" s="200"/>
      <c r="AH1232" s="200"/>
      <c r="AI1232" s="200"/>
      <c r="AJ1232" s="200"/>
      <c r="AK1232" s="200"/>
      <c r="AL1232" s="200"/>
      <c r="AM1232" s="200"/>
      <c r="AN1232" s="200"/>
      <c r="AO1232" s="200"/>
      <c r="AP1232" s="200"/>
      <c r="AQ1232" s="200"/>
      <c r="AR1232" s="200"/>
      <c r="AS1232" s="200"/>
      <c r="AT1232" s="200"/>
    </row>
    <row r="1233" spans="1:46" ht="16.5" customHeight="1">
      <c r="A1233" s="307"/>
      <c r="B1233" s="307"/>
      <c r="C1233" s="200"/>
      <c r="D1233" s="200"/>
      <c r="E1233" s="200"/>
      <c r="F1233" s="200"/>
      <c r="G1233" s="200"/>
      <c r="H1233" s="200"/>
      <c r="I1233" s="200"/>
      <c r="J1233" s="200"/>
      <c r="K1233" s="200"/>
      <c r="L1233" s="200"/>
      <c r="M1233" s="200"/>
      <c r="N1233" s="200"/>
      <c r="O1233" s="200"/>
      <c r="P1233" s="200"/>
      <c r="Q1233" s="353"/>
      <c r="R1233" s="353"/>
      <c r="S1233" s="200"/>
      <c r="T1233" s="353"/>
      <c r="U1233" s="353"/>
      <c r="V1233" s="353"/>
      <c r="W1233" s="432"/>
      <c r="X1233" s="200"/>
      <c r="Y1233" s="200"/>
      <c r="Z1233" s="200"/>
      <c r="AA1233" s="200"/>
      <c r="AB1233" s="200"/>
      <c r="AC1233" s="200"/>
      <c r="AD1233" s="200"/>
      <c r="AE1233" s="200"/>
      <c r="AF1233" s="200"/>
      <c r="AG1233" s="200"/>
      <c r="AH1233" s="200"/>
      <c r="AI1233" s="200"/>
      <c r="AJ1233" s="200"/>
      <c r="AK1233" s="200"/>
      <c r="AL1233" s="200"/>
      <c r="AM1233" s="200"/>
      <c r="AN1233" s="200"/>
      <c r="AO1233" s="200"/>
      <c r="AP1233" s="200"/>
      <c r="AQ1233" s="200"/>
      <c r="AR1233" s="200"/>
      <c r="AS1233" s="200"/>
      <c r="AT1233" s="200"/>
    </row>
    <row r="1234" spans="1:46" ht="16.5" customHeight="1">
      <c r="A1234" s="307"/>
      <c r="B1234" s="307"/>
      <c r="C1234" s="200"/>
      <c r="D1234" s="200"/>
      <c r="E1234" s="200"/>
      <c r="F1234" s="200"/>
      <c r="G1234" s="200"/>
      <c r="H1234" s="200"/>
      <c r="I1234" s="200"/>
      <c r="J1234" s="200"/>
      <c r="K1234" s="200"/>
      <c r="L1234" s="200"/>
      <c r="M1234" s="200"/>
      <c r="N1234" s="200"/>
      <c r="O1234" s="200"/>
      <c r="P1234" s="200"/>
      <c r="Q1234" s="353"/>
      <c r="R1234" s="353"/>
      <c r="S1234" s="200"/>
      <c r="T1234" s="353"/>
      <c r="U1234" s="353"/>
      <c r="V1234" s="353"/>
      <c r="W1234" s="432"/>
      <c r="X1234" s="200"/>
      <c r="Y1234" s="200"/>
      <c r="Z1234" s="200"/>
      <c r="AA1234" s="200"/>
      <c r="AB1234" s="200"/>
      <c r="AC1234" s="200"/>
      <c r="AD1234" s="200"/>
      <c r="AE1234" s="200"/>
      <c r="AF1234" s="200"/>
      <c r="AG1234" s="200"/>
      <c r="AH1234" s="200"/>
      <c r="AI1234" s="200"/>
      <c r="AJ1234" s="200"/>
      <c r="AK1234" s="200"/>
      <c r="AL1234" s="200"/>
      <c r="AM1234" s="200"/>
      <c r="AN1234" s="200"/>
      <c r="AO1234" s="200"/>
      <c r="AP1234" s="200"/>
      <c r="AQ1234" s="200"/>
      <c r="AR1234" s="200"/>
      <c r="AS1234" s="200"/>
      <c r="AT1234" s="200"/>
    </row>
    <row r="1235" spans="1:46" ht="16.5" customHeight="1">
      <c r="A1235" s="307"/>
      <c r="B1235" s="307"/>
      <c r="C1235" s="200"/>
      <c r="D1235" s="200"/>
      <c r="E1235" s="200"/>
      <c r="F1235" s="200"/>
      <c r="G1235" s="200"/>
      <c r="H1235" s="200"/>
      <c r="I1235" s="200"/>
      <c r="J1235" s="200"/>
      <c r="K1235" s="200"/>
      <c r="L1235" s="200"/>
      <c r="M1235" s="200"/>
      <c r="N1235" s="200"/>
      <c r="O1235" s="200"/>
      <c r="P1235" s="200"/>
      <c r="Q1235" s="353"/>
      <c r="R1235" s="353"/>
      <c r="S1235" s="200"/>
      <c r="T1235" s="353"/>
      <c r="U1235" s="353"/>
      <c r="V1235" s="353"/>
      <c r="W1235" s="432"/>
      <c r="X1235" s="200"/>
      <c r="Y1235" s="200"/>
      <c r="Z1235" s="200"/>
      <c r="AA1235" s="200"/>
      <c r="AB1235" s="200"/>
      <c r="AC1235" s="200"/>
      <c r="AD1235" s="200"/>
      <c r="AE1235" s="200"/>
      <c r="AF1235" s="200"/>
      <c r="AG1235" s="200"/>
      <c r="AH1235" s="200"/>
      <c r="AI1235" s="200"/>
      <c r="AJ1235" s="200"/>
      <c r="AK1235" s="200"/>
      <c r="AL1235" s="200"/>
      <c r="AM1235" s="200"/>
      <c r="AN1235" s="200"/>
      <c r="AO1235" s="200"/>
      <c r="AP1235" s="200"/>
      <c r="AQ1235" s="200"/>
      <c r="AR1235" s="200"/>
      <c r="AS1235" s="200"/>
      <c r="AT1235" s="200"/>
    </row>
    <row r="1236" spans="1:46" ht="16.5" customHeight="1">
      <c r="A1236" s="307"/>
      <c r="B1236" s="307"/>
      <c r="C1236" s="200"/>
      <c r="D1236" s="200"/>
      <c r="E1236" s="200"/>
      <c r="F1236" s="200"/>
      <c r="G1236" s="200"/>
      <c r="H1236" s="200"/>
      <c r="I1236" s="200"/>
      <c r="J1236" s="200"/>
      <c r="K1236" s="200"/>
      <c r="L1236" s="200"/>
      <c r="M1236" s="200"/>
      <c r="N1236" s="200"/>
      <c r="O1236" s="200"/>
      <c r="P1236" s="200"/>
      <c r="Q1236" s="353"/>
      <c r="R1236" s="353"/>
      <c r="S1236" s="200"/>
      <c r="T1236" s="353"/>
      <c r="U1236" s="353"/>
      <c r="V1236" s="353"/>
      <c r="W1236" s="432"/>
      <c r="X1236" s="200"/>
      <c r="Y1236" s="200"/>
      <c r="Z1236" s="200"/>
      <c r="AA1236" s="200"/>
      <c r="AB1236" s="200"/>
      <c r="AC1236" s="200"/>
      <c r="AD1236" s="200"/>
      <c r="AE1236" s="200"/>
      <c r="AF1236" s="200"/>
      <c r="AG1236" s="200"/>
      <c r="AH1236" s="200"/>
      <c r="AI1236" s="200"/>
      <c r="AJ1236" s="200"/>
      <c r="AK1236" s="200"/>
      <c r="AL1236" s="200"/>
      <c r="AM1236" s="200"/>
      <c r="AN1236" s="200"/>
      <c r="AO1236" s="200"/>
      <c r="AP1236" s="200"/>
      <c r="AQ1236" s="200"/>
      <c r="AR1236" s="200"/>
      <c r="AS1236" s="200"/>
      <c r="AT1236" s="200"/>
    </row>
    <row r="1237" spans="1:46" ht="16.5" customHeight="1">
      <c r="A1237" s="307"/>
      <c r="B1237" s="307"/>
      <c r="C1237" s="200"/>
      <c r="D1237" s="200"/>
      <c r="E1237" s="200"/>
      <c r="F1237" s="200"/>
      <c r="G1237" s="200"/>
      <c r="H1237" s="200"/>
      <c r="I1237" s="200"/>
      <c r="J1237" s="200"/>
      <c r="K1237" s="200"/>
      <c r="L1237" s="200"/>
      <c r="M1237" s="200"/>
      <c r="N1237" s="200"/>
      <c r="O1237" s="200"/>
      <c r="P1237" s="200"/>
      <c r="Q1237" s="353"/>
      <c r="R1237" s="353"/>
      <c r="S1237" s="200"/>
      <c r="T1237" s="353"/>
      <c r="U1237" s="353"/>
      <c r="V1237" s="353"/>
      <c r="W1237" s="432"/>
      <c r="X1237" s="200"/>
      <c r="Y1237" s="200"/>
      <c r="Z1237" s="200"/>
      <c r="AA1237" s="200"/>
      <c r="AB1237" s="200"/>
      <c r="AC1237" s="200"/>
      <c r="AD1237" s="200"/>
      <c r="AE1237" s="200"/>
      <c r="AF1237" s="200"/>
      <c r="AG1237" s="200"/>
      <c r="AH1237" s="200"/>
      <c r="AI1237" s="200"/>
      <c r="AJ1237" s="200"/>
      <c r="AK1237" s="200"/>
      <c r="AL1237" s="200"/>
      <c r="AM1237" s="200"/>
      <c r="AN1237" s="200"/>
      <c r="AO1237" s="200"/>
      <c r="AP1237" s="200"/>
      <c r="AQ1237" s="200"/>
      <c r="AR1237" s="200"/>
      <c r="AS1237" s="200"/>
      <c r="AT1237" s="200"/>
    </row>
    <row r="1238" spans="1:46" ht="16.5" customHeight="1">
      <c r="A1238" s="307"/>
      <c r="B1238" s="307"/>
      <c r="C1238" s="200"/>
      <c r="D1238" s="200"/>
      <c r="E1238" s="200"/>
      <c r="F1238" s="200"/>
      <c r="G1238" s="200"/>
      <c r="H1238" s="200"/>
      <c r="I1238" s="200"/>
      <c r="J1238" s="200"/>
      <c r="K1238" s="200"/>
      <c r="L1238" s="200"/>
      <c r="M1238" s="200"/>
      <c r="N1238" s="200"/>
      <c r="O1238" s="200"/>
      <c r="P1238" s="200"/>
      <c r="Q1238" s="353"/>
      <c r="R1238" s="353"/>
      <c r="S1238" s="200"/>
      <c r="T1238" s="353"/>
      <c r="U1238" s="353"/>
      <c r="V1238" s="353"/>
      <c r="W1238" s="432"/>
      <c r="X1238" s="200"/>
      <c r="Y1238" s="200"/>
      <c r="Z1238" s="200"/>
      <c r="AA1238" s="200"/>
      <c r="AB1238" s="200"/>
      <c r="AC1238" s="200"/>
      <c r="AD1238" s="200"/>
      <c r="AE1238" s="200"/>
      <c r="AF1238" s="200"/>
      <c r="AG1238" s="200"/>
      <c r="AH1238" s="200"/>
      <c r="AI1238" s="200"/>
      <c r="AJ1238" s="200"/>
      <c r="AK1238" s="200"/>
      <c r="AL1238" s="200"/>
      <c r="AM1238" s="200"/>
      <c r="AN1238" s="200"/>
      <c r="AO1238" s="200"/>
      <c r="AP1238" s="200"/>
      <c r="AQ1238" s="200"/>
      <c r="AR1238" s="200"/>
      <c r="AS1238" s="200"/>
      <c r="AT1238" s="200"/>
    </row>
    <row r="1239" spans="1:46" ht="16.5" customHeight="1">
      <c r="A1239" s="307"/>
      <c r="B1239" s="307"/>
      <c r="C1239" s="200"/>
      <c r="D1239" s="200"/>
      <c r="E1239" s="200"/>
      <c r="F1239" s="200"/>
      <c r="G1239" s="200"/>
      <c r="H1239" s="200"/>
      <c r="I1239" s="200"/>
      <c r="J1239" s="200"/>
      <c r="K1239" s="200"/>
      <c r="L1239" s="200"/>
      <c r="M1239" s="200"/>
      <c r="N1239" s="200"/>
      <c r="O1239" s="200"/>
      <c r="P1239" s="200"/>
      <c r="Q1239" s="353"/>
      <c r="R1239" s="353"/>
      <c r="S1239" s="200"/>
      <c r="T1239" s="353"/>
      <c r="U1239" s="353"/>
      <c r="V1239" s="353"/>
      <c r="W1239" s="432"/>
      <c r="X1239" s="200"/>
      <c r="Y1239" s="200"/>
      <c r="Z1239" s="200"/>
      <c r="AA1239" s="200"/>
      <c r="AB1239" s="200"/>
      <c r="AC1239" s="200"/>
      <c r="AD1239" s="200"/>
      <c r="AE1239" s="200"/>
      <c r="AF1239" s="200"/>
      <c r="AG1239" s="200"/>
      <c r="AH1239" s="200"/>
      <c r="AI1239" s="200"/>
      <c r="AJ1239" s="200"/>
      <c r="AK1239" s="200"/>
      <c r="AL1239" s="200"/>
      <c r="AM1239" s="200"/>
      <c r="AN1239" s="200"/>
      <c r="AO1239" s="200"/>
      <c r="AP1239" s="200"/>
      <c r="AQ1239" s="200"/>
      <c r="AR1239" s="200"/>
      <c r="AS1239" s="200"/>
      <c r="AT1239" s="200"/>
    </row>
    <row r="1240" spans="1:46" ht="16.5" customHeight="1">
      <c r="A1240" s="307"/>
      <c r="B1240" s="307"/>
      <c r="C1240" s="200"/>
      <c r="D1240" s="200"/>
      <c r="E1240" s="200"/>
      <c r="F1240" s="200"/>
      <c r="G1240" s="200"/>
      <c r="H1240" s="200"/>
      <c r="I1240" s="200"/>
      <c r="J1240" s="200"/>
      <c r="K1240" s="200"/>
      <c r="L1240" s="200"/>
      <c r="M1240" s="200"/>
      <c r="N1240" s="200"/>
      <c r="O1240" s="200"/>
      <c r="P1240" s="200"/>
      <c r="Q1240" s="353"/>
      <c r="R1240" s="353"/>
      <c r="S1240" s="200"/>
      <c r="T1240" s="353"/>
      <c r="U1240" s="353"/>
      <c r="V1240" s="353"/>
      <c r="W1240" s="432"/>
      <c r="X1240" s="200"/>
      <c r="Y1240" s="200"/>
      <c r="Z1240" s="200"/>
      <c r="AA1240" s="200"/>
      <c r="AB1240" s="200"/>
      <c r="AC1240" s="200"/>
      <c r="AD1240" s="200"/>
      <c r="AE1240" s="200"/>
      <c r="AF1240" s="200"/>
      <c r="AG1240" s="200"/>
      <c r="AH1240" s="200"/>
      <c r="AI1240" s="200"/>
      <c r="AJ1240" s="200"/>
      <c r="AK1240" s="200"/>
      <c r="AL1240" s="200"/>
      <c r="AM1240" s="200"/>
      <c r="AN1240" s="200"/>
      <c r="AO1240" s="200"/>
      <c r="AP1240" s="200"/>
      <c r="AQ1240" s="200"/>
      <c r="AR1240" s="200"/>
      <c r="AS1240" s="200"/>
      <c r="AT1240" s="200"/>
    </row>
    <row r="1241" spans="1:46" ht="16.5" customHeight="1">
      <c r="A1241" s="307"/>
      <c r="B1241" s="307"/>
      <c r="C1241" s="200"/>
      <c r="D1241" s="200"/>
      <c r="E1241" s="200"/>
      <c r="F1241" s="200"/>
      <c r="G1241" s="200"/>
      <c r="H1241" s="200"/>
      <c r="I1241" s="200"/>
      <c r="J1241" s="200"/>
      <c r="K1241" s="200"/>
      <c r="L1241" s="200"/>
      <c r="M1241" s="200"/>
      <c r="N1241" s="200"/>
      <c r="O1241" s="200"/>
      <c r="P1241" s="200"/>
      <c r="Q1241" s="353"/>
      <c r="R1241" s="353"/>
      <c r="S1241" s="200"/>
      <c r="T1241" s="353"/>
      <c r="U1241" s="353"/>
      <c r="V1241" s="353"/>
      <c r="W1241" s="432"/>
      <c r="X1241" s="200"/>
      <c r="Y1241" s="200"/>
      <c r="Z1241" s="200"/>
      <c r="AA1241" s="200"/>
      <c r="AB1241" s="200"/>
      <c r="AC1241" s="200"/>
      <c r="AD1241" s="200"/>
      <c r="AE1241" s="200"/>
      <c r="AF1241" s="200"/>
      <c r="AG1241" s="200"/>
      <c r="AH1241" s="200"/>
      <c r="AI1241" s="200"/>
      <c r="AJ1241" s="200"/>
      <c r="AK1241" s="200"/>
      <c r="AL1241" s="200"/>
      <c r="AM1241" s="200"/>
      <c r="AN1241" s="200"/>
      <c r="AO1241" s="200"/>
      <c r="AP1241" s="200"/>
      <c r="AQ1241" s="200"/>
      <c r="AR1241" s="200"/>
      <c r="AS1241" s="200"/>
      <c r="AT1241" s="200"/>
    </row>
    <row r="1242" spans="1:46" ht="16.5" customHeight="1">
      <c r="A1242" s="307"/>
      <c r="B1242" s="307"/>
      <c r="C1242" s="200"/>
      <c r="D1242" s="200"/>
      <c r="E1242" s="200"/>
      <c r="F1242" s="200"/>
      <c r="G1242" s="200"/>
      <c r="H1242" s="200"/>
      <c r="I1242" s="200"/>
      <c r="J1242" s="200"/>
      <c r="K1242" s="200"/>
      <c r="L1242" s="200"/>
      <c r="M1242" s="200"/>
      <c r="N1242" s="200"/>
      <c r="O1242" s="200"/>
      <c r="P1242" s="200"/>
      <c r="Q1242" s="353"/>
      <c r="R1242" s="353"/>
      <c r="S1242" s="200"/>
      <c r="T1242" s="353"/>
      <c r="U1242" s="353"/>
      <c r="V1242" s="353"/>
      <c r="W1242" s="432"/>
      <c r="X1242" s="200"/>
      <c r="Y1242" s="200"/>
      <c r="Z1242" s="200"/>
      <c r="AA1242" s="200"/>
      <c r="AB1242" s="200"/>
      <c r="AC1242" s="200"/>
      <c r="AD1242" s="200"/>
      <c r="AE1242" s="200"/>
      <c r="AF1242" s="200"/>
      <c r="AG1242" s="200"/>
      <c r="AH1242" s="200"/>
      <c r="AI1242" s="200"/>
      <c r="AJ1242" s="200"/>
      <c r="AK1242" s="200"/>
      <c r="AL1242" s="200"/>
      <c r="AM1242" s="200"/>
      <c r="AN1242" s="200"/>
      <c r="AO1242" s="200"/>
      <c r="AP1242" s="200"/>
      <c r="AQ1242" s="200"/>
      <c r="AR1242" s="200"/>
      <c r="AS1242" s="200"/>
      <c r="AT1242" s="200"/>
    </row>
    <row r="1243" spans="1:46" ht="16.5" customHeight="1">
      <c r="A1243" s="307"/>
      <c r="B1243" s="307"/>
      <c r="C1243" s="200"/>
      <c r="D1243" s="200"/>
      <c r="E1243" s="200"/>
      <c r="F1243" s="200"/>
      <c r="G1243" s="200"/>
      <c r="H1243" s="200"/>
      <c r="I1243" s="200"/>
      <c r="J1243" s="200"/>
      <c r="K1243" s="200"/>
      <c r="L1243" s="200"/>
      <c r="M1243" s="200"/>
      <c r="N1243" s="200"/>
      <c r="O1243" s="200"/>
      <c r="P1243" s="200"/>
      <c r="Q1243" s="353"/>
      <c r="R1243" s="353"/>
      <c r="S1243" s="200"/>
      <c r="T1243" s="353"/>
      <c r="U1243" s="353"/>
      <c r="V1243" s="353"/>
      <c r="W1243" s="432"/>
      <c r="X1243" s="200"/>
      <c r="Y1243" s="200"/>
      <c r="Z1243" s="200"/>
      <c r="AA1243" s="200"/>
      <c r="AB1243" s="200"/>
      <c r="AC1243" s="200"/>
      <c r="AD1243" s="200"/>
      <c r="AE1243" s="200"/>
      <c r="AF1243" s="200"/>
      <c r="AG1243" s="200"/>
      <c r="AH1243" s="200"/>
      <c r="AI1243" s="200"/>
      <c r="AJ1243" s="200"/>
      <c r="AK1243" s="200"/>
      <c r="AL1243" s="200"/>
      <c r="AM1243" s="200"/>
      <c r="AN1243" s="200"/>
      <c r="AO1243" s="200"/>
      <c r="AP1243" s="200"/>
      <c r="AQ1243" s="200"/>
      <c r="AR1243" s="200"/>
      <c r="AS1243" s="200"/>
      <c r="AT1243" s="200"/>
    </row>
    <row r="1244" spans="1:46" ht="16.5" customHeight="1">
      <c r="A1244" s="307"/>
      <c r="B1244" s="307"/>
      <c r="C1244" s="200"/>
      <c r="D1244" s="200"/>
      <c r="E1244" s="200"/>
      <c r="F1244" s="200"/>
      <c r="G1244" s="200"/>
      <c r="H1244" s="200"/>
      <c r="I1244" s="200"/>
      <c r="J1244" s="200"/>
      <c r="K1244" s="200"/>
      <c r="L1244" s="200"/>
      <c r="M1244" s="200"/>
      <c r="N1244" s="200"/>
      <c r="O1244" s="200"/>
      <c r="P1244" s="200"/>
      <c r="Q1244" s="353"/>
      <c r="R1244" s="353"/>
      <c r="S1244" s="200"/>
      <c r="T1244" s="353"/>
      <c r="U1244" s="353"/>
      <c r="V1244" s="353"/>
      <c r="W1244" s="432"/>
      <c r="X1244" s="200"/>
      <c r="Y1244" s="200"/>
      <c r="Z1244" s="200"/>
      <c r="AA1244" s="200"/>
      <c r="AB1244" s="200"/>
      <c r="AC1244" s="200"/>
      <c r="AD1244" s="200"/>
      <c r="AE1244" s="200"/>
      <c r="AF1244" s="200"/>
      <c r="AG1244" s="200"/>
      <c r="AH1244" s="200"/>
      <c r="AI1244" s="200"/>
      <c r="AJ1244" s="200"/>
      <c r="AK1244" s="200"/>
      <c r="AL1244" s="200"/>
      <c r="AM1244" s="200"/>
      <c r="AN1244" s="200"/>
      <c r="AO1244" s="200"/>
      <c r="AP1244" s="200"/>
      <c r="AQ1244" s="200"/>
      <c r="AR1244" s="200"/>
      <c r="AS1244" s="200"/>
      <c r="AT1244" s="200"/>
    </row>
    <row r="1245" spans="1:46" ht="16.5" customHeight="1">
      <c r="A1245" s="307"/>
      <c r="B1245" s="307"/>
      <c r="C1245" s="200"/>
      <c r="D1245" s="200"/>
      <c r="E1245" s="200"/>
      <c r="F1245" s="200"/>
      <c r="G1245" s="200"/>
      <c r="H1245" s="200"/>
      <c r="I1245" s="200"/>
      <c r="J1245" s="200"/>
      <c r="K1245" s="200"/>
      <c r="L1245" s="200"/>
      <c r="M1245" s="200"/>
      <c r="N1245" s="200"/>
      <c r="O1245" s="200"/>
      <c r="P1245" s="200"/>
      <c r="Q1245" s="353"/>
      <c r="R1245" s="353"/>
      <c r="S1245" s="200"/>
      <c r="T1245" s="353"/>
      <c r="U1245" s="353"/>
      <c r="V1245" s="353"/>
      <c r="W1245" s="432"/>
      <c r="X1245" s="200"/>
      <c r="Y1245" s="200"/>
      <c r="Z1245" s="200"/>
      <c r="AA1245" s="200"/>
      <c r="AB1245" s="200"/>
      <c r="AC1245" s="200"/>
      <c r="AD1245" s="200"/>
      <c r="AE1245" s="200"/>
      <c r="AF1245" s="200"/>
      <c r="AG1245" s="200"/>
      <c r="AH1245" s="200"/>
      <c r="AI1245" s="200"/>
      <c r="AJ1245" s="200"/>
      <c r="AK1245" s="200"/>
      <c r="AL1245" s="200"/>
      <c r="AM1245" s="200"/>
      <c r="AN1245" s="200"/>
      <c r="AO1245" s="200"/>
      <c r="AP1245" s="200"/>
      <c r="AQ1245" s="200"/>
      <c r="AR1245" s="200"/>
      <c r="AS1245" s="200"/>
      <c r="AT1245" s="200"/>
    </row>
    <row r="1246" spans="1:46" ht="16.5" customHeight="1">
      <c r="A1246" s="307"/>
      <c r="B1246" s="307"/>
      <c r="C1246" s="200"/>
      <c r="D1246" s="200"/>
      <c r="E1246" s="200"/>
      <c r="F1246" s="200"/>
      <c r="G1246" s="200"/>
      <c r="H1246" s="200"/>
      <c r="I1246" s="200"/>
      <c r="J1246" s="200"/>
      <c r="K1246" s="200"/>
      <c r="L1246" s="200"/>
      <c r="M1246" s="200"/>
      <c r="N1246" s="200"/>
      <c r="O1246" s="200"/>
      <c r="P1246" s="200"/>
      <c r="Q1246" s="353"/>
      <c r="R1246" s="353"/>
      <c r="S1246" s="200"/>
      <c r="T1246" s="353"/>
      <c r="U1246" s="353"/>
      <c r="V1246" s="353"/>
      <c r="W1246" s="432"/>
      <c r="X1246" s="200"/>
      <c r="Y1246" s="200"/>
      <c r="Z1246" s="200"/>
      <c r="AA1246" s="200"/>
      <c r="AB1246" s="200"/>
      <c r="AC1246" s="200"/>
      <c r="AD1246" s="200"/>
      <c r="AE1246" s="200"/>
      <c r="AF1246" s="200"/>
      <c r="AG1246" s="200"/>
      <c r="AH1246" s="200"/>
      <c r="AI1246" s="200"/>
      <c r="AJ1246" s="200"/>
      <c r="AK1246" s="200"/>
      <c r="AL1246" s="200"/>
      <c r="AM1246" s="200"/>
      <c r="AN1246" s="200"/>
      <c r="AO1246" s="200"/>
      <c r="AP1246" s="200"/>
      <c r="AQ1246" s="200"/>
      <c r="AR1246" s="200"/>
      <c r="AS1246" s="200"/>
      <c r="AT1246" s="200"/>
    </row>
    <row r="1247" spans="1:46" ht="16.5" customHeight="1">
      <c r="A1247" s="307"/>
      <c r="B1247" s="307"/>
      <c r="C1247" s="200"/>
      <c r="D1247" s="200"/>
      <c r="E1247" s="200"/>
      <c r="F1247" s="200"/>
      <c r="G1247" s="200"/>
      <c r="H1247" s="200"/>
      <c r="I1247" s="200"/>
      <c r="J1247" s="200"/>
      <c r="K1247" s="200"/>
      <c r="L1247" s="200"/>
      <c r="M1247" s="200"/>
      <c r="N1247" s="200"/>
      <c r="O1247" s="200"/>
      <c r="P1247" s="200"/>
      <c r="Q1247" s="353"/>
      <c r="R1247" s="353"/>
      <c r="S1247" s="200"/>
      <c r="T1247" s="353"/>
      <c r="U1247" s="353"/>
      <c r="V1247" s="353"/>
      <c r="W1247" s="432"/>
      <c r="X1247" s="200"/>
      <c r="Y1247" s="200"/>
      <c r="Z1247" s="200"/>
      <c r="AA1247" s="200"/>
      <c r="AB1247" s="200"/>
      <c r="AC1247" s="200"/>
      <c r="AD1247" s="200"/>
      <c r="AE1247" s="200"/>
      <c r="AF1247" s="200"/>
      <c r="AG1247" s="200"/>
      <c r="AH1247" s="200"/>
      <c r="AI1247" s="200"/>
      <c r="AJ1247" s="200"/>
      <c r="AK1247" s="200"/>
      <c r="AL1247" s="200"/>
      <c r="AM1247" s="200"/>
      <c r="AN1247" s="200"/>
      <c r="AO1247" s="200"/>
      <c r="AP1247" s="200"/>
      <c r="AQ1247" s="200"/>
      <c r="AR1247" s="200"/>
      <c r="AS1247" s="200"/>
      <c r="AT1247" s="200"/>
    </row>
    <row r="1248" spans="1:46" ht="16.5" customHeight="1">
      <c r="A1248" s="307"/>
      <c r="B1248" s="307"/>
      <c r="C1248" s="200"/>
      <c r="D1248" s="200"/>
      <c r="E1248" s="200"/>
      <c r="F1248" s="200"/>
      <c r="G1248" s="200"/>
      <c r="H1248" s="200"/>
      <c r="I1248" s="200"/>
      <c r="J1248" s="200"/>
      <c r="K1248" s="200"/>
      <c r="L1248" s="200"/>
      <c r="M1248" s="200"/>
      <c r="N1248" s="200"/>
      <c r="O1248" s="200"/>
      <c r="P1248" s="200"/>
      <c r="Q1248" s="353"/>
      <c r="R1248" s="353"/>
      <c r="S1248" s="200"/>
      <c r="T1248" s="353"/>
      <c r="U1248" s="353"/>
      <c r="V1248" s="353"/>
      <c r="W1248" s="432"/>
      <c r="X1248" s="200"/>
      <c r="Y1248" s="200"/>
      <c r="Z1248" s="200"/>
      <c r="AA1248" s="200"/>
      <c r="AB1248" s="200"/>
      <c r="AC1248" s="200"/>
      <c r="AD1248" s="200"/>
      <c r="AE1248" s="200"/>
      <c r="AF1248" s="200"/>
      <c r="AG1248" s="200"/>
      <c r="AH1248" s="200"/>
      <c r="AI1248" s="200"/>
      <c r="AJ1248" s="200"/>
      <c r="AK1248" s="200"/>
      <c r="AL1248" s="200"/>
      <c r="AM1248" s="200"/>
      <c r="AN1248" s="200"/>
      <c r="AO1248" s="200"/>
      <c r="AP1248" s="200"/>
      <c r="AQ1248" s="200"/>
      <c r="AR1248" s="200"/>
      <c r="AS1248" s="200"/>
      <c r="AT1248" s="200"/>
    </row>
    <row r="1249" spans="1:46" ht="16.5" customHeight="1">
      <c r="A1249" s="307"/>
      <c r="B1249" s="307"/>
      <c r="C1249" s="200"/>
      <c r="D1249" s="200"/>
      <c r="E1249" s="200"/>
      <c r="F1249" s="200"/>
      <c r="G1249" s="200"/>
      <c r="H1249" s="200"/>
      <c r="I1249" s="200"/>
      <c r="J1249" s="200"/>
      <c r="K1249" s="200"/>
      <c r="L1249" s="200"/>
      <c r="M1249" s="200"/>
      <c r="N1249" s="200"/>
      <c r="O1249" s="200"/>
      <c r="P1249" s="200"/>
      <c r="Q1249" s="353"/>
      <c r="R1249" s="353"/>
      <c r="S1249" s="200"/>
      <c r="T1249" s="353"/>
      <c r="U1249" s="353"/>
      <c r="V1249" s="353"/>
      <c r="W1249" s="432"/>
      <c r="X1249" s="200"/>
      <c r="Y1249" s="200"/>
      <c r="Z1249" s="200"/>
      <c r="AA1249" s="200"/>
      <c r="AB1249" s="200"/>
      <c r="AC1249" s="200"/>
      <c r="AD1249" s="200"/>
      <c r="AE1249" s="200"/>
      <c r="AF1249" s="200"/>
      <c r="AG1249" s="200"/>
      <c r="AH1249" s="200"/>
      <c r="AI1249" s="200"/>
      <c r="AJ1249" s="200"/>
      <c r="AK1249" s="200"/>
      <c r="AL1249" s="200"/>
      <c r="AM1249" s="200"/>
      <c r="AN1249" s="200"/>
      <c r="AO1249" s="200"/>
      <c r="AP1249" s="200"/>
      <c r="AQ1249" s="200"/>
      <c r="AR1249" s="200"/>
      <c r="AS1249" s="200"/>
      <c r="AT1249" s="200"/>
    </row>
    <row r="1250" spans="1:46" ht="16.5" customHeight="1">
      <c r="A1250" s="307"/>
      <c r="B1250" s="307"/>
      <c r="C1250" s="200"/>
      <c r="D1250" s="200"/>
      <c r="E1250" s="200"/>
      <c r="F1250" s="200"/>
      <c r="G1250" s="200"/>
      <c r="H1250" s="200"/>
      <c r="I1250" s="200"/>
      <c r="J1250" s="200"/>
      <c r="K1250" s="200"/>
      <c r="L1250" s="200"/>
      <c r="M1250" s="200"/>
      <c r="N1250" s="200"/>
      <c r="O1250" s="200"/>
      <c r="P1250" s="200"/>
      <c r="Q1250" s="353"/>
      <c r="R1250" s="353"/>
      <c r="S1250" s="200"/>
      <c r="T1250" s="353"/>
      <c r="U1250" s="353"/>
      <c r="V1250" s="353"/>
      <c r="W1250" s="432"/>
      <c r="X1250" s="200"/>
      <c r="Y1250" s="200"/>
      <c r="Z1250" s="200"/>
      <c r="AA1250" s="200"/>
      <c r="AB1250" s="200"/>
      <c r="AC1250" s="200"/>
      <c r="AD1250" s="200"/>
      <c r="AE1250" s="200"/>
      <c r="AF1250" s="200"/>
      <c r="AG1250" s="200"/>
      <c r="AH1250" s="200"/>
      <c r="AI1250" s="200"/>
      <c r="AJ1250" s="200"/>
      <c r="AK1250" s="200"/>
      <c r="AL1250" s="200"/>
      <c r="AM1250" s="200"/>
      <c r="AN1250" s="200"/>
      <c r="AO1250" s="200"/>
      <c r="AP1250" s="200"/>
      <c r="AQ1250" s="200"/>
      <c r="AR1250" s="200"/>
      <c r="AS1250" s="200"/>
      <c r="AT1250" s="200"/>
    </row>
    <row r="1251" spans="1:46" ht="16.5" customHeight="1">
      <c r="A1251" s="307"/>
      <c r="B1251" s="307"/>
      <c r="C1251" s="200"/>
      <c r="D1251" s="200"/>
      <c r="E1251" s="200"/>
      <c r="F1251" s="200"/>
      <c r="G1251" s="200"/>
      <c r="H1251" s="200"/>
      <c r="I1251" s="200"/>
      <c r="J1251" s="200"/>
      <c r="K1251" s="200"/>
      <c r="L1251" s="200"/>
      <c r="M1251" s="200"/>
      <c r="N1251" s="200"/>
      <c r="O1251" s="200"/>
      <c r="P1251" s="200"/>
      <c r="Q1251" s="353"/>
      <c r="R1251" s="353"/>
      <c r="S1251" s="200"/>
      <c r="T1251" s="353"/>
      <c r="U1251" s="353"/>
      <c r="V1251" s="353"/>
      <c r="W1251" s="432"/>
      <c r="X1251" s="200"/>
      <c r="Y1251" s="200"/>
      <c r="Z1251" s="200"/>
      <c r="AA1251" s="200"/>
      <c r="AB1251" s="200"/>
      <c r="AC1251" s="200"/>
      <c r="AD1251" s="200"/>
      <c r="AE1251" s="200"/>
      <c r="AF1251" s="200"/>
      <c r="AG1251" s="200"/>
      <c r="AH1251" s="200"/>
      <c r="AI1251" s="200"/>
      <c r="AJ1251" s="200"/>
      <c r="AK1251" s="200"/>
      <c r="AL1251" s="200"/>
      <c r="AM1251" s="200"/>
      <c r="AN1251" s="200"/>
      <c r="AO1251" s="200"/>
      <c r="AP1251" s="200"/>
      <c r="AQ1251" s="200"/>
      <c r="AR1251" s="200"/>
      <c r="AS1251" s="200"/>
      <c r="AT1251" s="200"/>
    </row>
    <row r="1252" spans="1:46" ht="16.5" customHeight="1">
      <c r="A1252" s="307"/>
      <c r="B1252" s="307"/>
      <c r="C1252" s="200"/>
      <c r="D1252" s="200"/>
      <c r="E1252" s="200"/>
      <c r="F1252" s="200"/>
      <c r="G1252" s="200"/>
      <c r="H1252" s="200"/>
      <c r="I1252" s="200"/>
      <c r="J1252" s="200"/>
      <c r="K1252" s="200"/>
      <c r="L1252" s="200"/>
      <c r="M1252" s="200"/>
      <c r="N1252" s="200"/>
      <c r="O1252" s="200"/>
      <c r="P1252" s="200"/>
      <c r="Q1252" s="353"/>
      <c r="R1252" s="353"/>
      <c r="S1252" s="200"/>
      <c r="T1252" s="353"/>
      <c r="U1252" s="353"/>
      <c r="V1252" s="353"/>
      <c r="W1252" s="432"/>
      <c r="X1252" s="200"/>
      <c r="Y1252" s="200"/>
      <c r="Z1252" s="200"/>
      <c r="AA1252" s="200"/>
      <c r="AB1252" s="200"/>
      <c r="AC1252" s="200"/>
      <c r="AD1252" s="200"/>
      <c r="AE1252" s="200"/>
      <c r="AF1252" s="200"/>
      <c r="AG1252" s="200"/>
      <c r="AH1252" s="200"/>
      <c r="AI1252" s="200"/>
      <c r="AJ1252" s="200"/>
      <c r="AK1252" s="200"/>
      <c r="AL1252" s="200"/>
      <c r="AM1252" s="200"/>
      <c r="AN1252" s="200"/>
      <c r="AO1252" s="200"/>
      <c r="AP1252" s="200"/>
      <c r="AQ1252" s="200"/>
      <c r="AR1252" s="200"/>
      <c r="AS1252" s="200"/>
      <c r="AT1252" s="200"/>
    </row>
    <row r="1253" spans="1:46" ht="16.5" customHeight="1">
      <c r="A1253" s="307"/>
      <c r="B1253" s="307"/>
      <c r="C1253" s="200"/>
      <c r="D1253" s="200"/>
      <c r="E1253" s="200"/>
      <c r="F1253" s="200"/>
      <c r="G1253" s="200"/>
      <c r="H1253" s="200"/>
      <c r="I1253" s="200"/>
      <c r="J1253" s="200"/>
      <c r="K1253" s="200"/>
      <c r="L1253" s="200"/>
      <c r="M1253" s="200"/>
      <c r="N1253" s="200"/>
      <c r="O1253" s="200"/>
      <c r="P1253" s="200"/>
      <c r="Q1253" s="353"/>
      <c r="R1253" s="353"/>
      <c r="S1253" s="200"/>
      <c r="T1253" s="353"/>
      <c r="U1253" s="353"/>
      <c r="V1253" s="353"/>
      <c r="W1253" s="432"/>
      <c r="X1253" s="200"/>
      <c r="Y1253" s="200"/>
      <c r="Z1253" s="200"/>
      <c r="AA1253" s="200"/>
      <c r="AB1253" s="200"/>
      <c r="AC1253" s="200"/>
      <c r="AD1253" s="200"/>
      <c r="AE1253" s="200"/>
      <c r="AF1253" s="200"/>
      <c r="AG1253" s="200"/>
      <c r="AH1253" s="200"/>
      <c r="AI1253" s="200"/>
      <c r="AJ1253" s="200"/>
      <c r="AK1253" s="200"/>
      <c r="AL1253" s="200"/>
      <c r="AM1253" s="200"/>
      <c r="AN1253" s="200"/>
      <c r="AO1253" s="200"/>
      <c r="AP1253" s="200"/>
      <c r="AQ1253" s="200"/>
      <c r="AR1253" s="200"/>
      <c r="AS1253" s="200"/>
      <c r="AT1253" s="200"/>
    </row>
    <row r="1254" spans="1:46" ht="16.5" customHeight="1">
      <c r="A1254" s="307"/>
      <c r="B1254" s="307"/>
      <c r="C1254" s="200"/>
      <c r="D1254" s="200"/>
      <c r="E1254" s="200"/>
      <c r="F1254" s="200"/>
      <c r="G1254" s="200"/>
      <c r="H1254" s="200"/>
      <c r="I1254" s="200"/>
      <c r="J1254" s="200"/>
      <c r="K1254" s="200"/>
      <c r="L1254" s="200"/>
      <c r="M1254" s="200"/>
      <c r="N1254" s="200"/>
      <c r="O1254" s="200"/>
      <c r="P1254" s="200"/>
      <c r="Q1254" s="353"/>
      <c r="R1254" s="353"/>
      <c r="S1254" s="200"/>
      <c r="T1254" s="353"/>
      <c r="U1254" s="353"/>
      <c r="V1254" s="353"/>
      <c r="W1254" s="432"/>
      <c r="X1254" s="200"/>
      <c r="Y1254" s="200"/>
      <c r="Z1254" s="200"/>
      <c r="AA1254" s="200"/>
      <c r="AB1254" s="200"/>
      <c r="AC1254" s="200"/>
      <c r="AD1254" s="200"/>
      <c r="AE1254" s="200"/>
      <c r="AF1254" s="200"/>
      <c r="AG1254" s="200"/>
      <c r="AH1254" s="200"/>
      <c r="AI1254" s="200"/>
      <c r="AJ1254" s="200"/>
      <c r="AK1254" s="200"/>
      <c r="AL1254" s="200"/>
      <c r="AM1254" s="200"/>
      <c r="AN1254" s="200"/>
      <c r="AO1254" s="200"/>
      <c r="AP1254" s="200"/>
      <c r="AQ1254" s="200"/>
      <c r="AR1254" s="200"/>
      <c r="AS1254" s="200"/>
      <c r="AT1254" s="200"/>
    </row>
    <row r="1255" spans="1:46" ht="16.5" customHeight="1">
      <c r="A1255" s="307"/>
      <c r="B1255" s="307"/>
      <c r="C1255" s="200"/>
      <c r="D1255" s="200"/>
      <c r="E1255" s="200"/>
      <c r="F1255" s="200"/>
      <c r="G1255" s="200"/>
      <c r="H1255" s="200"/>
      <c r="I1255" s="200"/>
      <c r="J1255" s="200"/>
      <c r="K1255" s="200"/>
      <c r="L1255" s="200"/>
      <c r="M1255" s="200"/>
      <c r="N1255" s="200"/>
      <c r="O1255" s="200"/>
      <c r="P1255" s="200"/>
      <c r="Q1255" s="353"/>
      <c r="R1255" s="353"/>
      <c r="S1255" s="200"/>
      <c r="T1255" s="353"/>
      <c r="U1255" s="353"/>
      <c r="V1255" s="353"/>
      <c r="W1255" s="432"/>
      <c r="X1255" s="200"/>
      <c r="Y1255" s="200"/>
      <c r="Z1255" s="200"/>
      <c r="AA1255" s="200"/>
      <c r="AB1255" s="200"/>
      <c r="AC1255" s="200"/>
      <c r="AD1255" s="200"/>
      <c r="AE1255" s="200"/>
      <c r="AF1255" s="200"/>
      <c r="AG1255" s="200"/>
      <c r="AH1255" s="200"/>
      <c r="AI1255" s="200"/>
      <c r="AJ1255" s="200"/>
      <c r="AK1255" s="200"/>
      <c r="AL1255" s="200"/>
      <c r="AM1255" s="200"/>
      <c r="AN1255" s="200"/>
      <c r="AO1255" s="200"/>
      <c r="AP1255" s="200"/>
      <c r="AQ1255" s="200"/>
      <c r="AR1255" s="200"/>
      <c r="AS1255" s="200"/>
      <c r="AT1255" s="200"/>
    </row>
    <row r="1256" spans="1:46" ht="16.5" customHeight="1">
      <c r="A1256" s="307"/>
      <c r="B1256" s="307"/>
      <c r="C1256" s="200"/>
      <c r="D1256" s="200"/>
      <c r="E1256" s="200"/>
      <c r="F1256" s="200"/>
      <c r="G1256" s="200"/>
      <c r="H1256" s="200"/>
      <c r="I1256" s="200"/>
      <c r="J1256" s="200"/>
      <c r="K1256" s="200"/>
      <c r="L1256" s="200"/>
      <c r="M1256" s="200"/>
      <c r="N1256" s="200"/>
      <c r="O1256" s="200"/>
      <c r="P1256" s="200"/>
      <c r="Q1256" s="353"/>
      <c r="R1256" s="353"/>
      <c r="S1256" s="200"/>
      <c r="T1256" s="353"/>
      <c r="U1256" s="353"/>
      <c r="V1256" s="353"/>
      <c r="W1256" s="432"/>
      <c r="X1256" s="200"/>
      <c r="Y1256" s="200"/>
      <c r="Z1256" s="200"/>
      <c r="AA1256" s="200"/>
      <c r="AB1256" s="200"/>
      <c r="AC1256" s="200"/>
      <c r="AD1256" s="200"/>
      <c r="AE1256" s="200"/>
      <c r="AF1256" s="200"/>
      <c r="AG1256" s="200"/>
      <c r="AH1256" s="200"/>
      <c r="AI1256" s="200"/>
      <c r="AJ1256" s="200"/>
      <c r="AK1256" s="200"/>
      <c r="AL1256" s="200"/>
      <c r="AM1256" s="200"/>
      <c r="AN1256" s="200"/>
      <c r="AO1256" s="200"/>
      <c r="AP1256" s="200"/>
      <c r="AQ1256" s="200"/>
      <c r="AR1256" s="200"/>
      <c r="AS1256" s="200"/>
      <c r="AT1256" s="200"/>
    </row>
    <row r="1257" spans="1:46" ht="16.5" customHeight="1">
      <c r="A1257" s="307"/>
      <c r="B1257" s="307"/>
      <c r="C1257" s="200"/>
      <c r="D1257" s="200"/>
      <c r="E1257" s="200"/>
      <c r="F1257" s="200"/>
      <c r="G1257" s="200"/>
      <c r="H1257" s="200"/>
      <c r="I1257" s="200"/>
      <c r="J1257" s="200"/>
      <c r="K1257" s="200"/>
      <c r="L1257" s="200"/>
      <c r="M1257" s="200"/>
      <c r="N1257" s="200"/>
      <c r="O1257" s="200"/>
      <c r="P1257" s="200"/>
      <c r="Q1257" s="353"/>
      <c r="R1257" s="353"/>
      <c r="S1257" s="200"/>
      <c r="T1257" s="353"/>
      <c r="U1257" s="353"/>
      <c r="V1257" s="353"/>
      <c r="W1257" s="432"/>
      <c r="X1257" s="200"/>
      <c r="Y1257" s="200"/>
      <c r="Z1257" s="200"/>
      <c r="AA1257" s="200"/>
      <c r="AB1257" s="200"/>
      <c r="AC1257" s="200"/>
      <c r="AD1257" s="200"/>
      <c r="AE1257" s="200"/>
      <c r="AF1257" s="200"/>
      <c r="AG1257" s="200"/>
      <c r="AH1257" s="200"/>
      <c r="AI1257" s="200"/>
      <c r="AJ1257" s="200"/>
      <c r="AK1257" s="200"/>
      <c r="AL1257" s="200"/>
      <c r="AM1257" s="200"/>
      <c r="AN1257" s="200"/>
      <c r="AO1257" s="200"/>
      <c r="AP1257" s="200"/>
      <c r="AQ1257" s="200"/>
      <c r="AR1257" s="200"/>
      <c r="AS1257" s="200"/>
      <c r="AT1257" s="200"/>
    </row>
    <row r="1258" spans="1:46" ht="16.5" customHeight="1">
      <c r="A1258" s="307"/>
      <c r="B1258" s="307"/>
      <c r="C1258" s="200"/>
      <c r="D1258" s="200"/>
      <c r="E1258" s="200"/>
      <c r="F1258" s="200"/>
      <c r="G1258" s="200"/>
      <c r="H1258" s="200"/>
      <c r="I1258" s="200"/>
      <c r="J1258" s="200"/>
      <c r="K1258" s="200"/>
      <c r="L1258" s="200"/>
      <c r="M1258" s="200"/>
      <c r="N1258" s="200"/>
      <c r="O1258" s="200"/>
      <c r="P1258" s="200"/>
      <c r="Q1258" s="353"/>
      <c r="R1258" s="353"/>
      <c r="S1258" s="200"/>
      <c r="T1258" s="353"/>
      <c r="U1258" s="353"/>
      <c r="V1258" s="353"/>
      <c r="W1258" s="432"/>
      <c r="X1258" s="200"/>
      <c r="Y1258" s="200"/>
      <c r="Z1258" s="200"/>
      <c r="AA1258" s="200"/>
      <c r="AB1258" s="200"/>
      <c r="AC1258" s="200"/>
      <c r="AD1258" s="200"/>
      <c r="AE1258" s="200"/>
      <c r="AF1258" s="200"/>
      <c r="AG1258" s="200"/>
      <c r="AH1258" s="200"/>
      <c r="AI1258" s="200"/>
      <c r="AJ1258" s="200"/>
      <c r="AK1258" s="200"/>
      <c r="AL1258" s="200"/>
      <c r="AM1258" s="200"/>
      <c r="AN1258" s="200"/>
      <c r="AO1258" s="200"/>
      <c r="AP1258" s="200"/>
      <c r="AQ1258" s="200"/>
      <c r="AR1258" s="200"/>
      <c r="AS1258" s="200"/>
      <c r="AT1258" s="200"/>
    </row>
    <row r="1259" spans="1:46" ht="16.5" customHeight="1">
      <c r="A1259" s="307"/>
      <c r="B1259" s="307"/>
      <c r="C1259" s="200"/>
      <c r="D1259" s="200"/>
      <c r="E1259" s="200"/>
      <c r="F1259" s="200"/>
      <c r="G1259" s="200"/>
      <c r="H1259" s="200"/>
      <c r="I1259" s="200"/>
      <c r="J1259" s="200"/>
      <c r="K1259" s="200"/>
      <c r="L1259" s="200"/>
      <c r="M1259" s="200"/>
      <c r="N1259" s="200"/>
      <c r="O1259" s="200"/>
      <c r="P1259" s="200"/>
      <c r="Q1259" s="353"/>
      <c r="R1259" s="353"/>
      <c r="S1259" s="200"/>
      <c r="T1259" s="353"/>
      <c r="U1259" s="353"/>
      <c r="V1259" s="353"/>
      <c r="W1259" s="432"/>
      <c r="X1259" s="200"/>
      <c r="Y1259" s="200"/>
      <c r="Z1259" s="200"/>
      <c r="AA1259" s="200"/>
      <c r="AB1259" s="200"/>
      <c r="AC1259" s="200"/>
      <c r="AD1259" s="200"/>
      <c r="AE1259" s="200"/>
      <c r="AF1259" s="200"/>
      <c r="AG1259" s="200"/>
      <c r="AH1259" s="200"/>
      <c r="AI1259" s="200"/>
      <c r="AJ1259" s="200"/>
      <c r="AK1259" s="200"/>
      <c r="AL1259" s="200"/>
      <c r="AM1259" s="200"/>
      <c r="AN1259" s="200"/>
      <c r="AO1259" s="200"/>
      <c r="AP1259" s="200"/>
      <c r="AQ1259" s="200"/>
      <c r="AR1259" s="200"/>
      <c r="AS1259" s="200"/>
      <c r="AT1259" s="200"/>
    </row>
    <row r="1260" spans="1:46" ht="16.5" customHeight="1">
      <c r="A1260" s="307"/>
      <c r="B1260" s="307"/>
      <c r="C1260" s="200"/>
      <c r="D1260" s="200"/>
      <c r="E1260" s="200"/>
      <c r="F1260" s="200"/>
      <c r="G1260" s="200"/>
      <c r="H1260" s="200"/>
      <c r="I1260" s="200"/>
      <c r="J1260" s="200"/>
      <c r="K1260" s="200"/>
      <c r="L1260" s="200"/>
      <c r="M1260" s="200"/>
      <c r="N1260" s="200"/>
      <c r="O1260" s="200"/>
      <c r="P1260" s="200"/>
      <c r="Q1260" s="353"/>
      <c r="R1260" s="353"/>
      <c r="S1260" s="200"/>
      <c r="T1260" s="353"/>
      <c r="U1260" s="353"/>
      <c r="V1260" s="353"/>
      <c r="W1260" s="432"/>
      <c r="X1260" s="200"/>
      <c r="Y1260" s="200"/>
      <c r="Z1260" s="200"/>
      <c r="AA1260" s="200"/>
      <c r="AB1260" s="200"/>
      <c r="AC1260" s="200"/>
      <c r="AD1260" s="200"/>
      <c r="AE1260" s="200"/>
      <c r="AF1260" s="200"/>
      <c r="AG1260" s="200"/>
      <c r="AH1260" s="200"/>
      <c r="AI1260" s="200"/>
      <c r="AJ1260" s="200"/>
      <c r="AK1260" s="200"/>
      <c r="AL1260" s="200"/>
      <c r="AM1260" s="200"/>
      <c r="AN1260" s="200"/>
      <c r="AO1260" s="200"/>
      <c r="AP1260" s="200"/>
      <c r="AQ1260" s="200"/>
      <c r="AR1260" s="200"/>
      <c r="AS1260" s="200"/>
      <c r="AT1260" s="200"/>
    </row>
    <row r="1261" spans="1:46" ht="16.5" customHeight="1">
      <c r="A1261" s="307"/>
      <c r="B1261" s="307"/>
      <c r="C1261" s="200"/>
      <c r="D1261" s="200"/>
      <c r="E1261" s="200"/>
      <c r="F1261" s="200"/>
      <c r="G1261" s="200"/>
      <c r="H1261" s="200"/>
      <c r="I1261" s="200"/>
      <c r="J1261" s="200"/>
      <c r="K1261" s="200"/>
      <c r="L1261" s="200"/>
      <c r="M1261" s="200"/>
      <c r="N1261" s="200"/>
      <c r="O1261" s="200"/>
      <c r="P1261" s="200"/>
      <c r="Q1261" s="353"/>
      <c r="R1261" s="353"/>
      <c r="S1261" s="200"/>
      <c r="T1261" s="353"/>
      <c r="U1261" s="353"/>
      <c r="V1261" s="353"/>
      <c r="W1261" s="432"/>
      <c r="X1261" s="200"/>
      <c r="Y1261" s="200"/>
      <c r="Z1261" s="200"/>
      <c r="AA1261" s="200"/>
      <c r="AB1261" s="200"/>
      <c r="AC1261" s="200"/>
      <c r="AD1261" s="200"/>
      <c r="AE1261" s="200"/>
      <c r="AF1261" s="200"/>
      <c r="AG1261" s="200"/>
      <c r="AH1261" s="200"/>
      <c r="AI1261" s="200"/>
      <c r="AJ1261" s="200"/>
      <c r="AK1261" s="200"/>
      <c r="AL1261" s="200"/>
      <c r="AM1261" s="200"/>
      <c r="AN1261" s="200"/>
      <c r="AO1261" s="200"/>
      <c r="AP1261" s="200"/>
      <c r="AQ1261" s="200"/>
      <c r="AR1261" s="200"/>
      <c r="AS1261" s="200"/>
      <c r="AT1261" s="200"/>
    </row>
    <row r="1262" spans="1:46" ht="16.5" customHeight="1">
      <c r="A1262" s="307"/>
      <c r="B1262" s="307"/>
      <c r="C1262" s="200"/>
      <c r="D1262" s="200"/>
      <c r="E1262" s="200"/>
      <c r="F1262" s="200"/>
      <c r="G1262" s="200"/>
      <c r="H1262" s="200"/>
      <c r="I1262" s="200"/>
      <c r="J1262" s="200"/>
      <c r="K1262" s="200"/>
      <c r="L1262" s="200"/>
      <c r="M1262" s="200"/>
      <c r="N1262" s="200"/>
      <c r="O1262" s="200"/>
      <c r="P1262" s="200"/>
      <c r="Q1262" s="353"/>
      <c r="R1262" s="353"/>
      <c r="S1262" s="200"/>
      <c r="T1262" s="353"/>
      <c r="U1262" s="353"/>
      <c r="V1262" s="353"/>
      <c r="W1262" s="432"/>
      <c r="X1262" s="200"/>
      <c r="Y1262" s="200"/>
      <c r="Z1262" s="200"/>
      <c r="AA1262" s="200"/>
      <c r="AB1262" s="200"/>
      <c r="AC1262" s="200"/>
      <c r="AD1262" s="200"/>
      <c r="AE1262" s="200"/>
      <c r="AF1262" s="200"/>
      <c r="AG1262" s="200"/>
      <c r="AH1262" s="200"/>
      <c r="AI1262" s="200"/>
      <c r="AJ1262" s="200"/>
      <c r="AK1262" s="200"/>
      <c r="AL1262" s="200"/>
      <c r="AM1262" s="200"/>
      <c r="AN1262" s="200"/>
      <c r="AO1262" s="200"/>
      <c r="AP1262" s="200"/>
      <c r="AQ1262" s="200"/>
      <c r="AR1262" s="200"/>
      <c r="AS1262" s="200"/>
      <c r="AT1262" s="200"/>
    </row>
    <row r="1263" spans="1:46" ht="16.5" customHeight="1">
      <c r="A1263" s="307"/>
      <c r="B1263" s="307"/>
      <c r="C1263" s="200"/>
      <c r="D1263" s="200"/>
      <c r="E1263" s="200"/>
      <c r="F1263" s="200"/>
      <c r="G1263" s="200"/>
      <c r="H1263" s="200"/>
      <c r="I1263" s="200"/>
      <c r="J1263" s="200"/>
      <c r="K1263" s="200"/>
      <c r="L1263" s="200"/>
      <c r="M1263" s="200"/>
      <c r="N1263" s="200"/>
      <c r="O1263" s="200"/>
      <c r="P1263" s="200"/>
      <c r="Q1263" s="353"/>
      <c r="R1263" s="353"/>
      <c r="S1263" s="200"/>
      <c r="T1263" s="353"/>
      <c r="U1263" s="353"/>
      <c r="V1263" s="353"/>
      <c r="W1263" s="432"/>
      <c r="X1263" s="200"/>
      <c r="Y1263" s="200"/>
      <c r="Z1263" s="200"/>
      <c r="AA1263" s="200"/>
      <c r="AB1263" s="200"/>
      <c r="AC1263" s="200"/>
      <c r="AD1263" s="200"/>
      <c r="AE1263" s="200"/>
      <c r="AF1263" s="200"/>
      <c r="AG1263" s="200"/>
      <c r="AH1263" s="200"/>
      <c r="AI1263" s="200"/>
      <c r="AJ1263" s="200"/>
      <c r="AK1263" s="200"/>
      <c r="AL1263" s="200"/>
      <c r="AM1263" s="200"/>
      <c r="AN1263" s="200"/>
      <c r="AO1263" s="200"/>
      <c r="AP1263" s="200"/>
      <c r="AQ1263" s="200"/>
      <c r="AR1263" s="200"/>
      <c r="AS1263" s="200"/>
      <c r="AT1263" s="200"/>
    </row>
  </sheetData>
  <mergeCells count="4">
    <mergeCell ref="C1:H1"/>
    <mergeCell ref="J1:P1"/>
    <mergeCell ref="T1:V1"/>
    <mergeCell ref="X1:AD1"/>
  </mergeCells>
  <conditionalFormatting sqref="C20:AT22">
    <cfRule type="cellIs" dxfId="1" priority="1" operator="between">
      <formula>-0.000001</formula>
      <formula>0.000001</formula>
    </cfRule>
  </conditionalFormatting>
  <conditionalFormatting sqref="C20:AT22">
    <cfRule type="cellIs" dxfId="0" priority="2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подвиг 1. музыкальный сервис</vt:lpstr>
      <vt:lpstr>подвиг 2. интернет-магазин</vt:lpstr>
      <vt:lpstr>подвиг 3. hot wi-fi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2024-08-07T21:07:05Z</dcterms:modified>
</cp:coreProperties>
</file>