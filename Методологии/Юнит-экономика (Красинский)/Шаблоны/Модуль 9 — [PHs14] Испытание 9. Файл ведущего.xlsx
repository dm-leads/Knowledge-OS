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ономика" sheetId="1" r:id="rId3"/>
    <sheet state="visible" name="Customer Journey Map и процесс " sheetId="2" r:id="rId4"/>
    <sheet state="visible" name="Гипотезы" sheetId="3" r:id="rId5"/>
  </sheets>
  <definedNames/>
  <calcPr/>
</workbook>
</file>

<file path=xl/sharedStrings.xml><?xml version="1.0" encoding="utf-8"?>
<sst xmlns="http://schemas.openxmlformats.org/spreadsheetml/2006/main" count="315" uniqueCount="254">
  <si>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</si>
  <si>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</si>
  <si>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</si>
  <si>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</si>
  <si>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</t>
  </si>
  <si>
    <t>конверсия 
в регистрацию</t>
  </si>
  <si>
    <t>число
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</si>
  <si>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</si>
  <si>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</si>
  <si>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</si>
  <si>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</si>
  <si>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</si>
  <si>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</si>
  <si>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</si>
  <si>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</si>
  <si>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</si>
  <si>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
платящего</t>
  </si>
  <si>
    <t>стоимость 
платящего</t>
  </si>
  <si>
    <t>стоимость заказа
или оплаты</t>
  </si>
  <si>
    <t>cтоимость
привлечения
пользователя</t>
  </si>
  <si>
    <t>маржа на 1-го
привлеченного</t>
  </si>
  <si>
    <t>прибыль
на пользователя</t>
  </si>
  <si>
    <t>чистая прибыль 
с потока 
пользователей</t>
  </si>
  <si>
    <t>прибыль 
с потока
пользователей</t>
  </si>
  <si>
    <t>выручка</t>
  </si>
  <si>
    <t>доход 
с потока
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</si>
  <si>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</si>
  <si>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</si>
  <si>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</si>
  <si>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t xml:space="preserve">Users </t>
  </si>
  <si>
    <r>
      <rPr>
        <rFont val="&quot;Trebuchet MS&quot;"/>
        <b/>
        <sz val="9.0"/>
      </rPr>
      <t xml:space="preserve">Conv.
</t>
    </r>
    <r>
      <rPr>
        <rFont val="&quot;Trebuchet MS&quot;"/>
        <b val="0"/>
        <i/>
        <sz val="8.0"/>
      </rPr>
      <t>user 
to regs
or lead</t>
    </r>
  </si>
  <si>
    <r>
      <rPr>
        <rFont val="&quot;Trebuchet MS&quot;"/>
        <b/>
        <sz val="9.0"/>
      </rPr>
      <t xml:space="preserve">Regs
</t>
    </r>
    <r>
      <rPr>
        <rFont val="&quot;Trebuchet MS&quot;"/>
        <b val="0"/>
        <i/>
        <sz val="8.0"/>
      </rPr>
      <t>or leads</t>
    </r>
  </si>
  <si>
    <r>
      <rPr>
        <rFont val="&quot;Trebuchet MS&quot;"/>
        <b/>
        <sz val="9.0"/>
      </rPr>
      <t xml:space="preserve">С1
</t>
    </r>
    <r>
      <rPr>
        <rFont val="&quot;Trebuchet MS&quot;"/>
        <b val="0"/>
        <i/>
        <sz val="8.0"/>
      </rPr>
      <t>conv.
user 
to buyer</t>
    </r>
  </si>
  <si>
    <t>Buyers</t>
  </si>
  <si>
    <t xml:space="preserve">Payments
</t>
  </si>
  <si>
    <r>
      <rPr>
        <rFont val="&quot;Trebuchet MS&quot;"/>
        <b/>
        <sz val="9.0"/>
      </rPr>
      <t>AMPPU</t>
    </r>
    <r>
      <rPr>
        <rFont val="&quot;Trebuchet MS&quot;"/>
        <b val="0"/>
        <i/>
        <sz val="9.0"/>
      </rPr>
      <t xml:space="preserve">
</t>
    </r>
    <r>
      <rPr>
        <rFont val="&quot;Trebuchet MS&quot;"/>
        <b val="0"/>
        <i/>
        <sz val="8.0"/>
      </rPr>
      <t>or CLTV</t>
    </r>
  </si>
  <si>
    <t>Av. Price</t>
  </si>
  <si>
    <r>
      <rPr>
        <rFont val="&quot;Trebuchet MS&quot;"/>
        <b/>
        <sz val="9.0"/>
      </rPr>
      <t xml:space="preserve">Margin
</t>
    </r>
    <r>
      <rPr>
        <rFont val="&quot;Trebuchet MS&quot;"/>
        <b val="0"/>
        <i/>
        <sz val="8.0"/>
      </rPr>
      <t>or Commision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</si>
  <si>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Cost of
Goods Sold</t>
    </r>
  </si>
  <si>
    <r>
      <rPr>
        <rFont val="&quot;Trebuchet MS&quot;"/>
        <b/>
        <sz val="9.0"/>
      </rPr>
      <t>Discounts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скидка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</si>
  <si>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 xml:space="preserve">1st sale </t>
    </r>
  </si>
  <si>
    <r>
      <rPr>
        <rFont val="&quot;Trebuchet MS&quot;"/>
        <b/>
        <sz val="9.0"/>
      </rPr>
      <t xml:space="preserve">Av. 
Payment
Count
</t>
    </r>
    <r>
      <rPr>
        <rFont val="&quot;Trebuchet MS&quot;"/>
        <b val="0"/>
        <i/>
        <sz val="8.0"/>
      </rPr>
      <t>or LifeTime</t>
    </r>
  </si>
  <si>
    <r>
      <rPr>
        <rFont val="&quot;Trebuchet MS&quot;"/>
        <b/>
        <sz val="9.0"/>
      </rPr>
      <t xml:space="preserve">CAC
</t>
    </r>
    <r>
      <rPr>
        <rFont val="&quot;Trebuchet MS&quot;"/>
        <b val="0"/>
        <i/>
        <sz val="8.0"/>
      </rPr>
      <t>Customer 
Acquisition 
Costs</t>
    </r>
  </si>
  <si>
    <r>
      <rPr>
        <rFont val="&quot;Trebuchet MS&quot;"/>
        <b/>
        <sz val="9.0"/>
      </rPr>
      <t xml:space="preserve">CPO </t>
    </r>
    <r>
      <rPr>
        <rFont val="&quot;Trebuchet MS&quot;"/>
        <b val="0"/>
        <i/>
        <sz val="9.0"/>
      </rPr>
      <t>or</t>
    </r>
    <r>
      <rPr>
        <rFont val="&quot;Trebuchet MS&quot;"/>
        <b/>
        <sz val="9.0"/>
      </rPr>
      <t xml:space="preserve"> SPS
</t>
    </r>
    <r>
      <rPr>
        <rFont val="&quot;Trebuchet MS&quot;"/>
        <b val="0"/>
        <i/>
        <sz val="8.0"/>
      </rPr>
      <t>Cost per
Order, Cost
per Sale</t>
    </r>
  </si>
  <si>
    <r>
      <rPr>
        <rFont val="&quot;Trebuchet MS&quot;"/>
        <b/>
        <sz val="9.0"/>
      </rPr>
      <t xml:space="preserve">CPUser
</t>
    </r>
    <r>
      <rPr>
        <rFont val="&quot;Trebuchet MS&quot;"/>
        <b val="0"/>
        <i/>
        <sz val="8.0"/>
      </rPr>
      <t>or CPLead</t>
    </r>
  </si>
  <si>
    <r>
      <rPr>
        <rFont val="&quot;Trebuchet MS&quot;"/>
        <b/>
        <sz val="9.0"/>
      </rPr>
      <t xml:space="preserve">AMPU 
</t>
    </r>
    <r>
      <rPr>
        <rFont val="&quot;Trebuchet MS&quot;"/>
        <b val="0"/>
        <i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</si>
  <si>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</si>
  <si>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</si>
  <si>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</si>
  <si>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</si>
  <si>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</si>
  <si>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&quot;Trebuchet MS&quot;"/>
        <b/>
        <sz val="9.0"/>
      </rPr>
      <t xml:space="preserve">Acq. Costs
</t>
    </r>
    <r>
      <rPr>
        <rFont val="&quot;Trebuchet MS&quot;"/>
        <b val="0"/>
        <i/>
        <sz val="8.0"/>
      </rPr>
      <t>до продажи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</si>
  <si>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total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после 
продажи</t>
    </r>
  </si>
  <si>
    <r>
      <rPr>
        <rFont val="&quot;Trebuchet MS&quot;"/>
        <b/>
        <sz val="9.0"/>
      </rPr>
      <t xml:space="preserve">Fix Costs 
</t>
    </r>
    <r>
      <rPr>
        <rFont val="&quot;Trebuchet MS&quot;"/>
        <b val="0"/>
        <i/>
        <sz val="8.0"/>
      </rPr>
      <t>в месяц</t>
    </r>
  </si>
  <si>
    <t>Экономика CarrotQuest B2B smb несколько лет назад</t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</si>
  <si>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>new за 1 месяц</t>
    </r>
  </si>
  <si>
    <r>
      <rPr>
        <rFont val="Trebuchet MS"/>
        <b/>
        <sz val="10.0"/>
      </rPr>
      <t>buyer</t>
    </r>
    <r>
      <rPr>
        <rFont val="Trebuchet MS"/>
        <sz val="10.0"/>
      </rPr>
      <t xml:space="preserve"> </t>
    </r>
    <r>
      <rPr>
        <rFont val="Trebuchet MS"/>
        <i/>
        <sz val="10.0"/>
      </rPr>
      <t>old за 1 месяц</t>
    </r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</si>
  <si>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 xml:space="preserve">lost </t>
    </r>
  </si>
  <si>
    <t>цель 1 млн</t>
  </si>
  <si>
    <r>
      <rPr>
        <rFont val="Trebuchet MS"/>
        <b/>
        <sz val="10.0"/>
      </rPr>
      <t xml:space="preserve">buyers </t>
    </r>
    <r>
      <rPr>
        <rFont val="Trebuchet MS"/>
        <b val="0"/>
        <i/>
        <sz val="10.0"/>
      </rPr>
      <t>прирост базы</t>
    </r>
  </si>
  <si>
    <t>число месяцев</t>
  </si>
  <si>
    <t>New Buyers</t>
  </si>
  <si>
    <t>Current Buyer</t>
  </si>
  <si>
    <t>Lost Buyers</t>
  </si>
  <si>
    <t>рост базы</t>
  </si>
  <si>
    <t>2. Сколько зарабатывает наш клиенты с помощью нас</t>
  </si>
  <si>
    <t>автодилер</t>
  </si>
  <si>
    <t>продажа квартир</t>
  </si>
  <si>
    <t>↑
пользователи сайта
которые увидели
попап CarrotQuest</t>
  </si>
  <si>
    <t>↑
наш
потенциальный
средний чек</t>
  </si>
  <si>
    <t>Итоговая выгода для автодиллера</t>
  </si>
  <si>
    <t>Напишите какую итоговую выгоду получает автодиллер?</t>
  </si>
  <si>
    <t>Итоговая выгода для продавцов квартир</t>
  </si>
  <si>
    <t>Напишите какую итоговую выгоду получает продавец квартир?</t>
  </si>
  <si>
    <t>JTBD сценарий CarrotQuest</t>
  </si>
  <si>
    <r>
      <rPr/>
      <t xml:space="preserve">когда директор по маркетингу </t>
    </r>
    <r>
      <rPr>
        <b/>
      </rPr>
      <t>клиента &lt;нужно выполнить план по лидам или продажам&gt;</t>
    </r>
    <r>
      <rPr/>
      <t xml:space="preserve">
хочет </t>
    </r>
    <r>
      <rPr>
        <b/>
      </rPr>
      <t>получить больше лидов и продаж, желательно целевых лидов, хорошо конвертируемых в продажу</t>
    </r>
    <r>
      <rPr/>
      <t xml:space="preserve">
чтобы что </t>
    </r>
    <r>
      <rPr>
        <b/>
      </rPr>
      <t>чтобы его не ругали на совещаниях, чтобы дали премию, чтобы РОП и Генеральный не говорили ему где лиды</t>
    </r>
    <r>
      <rPr/>
      <t xml:space="preserve">                                 </t>
    </r>
  </si>
  <si>
    <t>Стоимость CPUser привлечения у Директора по маркетингу растет</t>
  </si>
  <si>
    <t>CAC тоже по маркетингу растет</t>
  </si>
  <si>
    <t>Конверсией не занимался, она возможно падает</t>
  </si>
  <si>
    <t>3. Итоговая экономика по новым после изменений в продукте</t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</si>
  <si>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>new за 1 месяц</t>
    </r>
  </si>
  <si>
    <r>
      <rPr>
        <rFont val="Trebuchet MS"/>
        <b/>
        <sz val="10.0"/>
      </rPr>
      <t>buyer</t>
    </r>
    <r>
      <rPr>
        <rFont val="Trebuchet MS"/>
        <sz val="10.0"/>
      </rPr>
      <t xml:space="preserve"> </t>
    </r>
    <r>
      <rPr>
        <rFont val="Trebuchet MS"/>
        <i/>
        <sz val="10.0"/>
      </rPr>
      <t>old за 1 месяц</t>
    </r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</si>
  <si>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 xml:space="preserve">lost </t>
    </r>
  </si>
  <si>
    <r>
      <rPr>
        <rFont val="Trebuchet MS"/>
        <b/>
        <sz val="10.0"/>
      </rPr>
      <t xml:space="preserve">buyers </t>
    </r>
    <r>
      <rPr>
        <rFont val="Trebuchet MS"/>
        <b val="0"/>
        <i/>
        <sz val="10.0"/>
      </rPr>
      <t>проектов по подключению в месяц, максимум</t>
    </r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</si>
  <si>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>new за 1 месяц</t>
    </r>
  </si>
  <si>
    <r>
      <rPr>
        <rFont val="Trebuchet MS"/>
        <b/>
        <sz val="10.0"/>
      </rPr>
      <t>buyer</t>
    </r>
    <r>
      <rPr>
        <rFont val="Trebuchet MS"/>
        <sz val="10.0"/>
      </rPr>
      <t xml:space="preserve"> </t>
    </r>
    <r>
      <rPr>
        <rFont val="Trebuchet MS"/>
        <i/>
        <sz val="10.0"/>
      </rPr>
      <t>old за 1 месяц</t>
    </r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</si>
  <si>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 xml:space="preserve">lost </t>
    </r>
  </si>
  <si>
    <t>Решаем задачу с конца</t>
  </si>
  <si>
    <t>Есть продажа, деньги получены</t>
  </si>
  <si>
    <t>Определить цели и бизнес-процессы клиента</t>
  </si>
  <si>
    <t>Разместить скрипт CarrotQuest на сайте клиента</t>
  </si>
  <si>
    <t>Cпроектировать концепцию и сценарии тригерных рассылок и сообщений в чатах</t>
  </si>
  <si>
    <t>Согласовать сценарии с клиентом</t>
  </si>
  <si>
    <t>Настроить сбор данных о пользователях и сегментах через интерфейс carrotQuest'a</t>
  </si>
  <si>
    <t>Настроить триггеры</t>
  </si>
  <si>
    <t>Написать контент для сценариев</t>
  </si>
  <si>
    <t>Согласование контента для сценариев</t>
  </si>
  <si>
    <t>Обучение клиента (онлайн консультант)</t>
  </si>
  <si>
    <t>Запуск рассылок по базе клиентов</t>
  </si>
  <si>
    <t>Подождать 2 недели пока соберется аналитика</t>
  </si>
  <si>
    <r>
      <rPr>
        <rFont val="Trebuchet MS"/>
        <b/>
        <color rgb="FFE69138"/>
        <sz val="8.0"/>
      </rPr>
      <t>Подготовка отчета</t>
    </r>
    <r>
      <rPr>
        <rFont val="Trebuchet MS"/>
        <b/>
        <sz val="8.0"/>
      </rPr>
      <t xml:space="preserve"> с выгодой клиентов</t>
    </r>
  </si>
  <si>
    <t>Клиент ознакомился с выводами и получил выгоду</t>
  </si>
  <si>
    <t>Взять денег за след. месяц
чтобы  С2 &gt; 50%</t>
  </si>
  <si>
    <t>общее время
lead time</t>
  </si>
  <si>
    <t>1—3 дня</t>
  </si>
  <si>
    <t>1 день</t>
  </si>
  <si>
    <t>1—2 дня</t>
  </si>
  <si>
    <t>2—7 дней</t>
  </si>
  <si>
    <t>3 дня</t>
  </si>
  <si>
    <t>2—3 дня</t>
  </si>
  <si>
    <t>2 дня</t>
  </si>
  <si>
    <t>14 дней</t>
  </si>
  <si>
    <t>1—7 дней</t>
  </si>
  <si>
    <t>мин touchtime, часы</t>
  </si>
  <si>
    <t>макс touchtime, часы</t>
  </si>
  <si>
    <t>ср. touchtime, часы</t>
  </si>
  <si>
    <t>число циклов</t>
  </si>
  <si>
    <t>роли</t>
  </si>
  <si>
    <t>число людей</t>
  </si>
  <si>
    <t>зарплата 
в месяц</t>
  </si>
  <si>
    <t>время 
на 1 проект</t>
  </si>
  <si>
    <t>touchtime часов в месяц</t>
  </si>
  <si>
    <t>макс. число проектов</t>
  </si>
  <si>
    <t>клиент</t>
  </si>
  <si>
    <t>продажник</t>
  </si>
  <si>
    <t>Project Success Manager</t>
  </si>
  <si>
    <t>маркетолог</t>
  </si>
  <si>
    <t>разработчик</t>
  </si>
  <si>
    <t>всего</t>
  </si>
  <si>
    <t>COGS проекта</t>
  </si>
  <si>
    <t>интересно как переносом задач между членами команды можно увеличить пропускную способность =)</t>
  </si>
  <si>
    <t>Подготовка отчета с выгодой клиентов</t>
  </si>
  <si>
    <t>общее время</t>
  </si>
  <si>
    <t>менеджер клиента</t>
  </si>
  <si>
    <t>руководитель</t>
  </si>
  <si>
    <t>если ветка А</t>
  </si>
  <si>
    <t xml:space="preserve">   1...</t>
  </si>
  <si>
    <t xml:space="preserve">   2..</t>
  </si>
  <si>
    <t xml:space="preserve">   3.. </t>
  </si>
  <si>
    <t>если ветка B</t>
  </si>
  <si>
    <t xml:space="preserve">   3...</t>
  </si>
  <si>
    <t>Итерация и приоритет</t>
  </si>
  <si>
    <t>Идеи, Гипотезы, Задачи, которые вам нужно сделать</t>
  </si>
  <si>
    <t>артефакт</t>
  </si>
  <si>
    <t>метрика на которую влияет</t>
  </si>
  <si>
    <t>сложность 
(1—5)</t>
  </si>
  <si>
    <t>вера в успех</t>
  </si>
  <si>
    <t>эффект</t>
  </si>
  <si>
    <t>Число пользоватлей</t>
  </si>
  <si>
    <t>конверсия</t>
  </si>
  <si>
    <t>ARPPU</t>
  </si>
  <si>
    <t>текущая экономика</t>
  </si>
  <si>
    <t>узкие места</t>
  </si>
  <si>
    <t>Ваш план в разработку на след. итерацию</t>
  </si>
  <si>
    <t>Мозговой штурм — выписывайте все идеи</t>
  </si>
  <si>
    <t>Гипотеза</t>
  </si>
  <si>
    <t>Факт</t>
  </si>
  <si>
    <t>Ожидаемый эффект</t>
  </si>
  <si>
    <t>Ожидаемый эффект в Gross Profit</t>
  </si>
  <si>
    <t>Вероятность успеха (1-5)</t>
  </si>
  <si>
    <t>Увеличение конверсии на 1 п.п. даёт 1 672 353 р. в Gross Profit</t>
  </si>
  <si>
    <t>Как увеличить конверсию на 1%</t>
  </si>
  <si>
    <t>Сразу перейти к заполнению первого шага декларации минуя ограничения воронки, а на втором шаге предложить сохранить результат, чтобы не потерять прогресс введя электронный адрес</t>
  </si>
  <si>
    <t>В качестве онбординга начинать заполнение декларации без регистрации, когда пользователь введет первый лист данных просить мыло, чтобы данные сохранились</t>
  </si>
  <si>
    <t>С1 + 0,5-1%</t>
  </si>
  <si>
    <t>800 т.р. - 2 млн руб</t>
  </si>
  <si>
    <t>такое делали - низкая регистрация - отказались</t>
  </si>
  <si>
    <t>На странице регистрации нужно убрать "продающий" текст и добавить возможность войти через ВКонтакте или Facebook, напр через Логинзу</t>
  </si>
  <si>
    <t>Попадая на страницу регистрации пользователь хочет увидеть поля а не текст. 
Все клиенты - физики, поэтому скорее всего уже залогинены в соцсетях</t>
  </si>
  <si>
    <t>С1 + 0,08%</t>
  </si>
  <si>
    <t xml:space="preserve">123,5 т. р. </t>
  </si>
  <si>
    <t>делали - логинация через сети не дает роста конверта регистраций, а е-майл теряем</t>
  </si>
  <si>
    <t>Сделать выбор года декларации первым шагом после начала заполнения, есть гипотеза, что часть людей теряется на этапе между кликом по кнопку заполнять декларацию и первым шагом заполнения http://joxi.ru/D2PBwLgUJknqr3</t>
  </si>
  <si>
    <t>Вывести из кнопок dropdown'ы с выбором вида декларации в отдельный шаг</t>
  </si>
  <si>
    <t>С1 + 0,06%</t>
  </si>
  <si>
    <t>89 т. р.</t>
  </si>
  <si>
    <t>Да - принимаем, но это мелкий тюнинг и будет в новом мастере</t>
  </si>
  <si>
    <t>вывод тарифа в 299 руб. покажет что сервис очень доступен</t>
  </si>
  <si>
    <t>нет цен/тарифов</t>
  </si>
  <si>
    <t>Без цен начинали заполнять - 80%, добавили цены - стало 50%</t>
  </si>
  <si>
    <t>первый экран заменить на фотографию с персонажем, внушающим доверие и убрать все слова, предлагающие что-то заполнить</t>
  </si>
  <si>
    <t>девочка, игрушки и т.п. несовместимы с темой денег и налогов</t>
  </si>
  <si>
    <t>С1 + 0,20%</t>
  </si>
  <si>
    <t>360 т.р.</t>
  </si>
  <si>
    <t>проверяли :) в качестве морды была страница мастера без картинок - такой же процент регистраций</t>
  </si>
  <si>
    <t>Добавление текста типа "Поможем вам вернуть свои деньги. Легко"</t>
  </si>
  <si>
    <t>не сформулировано ценностное предложение самого сервиса</t>
  </si>
  <si>
    <t>С1 + 0,10%</t>
  </si>
  <si>
    <t>180 т.р.</t>
  </si>
  <si>
    <t>Да, согласен - не нашли свою ценность</t>
  </si>
  <si>
    <t>Как увеличь кол-во пользователей на 1 262 891 в мес</t>
  </si>
  <si>
    <t>яндекс любит контент и за счет более видимого блога позиции в выдачах будут систематически расти</t>
  </si>
  <si>
    <t>https://ndflka.ru/news сделать блогом и вывести в хедер</t>
  </si>
  <si>
    <t>рост 5% в канале organic каждый месяц, то есть +8-10 продаж</t>
  </si>
  <si>
    <t xml:space="preserve"> + 7000 руб. рост каждый месяц</t>
  </si>
  <si>
    <t>в блог пишем пару раз в месяц - н</t>
  </si>
  <si>
    <t>Как увеличить Средний чек на  1 324 р.</t>
  </si>
  <si>
    <t>1. Сделать большую и заметную кнопку в хедере "Поручить заполнение эксперту"</t>
  </si>
  <si>
    <t>AvPrice + 200 руб</t>
  </si>
  <si>
    <t>270 т. р.</t>
  </si>
  <si>
    <t>Да, согласен, но это не решает проблемы массового дешевого клиента - он не платит</t>
  </si>
  <si>
    <t>Как увеличить среднее количество покупок до 3,91 в мес</t>
  </si>
  <si>
    <t>1. никак</t>
  </si>
  <si>
    <t>Метрика, которую повышаем</t>
  </si>
  <si>
    <t>NDFLка</t>
  </si>
  <si>
    <t>Сергей</t>
  </si>
  <si>
    <t>На морде акцент Психолендинг</t>
  </si>
  <si>
    <t>Регистрация</t>
  </si>
  <si>
    <t>плюс треть</t>
  </si>
  <si>
    <t>Разложить ЯД по географии</t>
  </si>
  <si>
    <t>цена клика</t>
  </si>
  <si>
    <t>снижение клика</t>
  </si>
  <si>
    <t>Добавить жирный хвост запросов</t>
  </si>
  <si>
    <t>кол-во кликов</t>
  </si>
  <si>
    <t>рост в 2 раза</t>
  </si>
  <si>
    <t>Уйди в дорогие каналы ЯД</t>
  </si>
  <si>
    <t>конверт рег и оплат</t>
  </si>
  <si>
    <t>в 2 раза</t>
  </si>
  <si>
    <t>разложить воронку внутри мастера</t>
  </si>
  <si>
    <t>законченные дека</t>
  </si>
  <si>
    <t>понять где отвал идет</t>
  </si>
  <si>
    <t>ПОЧЕМУ НЕ ПЛАТЯТ В КОНЦЕ????</t>
  </si>
  <si>
    <t>ГЛАВНАЯ МЕТРИКА</t>
  </si>
  <si>
    <t>Ввести плату за вопрос и приватный чат - 30р</t>
  </si>
  <si>
    <t>С1</t>
  </si>
  <si>
    <t>Разложить воронку по размеру вычета - акцентироваться на анализе юзеров с вычетами</t>
  </si>
  <si>
    <t>В итогах укорить оплату - идей пока нет (дисконт и счетчик?)</t>
  </si>
  <si>
    <t>Снизить цену на день</t>
  </si>
  <si>
    <t>Добавить закреплённый блок с количеством денег, которое может вернуть пользователь. Сумма уточняется динамически по мере заполнения</t>
  </si>
  <si>
    <t>C1</t>
  </si>
  <si>
    <t>Формировать цену оплаты динамически в зависимости от размера вычета в марковке</t>
  </si>
  <si>
    <t>После заказа сразу кидать на оплату</t>
  </si>
  <si>
    <t>С3</t>
  </si>
  <si>
    <t>Гипотезы Сергея</t>
  </si>
  <si>
    <t>Сделать закрепленный чат с именем и фото консультанта справа от поля заполнения</t>
  </si>
  <si>
    <t>Написать, что вопрос консультанту бесплатный</t>
  </si>
  <si>
    <t>Показывать в морковке, сколько я должен заплатить в любом случае, сколько вычетов помогает сделать ндфлка и сколько должен заплатить в итоге</t>
  </si>
  <si>
    <t>Сделать кнопку Заполнить за меня вверху рядом с Спросить эксперта</t>
  </si>
  <si>
    <t>Давать скидку в письме тем, кто заполнил, но не оплатил</t>
  </si>
  <si>
    <t>узкое место</t>
  </si>
  <si>
    <t>Маржинальность, затем конверсия</t>
  </si>
  <si>
    <t>проанализировать, на сколько легко мы можем передоговариться о изменени маржинальности с постоянными поставщиками, на которые приходиться много покупок</t>
  </si>
  <si>
    <t>проанализировать воронку в GA, найти точки роста</t>
  </si>
  <si>
    <t>проанализировать воронку продаж и конверсию в покупку</t>
  </si>
  <si>
    <t>Отсмотреть веб-визор найти причины, почему пользователи отваливаются в конце воронки</t>
  </si>
  <si>
    <t>изучить CRM, на сколько много заказов отваливается у Оли и ее девочек</t>
  </si>
  <si>
    <t>проанализировать стоимость привлечения по каналам, так 12р. это мало и есть подожрение что контекст будет дороже</t>
  </si>
  <si>
    <t>проанализировать браузеры и платформы, чтобы найти технические причины низкой конверсии</t>
  </si>
  <si>
    <t>проанализировать конверсию по городам</t>
  </si>
  <si>
    <t>Проанализировать мобильные, декстоп и браузер на предмет потери конверсии</t>
  </si>
  <si>
    <t>Проанализировать конверсию в зависимости от городов</t>
  </si>
  <si>
    <t>Проанализировать эффективность email рассылок</t>
  </si>
  <si>
    <t>Пример гипотезы</t>
  </si>
  <si>
    <t>Гипотеза: если мы поднимем конверсию на 2,3% и маржинально на 30%, мы выйдем на 800 000 р. валовой прибыли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</si>
</sst>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4">
    <numFmt numFmtId="164" formatCode="0.0"/>
    <numFmt numFmtId="165" formatCode="# ### ##0 [$р.]"/>
    <numFmt numFmtId="166" formatCode="[$р.-419]#,##0"/>
    <numFmt numFmtId="167" formatCode="# ### ##0.0 [$р.]"/>
    <numFmt numFmtId="168" formatCode="# ### ##0 [$р.-419]"/>
    <numFmt numFmtId="169" formatCode="# ### ##0.00 [$р.]"/>
    <numFmt numFmtId="170" formatCode="+0"/>
    <numFmt numFmtId="171" formatCode="0 месяцев"/>
    <numFmt numFmtId="172" formatCode="d-m-yy"/>
    <numFmt numFmtId="173" formatCode="0.0%"/>
    <numFmt numFmtId="174" formatCode="# ### ##0.0 [$р.-419]"/>
    <numFmt numFmtId="175" formatCode="#,##0.0,, &quot;млн &quot;[$р.]"/>
    <numFmt numFmtId="176" formatCode="#,##0, &quot;тыс &quot;[$р.]"/>
    <numFmt numFmtId="177" formatCode="#,##0.00,, &quot;млн &quot;[$р.]"/>
    <numFmt numFmtId="178" formatCode="# ### ##0.00 [$р.-419]"/>
    <numFmt numFmtId="179" formatCode="#,##0[$ руб.]"/>
    <numFmt numFmtId="180" formatCode="&quot;$&quot;#,##0"/>
    <numFmt numFmtId="181" formatCode="&quot;$&quot;#,##0.0"/>
    <numFmt numFmtId="182" formatCode="# ##0.0 ч"/>
    <numFmt numFmtId="183" formatCode="# ##0 ч"/>
    <numFmt numFmtId="184" formatCode="# ##0.00 ч"/>
    <numFmt numFmtId="185" formatCode="#,##0.0"/>
    <numFmt numFmtId="186" formatCode="#,##0[$ р.]"/>
    <numFmt numFmtId="187" formatCode="+0.00%"/>
  </numFmts>
  <fonts count="32">
    <font>
      <sz val="10.0"/>
      <color rgb="FF000000"/>
      <name val="Arial"/>
    </font>
    <font>
      <sz val="7.0"/>
      <name val="Trebuchet MS"/>
    </font>
    <font>
      <sz val="8.0"/>
      <name val="Trebuchet MS"/>
    </font>
    <font>
      <name val="Arial"/>
    </font>
    <font>
      <sz val="8.0"/>
      <name val="&quot;Trebuchet MS&quot;"/>
    </font>
    <font>
      <sz val="6.0"/>
      <name val="&quot;Trebuchet MS&quot;"/>
    </font>
    <font>
      <b/>
      <sz val="8.0"/>
      <name val="Trebuchet MS"/>
    </font>
    <font>
      <b/>
      <sz val="9.0"/>
      <name val="&quot;Trebuchet MS&quot;"/>
    </font>
    <font>
      <b/>
      <sz val="10.0"/>
      <name val="Trebuchet MS"/>
    </font>
    <font>
      <sz val="10.0"/>
      <name val="Trebuchet MS"/>
    </font>
    <font>
      <sz val="9.0"/>
      <name val="Trebuchet MS"/>
    </font>
    <font>
      <name val="Trebuchet MS"/>
    </font>
    <font>
      <b/>
      <name val="Arial"/>
    </font>
    <font>
      <i/>
      <color rgb="FF999999"/>
    </font>
    <font/>
    <font>
      <sz val="8.0"/>
      <name val="Arial"/>
    </font>
    <font>
      <sz val="10.0"/>
    </font>
    <font>
      <b/>
      <name val="Trebuchet MS"/>
    </font>
    <font>
      <sz val="16.0"/>
      <color rgb="FF989AA5"/>
      <name val="Trebuchet MS"/>
    </font>
    <font>
      <b/>
      <sz val="9.0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  <font>
      <b/>
      <sz val="14.0"/>
      <name val="Arial"/>
    </font>
    <font>
      <b/>
      <sz val="14.0"/>
      <name val="Trebuchet MS"/>
    </font>
    <font>
      <i/>
      <sz val="9.0"/>
      <name val="Trebuchet MS"/>
    </font>
    <font>
      <sz val="9.0"/>
      <color rgb="FFCC0000"/>
      <name val="Trebuchet MS"/>
    </font>
    <font>
      <sz val="8.0"/>
      <color rgb="FF1F497D"/>
      <name val="Arial"/>
    </font>
    <font>
      <b/>
    </font>
    <font>
      <sz val="9.0"/>
    </font>
    <font>
      <sz val="9.0"/>
      <color rgb="FF999999"/>
      <name val="Trebuchet MS"/>
    </font>
    <font>
      <b/>
      <i/>
      <sz val="9.0"/>
      <name val="Trebuchet MS"/>
    </font>
  </fonts>
  <fills count="12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6FF"/>
        <bgColor rgb="FFFCE6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Fill="1" applyFont="1"/>
    <xf borderId="0" fillId="0" fontId="2" numFmtId="0" xfId="0" applyAlignment="1" applyFont="1">
      <alignment shrinkToFit="0" vertical="center" wrapText="1"/>
    </xf>
    <xf borderId="0" fillId="3" fontId="4" numFmtId="0" xfId="0" applyAlignment="1" applyFont="1">
      <alignment horizontal="center"/>
    </xf>
    <xf borderId="0" fillId="5" fontId="4" numFmtId="0" xfId="0" applyAlignment="1" applyFill="1" applyFont="1">
      <alignment horizontal="center"/>
    </xf>
    <xf borderId="0" fillId="2" fontId="1" numFmtId="0" xfId="0" applyAlignment="1" applyFont="1">
      <alignment horizontal="right" shrinkToFit="0" vertical="center" wrapText="1"/>
    </xf>
    <xf borderId="0" fillId="2" fontId="5" numFmtId="0" xfId="0" applyAlignment="1" applyFont="1">
      <alignment horizontal="right" vertical="top"/>
    </xf>
    <xf borderId="0" fillId="2" fontId="5" numFmtId="0" xfId="0" applyAlignment="1" applyFont="1">
      <alignment horizontal="right" vertical="top"/>
    </xf>
    <xf borderId="0" fillId="0" fontId="1" numFmtId="0" xfId="0" applyAlignment="1" applyFont="1">
      <alignment horizontal="right" readingOrder="0" shrinkToFit="0" vertical="center" wrapText="1"/>
    </xf>
    <xf borderId="0" fillId="3" fontId="5" numFmtId="0" xfId="0" applyAlignment="1" applyFont="1">
      <alignment horizontal="right" vertical="top"/>
    </xf>
    <xf borderId="0" fillId="3" fontId="5" numFmtId="0" xfId="0" applyAlignment="1" applyFont="1">
      <alignment horizontal="right" vertical="top"/>
    </xf>
    <xf borderId="0" fillId="3" fontId="5" numFmtId="164" xfId="0" applyAlignment="1" applyFont="1" applyNumberFormat="1">
      <alignment horizontal="right" vertical="top"/>
    </xf>
    <xf borderId="0" fillId="4" fontId="5" numFmtId="0" xfId="0" applyAlignment="1" applyFont="1">
      <alignment horizontal="center" vertical="top"/>
    </xf>
    <xf borderId="0" fillId="0" fontId="1" numFmtId="0" xfId="0" applyAlignment="1" applyFont="1">
      <alignment shrinkToFit="0" vertical="center" wrapText="1"/>
    </xf>
    <xf borderId="0" fillId="3" fontId="5" numFmtId="0" xfId="0" applyAlignment="1" applyFont="1">
      <alignment horizontal="center" vertical="top"/>
    </xf>
    <xf borderId="0" fillId="3" fontId="5" numFmtId="0" xfId="0" applyAlignment="1" applyFont="1">
      <alignment horizontal="center" vertical="top"/>
    </xf>
    <xf borderId="0" fillId="5" fontId="5" numFmtId="0" xfId="0" applyAlignment="1" applyFont="1">
      <alignment horizontal="right" vertical="top"/>
    </xf>
    <xf borderId="0" fillId="2" fontId="6" numFmtId="0" xfId="0" applyAlignment="1" applyFont="1">
      <alignment horizontal="right" shrinkToFit="0" vertical="top" wrapText="1"/>
    </xf>
    <xf borderId="0" fillId="2" fontId="7" numFmtId="0" xfId="0" applyAlignment="1" applyFont="1">
      <alignment horizontal="right" vertical="top"/>
    </xf>
    <xf borderId="0" fillId="2" fontId="7" numFmtId="0" xfId="0" applyAlignment="1" applyFont="1">
      <alignment horizontal="right" vertical="top"/>
    </xf>
    <xf borderId="0" fillId="0" fontId="6" numFmtId="0" xfId="0" applyAlignment="1" applyFont="1">
      <alignment horizontal="right" readingOrder="0" shrinkToFit="0" vertical="top" wrapText="1"/>
    </xf>
    <xf borderId="0" fillId="3" fontId="7" numFmtId="0" xfId="0" applyAlignment="1" applyFont="1">
      <alignment horizontal="right" vertical="top"/>
    </xf>
    <xf borderId="0" fillId="3" fontId="7" numFmtId="0" xfId="0" applyAlignment="1" applyFont="1">
      <alignment horizontal="right" vertical="top"/>
    </xf>
    <xf borderId="0" fillId="3" fontId="7" numFmtId="0" xfId="0" applyAlignment="1" applyFont="1">
      <alignment horizontal="right" shrinkToFit="0" vertical="top" wrapText="1"/>
    </xf>
    <xf borderId="0" fillId="3" fontId="7" numFmtId="0" xfId="0" applyAlignment="1" applyFont="1">
      <alignment horizontal="right" shrinkToFit="0" vertical="top" wrapText="1"/>
    </xf>
    <xf borderId="0" fillId="3" fontId="7" numFmtId="164" xfId="0" applyAlignment="1" applyFont="1" applyNumberFormat="1">
      <alignment horizontal="right" vertical="top"/>
    </xf>
    <xf borderId="0" fillId="4" fontId="7" numFmtId="0" xfId="0" applyAlignment="1" applyFont="1">
      <alignment horizontal="center" vertical="top"/>
    </xf>
    <xf borderId="0" fillId="0" fontId="2" numFmtId="0" xfId="0" applyAlignment="1" applyFont="1">
      <alignment shrinkToFit="0" vertical="top" wrapText="1"/>
    </xf>
    <xf borderId="0" fillId="3" fontId="7" numFmtId="0" xfId="0" applyAlignment="1" applyFont="1">
      <alignment horizontal="center" vertical="top"/>
    </xf>
    <xf borderId="0" fillId="3" fontId="7" numFmtId="0" xfId="0" applyAlignment="1" applyFont="1">
      <alignment horizontal="center" vertical="top"/>
    </xf>
    <xf borderId="0" fillId="0" fontId="6" numFmtId="0" xfId="0" applyAlignment="1" applyFont="1">
      <alignment horizontal="center" shrinkToFit="0" vertical="top" wrapText="1"/>
    </xf>
    <xf borderId="0" fillId="5" fontId="7" numFmtId="0" xfId="0" applyAlignment="1" applyFont="1">
      <alignment horizontal="right" vertical="top"/>
    </xf>
    <xf borderId="0" fillId="5" fontId="7" numFmtId="0" xfId="0" applyAlignment="1" applyFont="1">
      <alignment horizontal="right" vertical="top"/>
    </xf>
    <xf borderId="0" fillId="0" fontId="8" numFmtId="0" xfId="0" applyAlignment="1" applyFont="1">
      <alignment readingOrder="0" vertical="center"/>
    </xf>
    <xf borderId="0" fillId="0" fontId="9" numFmtId="3" xfId="0" applyAlignment="1" applyFont="1" applyNumberFormat="1">
      <alignment horizontal="right" readingOrder="0" vertical="center"/>
    </xf>
    <xf borderId="0" fillId="0" fontId="9" numFmtId="10" xfId="0" applyAlignment="1" applyFont="1" applyNumberFormat="1">
      <alignment horizontal="right" readingOrder="0" vertical="center"/>
    </xf>
    <xf borderId="0" fillId="0" fontId="9" numFmtId="1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vertical="center"/>
    </xf>
    <xf borderId="0" fillId="0" fontId="9" numFmtId="165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horizontal="right" vertical="center"/>
    </xf>
    <xf borderId="0" fillId="0" fontId="9" numFmtId="2" xfId="0" applyAlignment="1" applyFont="1" applyNumberFormat="1">
      <alignment horizontal="right" readingOrder="0" vertical="center"/>
    </xf>
    <xf borderId="0" fillId="0" fontId="9" numFmtId="166" xfId="0" applyAlignment="1" applyFont="1" applyNumberFormat="1">
      <alignment horizontal="right" vertical="center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horizontal="right" vertical="center"/>
    </xf>
    <xf borderId="0" fillId="0" fontId="9" numFmtId="168" xfId="0" applyAlignment="1" applyFont="1" applyNumberFormat="1">
      <alignment horizontal="right"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left" vertical="center"/>
    </xf>
    <xf borderId="0" fillId="0" fontId="8" numFmtId="3" xfId="0" applyAlignment="1" applyFont="1" applyNumberFormat="1">
      <alignment horizontal="right" readingOrder="0" vertical="center"/>
    </xf>
    <xf borderId="0" fillId="0" fontId="9" numFmtId="10" xfId="0" applyAlignment="1" applyFont="1" applyNumberFormat="1">
      <alignment readingOrder="0" vertical="center"/>
    </xf>
    <xf borderId="0" fillId="0" fontId="9" numFmtId="9" xfId="0" applyAlignment="1" applyFont="1" applyNumberFormat="1">
      <alignment readingOrder="0" vertical="center"/>
    </xf>
    <xf borderId="0" fillId="0" fontId="9" numFmtId="1" xfId="0" applyAlignment="1" applyFont="1" applyNumberFormat="1">
      <alignment readingOrder="0" vertical="center"/>
    </xf>
    <xf borderId="0" fillId="0" fontId="9" numFmtId="10" xfId="0" applyAlignment="1" applyFont="1" applyNumberFormat="1">
      <alignment vertical="center"/>
    </xf>
    <xf borderId="0" fillId="0" fontId="9" numFmtId="165" xfId="0" applyAlignment="1" applyFont="1" applyNumberFormat="1">
      <alignment readingOrder="0" vertical="center"/>
    </xf>
    <xf borderId="0" fillId="0" fontId="9" numFmtId="166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9" xfId="0" applyAlignment="1" applyFont="1" applyNumberFormat="1">
      <alignment vertical="center"/>
    </xf>
    <xf borderId="0" fillId="0" fontId="9" numFmtId="168" xfId="0" applyAlignment="1" applyFont="1" applyNumberFormat="1">
      <alignment vertical="center"/>
    </xf>
    <xf borderId="0" fillId="0" fontId="8" numFmtId="168" xfId="0" applyAlignment="1" applyFont="1" applyNumberFormat="1">
      <alignment vertical="center"/>
    </xf>
    <xf borderId="0" fillId="0" fontId="9" numFmtId="168" xfId="0" applyAlignment="1" applyFont="1" applyNumberFormat="1">
      <alignment readingOrder="0" vertical="center"/>
    </xf>
    <xf borderId="0" fillId="0" fontId="9" numFmtId="168" xfId="0" applyAlignment="1" applyFont="1" applyNumberFormat="1">
      <alignment horizontal="right" vertical="center"/>
    </xf>
    <xf borderId="0" fillId="0" fontId="9" numFmtId="0" xfId="0" applyAlignment="1" applyFont="1">
      <alignment horizontal="left" readingOrder="0" vertical="center"/>
    </xf>
    <xf borderId="0" fillId="3" fontId="9" numFmtId="3" xfId="0" applyAlignment="1" applyFont="1" applyNumberFormat="1">
      <alignment readingOrder="0" vertical="center"/>
    </xf>
    <xf borderId="0" fillId="3" fontId="9" numFmtId="10" xfId="0" applyAlignment="1" applyFont="1" applyNumberFormat="1">
      <alignment readingOrder="0" vertical="center"/>
    </xf>
    <xf borderId="0" fillId="3" fontId="9" numFmtId="1" xfId="0" applyAlignment="1" applyFont="1" applyNumberFormat="1">
      <alignment readingOrder="0" vertical="center"/>
    </xf>
    <xf borderId="0" fillId="3" fontId="9" numFmtId="165" xfId="0" applyAlignment="1" applyFont="1" applyNumberFormat="1">
      <alignment readingOrder="0" vertical="center"/>
    </xf>
    <xf borderId="0" fillId="3" fontId="9" numFmtId="9" xfId="0" applyAlignment="1" applyFont="1" applyNumberFormat="1">
      <alignment readingOrder="0" vertical="center"/>
    </xf>
    <xf borderId="0" fillId="0" fontId="9" numFmtId="165" xfId="0" applyAlignment="1" applyFont="1" applyNumberFormat="1">
      <alignment horizontal="right" vertical="center"/>
    </xf>
    <xf borderId="0" fillId="3" fontId="9" numFmtId="167" xfId="0" applyAlignment="1" applyFont="1" applyNumberFormat="1">
      <alignment vertical="center"/>
    </xf>
    <xf borderId="0" fillId="3" fontId="9" numFmtId="165" xfId="0" applyAlignment="1" applyFont="1" applyNumberFormat="1">
      <alignment vertical="center"/>
    </xf>
    <xf borderId="0" fillId="3" fontId="9" numFmtId="168" xfId="0" applyAlignment="1" applyFont="1" applyNumberFormat="1">
      <alignment vertical="center"/>
    </xf>
    <xf borderId="0" fillId="3" fontId="9" numFmtId="168" xfId="0" applyAlignment="1" applyFont="1" applyNumberFormat="1">
      <alignment readingOrder="0" vertical="center"/>
    </xf>
    <xf borderId="0" fillId="0" fontId="9" numFmtId="3" xfId="0" applyAlignment="1" applyFont="1" applyNumberFormat="1">
      <alignment readingOrder="0" vertical="center"/>
    </xf>
    <xf borderId="0" fillId="0" fontId="8" numFmtId="0" xfId="0" applyAlignment="1" applyFont="1">
      <alignment horizontal="left" vertical="center"/>
    </xf>
    <xf borderId="0" fillId="0" fontId="9" numFmtId="3" xfId="0" applyAlignment="1" applyFont="1" applyNumberFormat="1">
      <alignment vertical="center"/>
    </xf>
    <xf borderId="0" fillId="3" fontId="9" numFmtId="1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6" fontId="9" numFmtId="168" xfId="0" applyAlignment="1" applyFill="1" applyFont="1" applyNumberFormat="1">
      <alignment horizontal="right" vertical="center"/>
    </xf>
    <xf borderId="0" fillId="0" fontId="8" numFmtId="0" xfId="0" applyAlignment="1" applyFont="1">
      <alignment horizontal="left" readingOrder="0" vertical="center"/>
    </xf>
    <xf borderId="0" fillId="3" fontId="9" numFmtId="170" xfId="0" applyAlignment="1" applyFont="1" applyNumberFormat="1">
      <alignment readingOrder="0" vertical="center"/>
    </xf>
    <xf borderId="0" fillId="3" fontId="10" numFmtId="171" xfId="0" applyAlignment="1" applyFont="1" applyNumberFormat="1">
      <alignment readingOrder="0" shrinkToFit="0" vertical="center" wrapText="0"/>
    </xf>
    <xf borderId="0" fillId="7" fontId="9" numFmtId="9" xfId="0" applyAlignment="1" applyFill="1" applyFont="1" applyNumberFormat="1">
      <alignment readingOrder="0" vertical="center"/>
    </xf>
    <xf borderId="0" fillId="7" fontId="9" numFmtId="1" xfId="0" applyAlignment="1" applyFont="1" applyNumberFormat="1">
      <alignment readingOrder="0" vertical="center"/>
    </xf>
    <xf borderId="0" fillId="7" fontId="9" numFmtId="165" xfId="0" applyAlignment="1" applyFont="1" applyNumberFormat="1">
      <alignment readingOrder="0" vertical="center"/>
    </xf>
    <xf borderId="0" fillId="0" fontId="9" numFmtId="9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1" xfId="0" applyAlignment="1" applyFont="1" applyNumberFormat="1">
      <alignment vertical="center"/>
    </xf>
    <xf borderId="0" fillId="3" fontId="9" numFmtId="168" xfId="0" applyAlignment="1" applyFont="1" applyNumberFormat="1">
      <alignment horizontal="right" vertical="center"/>
    </xf>
    <xf borderId="0" fillId="3" fontId="9" numFmtId="170" xfId="0" applyAlignment="1" applyFont="1" applyNumberFormat="1">
      <alignment horizontal="right" vertical="center"/>
    </xf>
    <xf borderId="0" fillId="0" fontId="9" numFmtId="165" xfId="0" applyAlignment="1" applyFont="1" applyNumberFormat="1">
      <alignment vertical="center"/>
    </xf>
    <xf borderId="0" fillId="0" fontId="9" numFmtId="2" xfId="0" applyAlignment="1" applyFont="1" applyNumberFormat="1">
      <alignment vertical="center"/>
    </xf>
    <xf borderId="0" fillId="3" fontId="9" numFmtId="171" xfId="0" applyAlignment="1" applyFont="1" applyNumberFormat="1">
      <alignment readingOrder="0" vertical="center"/>
    </xf>
    <xf borderId="0" fillId="0" fontId="8" numFmtId="0" xfId="0" applyAlignment="1" applyFont="1">
      <alignment readingOrder="0" vertical="center"/>
    </xf>
    <xf borderId="0" fillId="3" fontId="9" numFmtId="3" xfId="0" applyAlignment="1" applyFont="1" applyNumberFormat="1">
      <alignment horizontal="right" readingOrder="0" vertical="center"/>
    </xf>
    <xf borderId="0" fillId="3" fontId="9" numFmtId="9" xfId="0" applyAlignment="1" applyFont="1" applyNumberFormat="1">
      <alignment horizontal="right" readingOrder="0" vertical="center"/>
    </xf>
    <xf borderId="0" fillId="3" fontId="9" numFmtId="1" xfId="0" applyAlignment="1" applyFont="1" applyNumberFormat="1">
      <alignment horizontal="right" readingOrder="0" vertical="center"/>
    </xf>
    <xf borderId="0" fillId="0" fontId="9" numFmtId="49" xfId="0" applyAlignment="1" applyFont="1" applyNumberFormat="1">
      <alignment horizontal="right" readingOrder="0" vertical="center"/>
    </xf>
    <xf borderId="0" fillId="3" fontId="9" numFmtId="165" xfId="0" applyAlignment="1" applyFont="1" applyNumberFormat="1">
      <alignment horizontal="right" vertical="center"/>
    </xf>
    <xf borderId="0" fillId="3" fontId="9" numFmtId="165" xfId="0" applyAlignment="1" applyFont="1" applyNumberFormat="1">
      <alignment horizontal="right" readingOrder="0" vertical="center"/>
    </xf>
    <xf borderId="0" fillId="0" fontId="8" numFmtId="168" xfId="0" applyAlignment="1" applyFont="1" applyNumberFormat="1">
      <alignment horizontal="right"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horizontal="right" readingOrder="0" vertical="top"/>
    </xf>
    <xf borderId="0" fillId="0" fontId="10" numFmtId="3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horizontal="right" readingOrder="0" vertical="top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3" fontId="1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3" fontId="14" numFmtId="0" xfId="0" applyAlignment="1" applyFont="1">
      <alignment horizontal="left" readingOrder="0" shrinkToFit="0" vertical="center" wrapText="0"/>
    </xf>
    <xf borderId="0" fillId="3" fontId="11" numFmtId="0" xfId="0" applyAlignment="1" applyFont="1">
      <alignment vertical="center"/>
    </xf>
    <xf borderId="0" fillId="3" fontId="10" numFmtId="3" xfId="0" applyAlignment="1" applyFont="1" applyNumberFormat="1">
      <alignment horizontal="right" readingOrder="0" vertical="center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1"/>
    </xf>
    <xf borderId="0" fillId="3" fontId="9" numFmtId="3" xfId="0" applyAlignment="1" applyFont="1" applyNumberFormat="1">
      <alignment vertical="center"/>
    </xf>
    <xf borderId="0" fillId="3" fontId="9" numFmtId="10" xfId="0" applyAlignment="1" applyFont="1" applyNumberFormat="1">
      <alignment vertical="center"/>
    </xf>
    <xf borderId="0" fillId="3" fontId="9" numFmtId="165" xfId="0" applyAlignment="1" applyFont="1" applyNumberFormat="1">
      <alignment vertical="center"/>
    </xf>
    <xf borderId="0" fillId="8" fontId="9" numFmtId="165" xfId="0" applyAlignment="1" applyFill="1" applyFont="1" applyNumberFormat="1">
      <alignment readingOrder="0" vertical="center"/>
    </xf>
    <xf borderId="0" fillId="3" fontId="9" numFmtId="9" xfId="0" applyAlignment="1" applyFont="1" applyNumberFormat="1">
      <alignment vertical="center"/>
    </xf>
    <xf borderId="0" fillId="3" fontId="9" numFmtId="164" xfId="0" applyAlignment="1" applyFont="1" applyNumberFormat="1">
      <alignment vertical="center"/>
    </xf>
    <xf borderId="0" fillId="3" fontId="9" numFmtId="169" xfId="0" applyAlignment="1" applyFont="1" applyNumberFormat="1">
      <alignment vertical="center"/>
    </xf>
    <xf borderId="0" fillId="0" fontId="9" numFmtId="0" xfId="0" applyAlignment="1" applyFont="1">
      <alignment horizontal="right" vertical="center"/>
    </xf>
    <xf borderId="0" fillId="0" fontId="9" numFmtId="164" xfId="0" applyAlignment="1" applyFont="1" applyNumberFormat="1">
      <alignment horizontal="right" readingOrder="0" vertical="center"/>
    </xf>
    <xf borderId="0" fillId="0" fontId="9" numFmtId="0" xfId="0" applyFont="1"/>
    <xf borderId="0" fillId="9" fontId="8" numFmtId="0" xfId="0" applyAlignment="1" applyFill="1" applyFont="1">
      <alignment horizontal="right" readingOrder="0" shrinkToFit="0" vertical="top" wrapText="1"/>
    </xf>
    <xf borderId="0" fillId="0" fontId="16" numFmtId="0" xfId="0" applyFont="1"/>
    <xf borderId="0" fillId="3" fontId="9" numFmtId="0" xfId="0" applyFont="1"/>
    <xf borderId="0" fillId="0" fontId="11" numFmtId="9" xfId="0" applyAlignment="1" applyFont="1" applyNumberFormat="1">
      <alignment readingOrder="0" vertical="center"/>
    </xf>
    <xf borderId="0" fillId="0" fontId="11" numFmtId="0" xfId="0" applyAlignment="1" applyFon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3" fontId="2" numFmtId="165" xfId="0" applyAlignment="1" applyFont="1" applyNumberFormat="1">
      <alignment readingOrder="0" vertical="center"/>
    </xf>
    <xf borderId="0" fillId="0" fontId="11" numFmtId="0" xfId="0" applyAlignment="1" applyFont="1">
      <alignment horizontal="right" readingOrder="0" vertical="center"/>
    </xf>
    <xf borderId="0" fillId="0" fontId="14" numFmtId="0" xfId="0" applyAlignment="1" applyFont="1">
      <alignment readingOrder="0" vertical="center"/>
    </xf>
    <xf borderId="0" fillId="0" fontId="9" numFmtId="172" xfId="0" applyAlignment="1" applyFont="1" applyNumberFormat="1">
      <alignment horizontal="right" readingOrder="0" vertical="center"/>
    </xf>
    <xf borderId="0" fillId="0" fontId="17" numFmtId="0" xfId="0" applyAlignment="1" applyFont="1">
      <alignment readingOrder="0" vertical="center"/>
    </xf>
    <xf borderId="0" fillId="0" fontId="11" numFmtId="3" xfId="0" applyAlignment="1" applyFont="1" applyNumberFormat="1">
      <alignment readingOrder="0" vertical="center"/>
    </xf>
    <xf borderId="0" fillId="0" fontId="11" numFmtId="165" xfId="0" applyAlignment="1" applyFont="1" applyNumberFormat="1">
      <alignment readingOrder="0" vertical="center"/>
    </xf>
    <xf borderId="0" fillId="0" fontId="11" numFmtId="165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9" numFmtId="168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readingOrder="0" shrinkToFit="0" vertical="center" wrapText="1"/>
    </xf>
    <xf borderId="0" fillId="0" fontId="11" numFmtId="173" xfId="0" applyAlignment="1" applyFont="1" applyNumberFormat="1">
      <alignment horizontal="right" readingOrder="0" vertical="center"/>
    </xf>
    <xf borderId="0" fillId="0" fontId="11" numFmtId="168" xfId="0" applyAlignment="1" applyFont="1" applyNumberFormat="1">
      <alignment horizontal="right" readingOrder="0" vertical="center"/>
    </xf>
    <xf borderId="0" fillId="0" fontId="11" numFmtId="168" xfId="0" applyAlignment="1" applyFont="1" applyNumberFormat="1">
      <alignment horizontal="right" vertical="center"/>
    </xf>
    <xf borderId="0" fillId="0" fontId="11" numFmtId="174" xfId="0" applyAlignment="1" applyFont="1" applyNumberFormat="1">
      <alignment horizontal="right" vertical="center"/>
    </xf>
    <xf borderId="0" fillId="0" fontId="11" numFmtId="175" xfId="0" applyAlignment="1" applyFont="1" applyNumberFormat="1">
      <alignment vertical="center"/>
    </xf>
    <xf borderId="0" fillId="0" fontId="11" numFmtId="175" xfId="0" applyAlignment="1" applyFont="1" applyNumberFormat="1">
      <alignment readingOrder="0" vertical="center"/>
    </xf>
    <xf borderId="0" fillId="0" fontId="9" numFmtId="175" xfId="0" applyAlignment="1" applyFont="1" applyNumberFormat="1">
      <alignment horizontal="right" readingOrder="0" vertical="center"/>
    </xf>
    <xf borderId="0" fillId="0" fontId="11" numFmtId="10" xfId="0" applyAlignment="1" applyFont="1" applyNumberFormat="1">
      <alignment vertical="center"/>
    </xf>
    <xf borderId="0" fillId="0" fontId="11" numFmtId="1" xfId="0" applyAlignment="1" applyFont="1" applyNumberFormat="1">
      <alignment readingOrder="0" vertical="center"/>
    </xf>
    <xf borderId="0" fillId="0" fontId="11" numFmtId="164" xfId="0" applyAlignment="1" applyFont="1" applyNumberFormat="1">
      <alignment readingOrder="0" vertical="center"/>
    </xf>
    <xf borderId="0" fillId="0" fontId="11" numFmtId="176" xfId="0" applyAlignment="1" applyFont="1" applyNumberFormat="1">
      <alignment vertical="center"/>
    </xf>
    <xf borderId="0" fillId="0" fontId="11" numFmtId="3" xfId="0" applyAlignment="1" applyFont="1" applyNumberFormat="1">
      <alignment horizontal="right" readingOrder="0" vertical="center"/>
    </xf>
    <xf borderId="0" fillId="0" fontId="18" numFmtId="0" xfId="0" applyAlignment="1" applyFont="1">
      <alignment readingOrder="0" vertical="center"/>
    </xf>
    <xf borderId="0" fillId="0" fontId="11" numFmtId="174" xfId="0" applyAlignment="1" applyFont="1" applyNumberFormat="1">
      <alignment horizontal="right" readingOrder="0" vertical="center"/>
    </xf>
    <xf borderId="0" fillId="0" fontId="11" numFmtId="9" xfId="0" applyAlignment="1" applyFont="1" applyNumberFormat="1">
      <alignment vertical="center"/>
    </xf>
    <xf borderId="0" fillId="0" fontId="18" numFmtId="168" xfId="0" applyAlignment="1" applyFont="1" applyNumberFormat="1">
      <alignment readingOrder="0" vertical="center"/>
    </xf>
    <xf borderId="0" fillId="0" fontId="11" numFmtId="168" xfId="0" applyAlignment="1" applyFont="1" applyNumberFormat="1">
      <alignment vertical="center"/>
    </xf>
    <xf borderId="0" fillId="0" fontId="17" numFmtId="0" xfId="0" applyAlignment="1" applyFont="1">
      <alignment horizontal="left" vertical="center"/>
    </xf>
    <xf borderId="0" fillId="0" fontId="11" numFmtId="3" xfId="0" applyAlignment="1" applyFont="1" applyNumberFormat="1">
      <alignment vertical="center"/>
    </xf>
    <xf borderId="0" fillId="0" fontId="11" numFmtId="1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0" fillId="0" fontId="11" numFmtId="16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9" numFmtId="168" xfId="0" applyAlignment="1" applyFont="1" applyNumberFormat="1">
      <alignment horizontal="left" readingOrder="0" vertical="center"/>
    </xf>
    <xf borderId="0" fillId="0" fontId="11" numFmtId="3" xfId="0" applyAlignment="1" applyFont="1" applyNumberFormat="1">
      <alignment horizontal="right" vertical="center"/>
    </xf>
    <xf borderId="0" fillId="0" fontId="11" numFmtId="10" xfId="0" applyAlignment="1" applyFont="1" applyNumberFormat="1">
      <alignment horizontal="right" readingOrder="0" vertical="center"/>
    </xf>
    <xf borderId="0" fillId="0" fontId="11" numFmtId="0" xfId="0" applyAlignment="1" applyFont="1">
      <alignment horizontal="right" vertical="center"/>
    </xf>
    <xf borderId="0" fillId="0" fontId="11" numFmtId="168" xfId="0" applyAlignment="1" applyFont="1" applyNumberFormat="1">
      <alignment horizontal="right" vertical="center"/>
    </xf>
    <xf borderId="0" fillId="0" fontId="11" numFmtId="9" xfId="0" applyAlignment="1" applyFont="1" applyNumberFormat="1">
      <alignment horizontal="right" vertical="center"/>
    </xf>
    <xf borderId="0" fillId="0" fontId="11" numFmtId="1" xfId="0" applyAlignment="1" applyFont="1" applyNumberFormat="1">
      <alignment horizontal="right" vertical="center"/>
    </xf>
    <xf borderId="0" fillId="0" fontId="11" numFmtId="1" xfId="0" applyAlignment="1" applyFont="1" applyNumberFormat="1">
      <alignment horizontal="right" readingOrder="0" vertical="center"/>
    </xf>
    <xf borderId="0" fillId="0" fontId="19" numFmtId="0" xfId="0" applyAlignment="1" applyFont="1">
      <alignment horizontal="left" shrinkToFit="0" vertical="center" wrapText="1"/>
    </xf>
    <xf borderId="0" fillId="0" fontId="11" numFmtId="9" xfId="0" applyAlignment="1" applyFont="1" applyNumberFormat="1">
      <alignment horizontal="right" readingOrder="0" vertical="center"/>
    </xf>
    <xf borderId="0" fillId="0" fontId="1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9" numFmtId="168" xfId="0" applyAlignment="1" applyFont="1" applyNumberFormat="1">
      <alignment horizontal="left" vertical="center"/>
    </xf>
    <xf borderId="0" fillId="0" fontId="9" numFmtId="0" xfId="0" applyAlignment="1" applyFont="1">
      <alignment readingOrder="0" vertical="center"/>
    </xf>
    <xf borderId="0" fillId="0" fontId="8" numFmtId="1" xfId="0" applyAlignment="1" applyFont="1" applyNumberFormat="1">
      <alignment horizontal="right" readingOrder="0" vertical="center"/>
    </xf>
    <xf borderId="0" fillId="0" fontId="8" numFmtId="168" xfId="0" applyAlignment="1" applyFont="1" applyNumberFormat="1">
      <alignment horizontal="right" readingOrder="0" vertical="center"/>
    </xf>
    <xf borderId="0" fillId="0" fontId="8" numFmtId="0" xfId="0" applyAlignment="1" applyFont="1">
      <alignment horizontal="right" readingOrder="0" vertical="center"/>
    </xf>
    <xf borderId="0" fillId="0" fontId="8" numFmtId="9" xfId="0" applyAlignment="1" applyFont="1" applyNumberFormat="1">
      <alignment horizontal="right" vertical="center"/>
    </xf>
    <xf borderId="0" fillId="0" fontId="8" numFmtId="164" xfId="0" applyAlignment="1" applyFont="1" applyNumberFormat="1">
      <alignment horizontal="right" readingOrder="0" vertical="center"/>
    </xf>
    <xf borderId="0" fillId="0" fontId="19" numFmtId="1" xfId="0" applyAlignment="1" applyFont="1" applyNumberFormat="1">
      <alignment readingOrder="0" vertical="center"/>
    </xf>
    <xf borderId="0" fillId="0" fontId="2" numFmtId="168" xfId="0" applyAlignment="1" applyFont="1" applyNumberFormat="1">
      <alignment horizontal="right" vertical="center"/>
    </xf>
    <xf borderId="0" fillId="0" fontId="2" numFmtId="0" xfId="0" applyAlignment="1" applyFont="1">
      <alignment readingOrder="0" vertical="center"/>
    </xf>
    <xf borderId="0" fillId="0" fontId="2" numFmtId="9" xfId="0" applyAlignment="1" applyFont="1" applyNumberFormat="1">
      <alignment readingOrder="0" vertical="center"/>
    </xf>
    <xf borderId="0" fillId="0" fontId="10" numFmtId="1" xfId="0" applyAlignment="1" applyFont="1" applyNumberFormat="1">
      <alignment readingOrder="0" vertical="center"/>
    </xf>
    <xf borderId="0" fillId="0" fontId="2" numFmtId="168" xfId="0" applyAlignment="1" applyFont="1" applyNumberFormat="1">
      <alignment horizontal="right" readingOrder="0" vertical="center"/>
    </xf>
    <xf borderId="0" fillId="0" fontId="2" numFmtId="175" xfId="0" applyAlignment="1" applyFont="1" applyNumberFormat="1">
      <alignment horizontal="right" vertical="center"/>
    </xf>
    <xf borderId="0" fillId="0" fontId="2" numFmtId="177" xfId="0" applyAlignment="1" applyFont="1" applyNumberFormat="1">
      <alignment horizontal="right" vertical="center"/>
    </xf>
    <xf borderId="0" fillId="10" fontId="18" numFmtId="0" xfId="0" applyAlignment="1" applyFill="1" applyFont="1">
      <alignment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horizontal="right" vertical="center"/>
    </xf>
    <xf borderId="0" fillId="0" fontId="8" numFmtId="0" xfId="0" applyAlignment="1" applyFont="1">
      <alignment vertical="center"/>
    </xf>
    <xf borderId="0" fillId="0" fontId="9" numFmtId="178" xfId="0" applyAlignment="1" applyFont="1" applyNumberFormat="1">
      <alignment horizontal="right" readingOrder="0" vertical="center"/>
    </xf>
    <xf borderId="0" fillId="0" fontId="9" numFmtId="168" xfId="0" applyAlignment="1" applyFont="1" applyNumberFormat="1">
      <alignment horizontal="right" readingOrder="0" vertical="center"/>
    </xf>
    <xf borderId="0" fillId="0" fontId="9" numFmtId="3" xfId="0" applyAlignment="1" applyFont="1" applyNumberForma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79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9" numFmtId="180" xfId="0" applyAlignment="1" applyFont="1" applyNumberFormat="1">
      <alignment vertical="center"/>
    </xf>
    <xf borderId="0" fillId="0" fontId="9" numFmtId="3" xfId="0" applyAlignment="1" applyFont="1" applyNumberFormat="1">
      <alignment horizontal="right" vertical="center"/>
    </xf>
    <xf borderId="0" fillId="0" fontId="9" numFmtId="181" xfId="0" applyAlignment="1" applyFont="1" applyNumberFormat="1">
      <alignment vertical="center"/>
    </xf>
    <xf borderId="0" fillId="0" fontId="9" numFmtId="4" xfId="0" applyAlignment="1" applyFont="1" applyNumberFormat="1">
      <alignment horizontal="right" vertical="center"/>
    </xf>
    <xf borderId="0" fillId="0" fontId="9" numFmtId="0" xfId="0" applyAlignment="1" applyFont="1">
      <alignment horizontal="right" shrinkToFit="0" vertical="center" wrapText="1"/>
    </xf>
    <xf borderId="0" fillId="0" fontId="9" numFmtId="10" xfId="0" applyAlignment="1" applyFont="1" applyNumberFormat="1">
      <alignment horizontal="right" shrinkToFit="0" vertical="center" wrapText="1"/>
    </xf>
    <xf borderId="0" fillId="0" fontId="9" numFmtId="1" xfId="0" applyAlignment="1" applyFont="1" applyNumberForma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9" numFmtId="3" xfId="0" applyAlignment="1" applyFont="1" applyNumberFormat="1">
      <alignment horizontal="right" shrinkToFit="0" vertical="center" wrapText="1"/>
    </xf>
    <xf borderId="0" fillId="0" fontId="9" numFmtId="3" xfId="0" applyAlignment="1" applyFont="1" applyNumberFormat="1">
      <alignment horizontal="righ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10" xfId="0" applyAlignment="1" applyFont="1" applyNumberFormat="1">
      <alignment readingOrder="0" shrinkToFit="0" vertical="center" wrapText="1"/>
    </xf>
    <xf borderId="0" fillId="0" fontId="11" numFmtId="1" xfId="0" applyAlignment="1" applyFont="1" applyNumberFormat="1">
      <alignment shrinkToFit="0" vertical="center" wrapText="1"/>
    </xf>
    <xf borderId="0" fillId="0" fontId="11" numFmtId="1" xfId="0" applyAlignment="1" applyFont="1" applyNumberFormat="1">
      <alignment readingOrder="0" shrinkToFit="0" vertical="center" wrapText="1"/>
    </xf>
    <xf borderId="0" fillId="0" fontId="11" numFmtId="3" xfId="0" applyAlignment="1" applyFont="1" applyNumberFormat="1">
      <alignment readingOrder="0" shrinkToFit="0" vertical="center" wrapText="1"/>
    </xf>
    <xf borderId="0" fillId="0" fontId="9" numFmtId="9" xfId="0" applyAlignment="1" applyFont="1" applyNumberFormat="1">
      <alignment horizontal="right" readingOrder="0" shrinkToFit="0" vertical="center" wrapText="1"/>
    </xf>
    <xf borderId="0" fillId="0" fontId="9" numFmtId="1" xfId="0" applyAlignment="1" applyFont="1" applyNumberFormat="1">
      <alignment horizontal="right" readingOrder="0" shrinkToFit="0" vertical="center" wrapText="1"/>
    </xf>
    <xf borderId="0" fillId="0" fontId="11" numFmtId="9" xfId="0" applyAlignment="1" applyFont="1" applyNumberFormat="1">
      <alignment readingOrder="0" shrinkToFit="0" vertical="center" wrapText="1"/>
    </xf>
    <xf borderId="0" fillId="0" fontId="11" numFmtId="10" xfId="0" applyAlignment="1" applyFont="1" applyNumberFormat="1">
      <alignment readingOrder="0" vertical="center"/>
    </xf>
    <xf borderId="0" fillId="0" fontId="11" numFmtId="164" xfId="0" applyAlignment="1" applyFont="1" applyNumberFormat="1">
      <alignment shrinkToFit="0" vertical="center" wrapText="1"/>
    </xf>
    <xf borderId="0" fillId="0" fontId="11" numFmtId="173" xfId="0" applyAlignment="1" applyFont="1" applyNumberFormat="1">
      <alignment readingOrder="0" shrinkToFit="0" vertical="center" wrapText="1"/>
    </xf>
    <xf borderId="0" fillId="0" fontId="11" numFmtId="10" xfId="0" applyAlignment="1" applyFont="1" applyNumberFormat="1">
      <alignment shrinkToFit="0" vertical="center" wrapText="1"/>
    </xf>
    <xf borderId="0" fillId="0" fontId="11" numFmtId="3" xfId="0" applyAlignment="1" applyFont="1" applyNumberFormat="1">
      <alignment shrinkToFit="0" vertical="center" wrapText="1"/>
    </xf>
    <xf borderId="0" fillId="0" fontId="11" numFmtId="4" xfId="0" applyAlignment="1" applyFont="1" applyNumberFormat="1">
      <alignment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9" numFmtId="174" xfId="0" applyAlignment="1" applyFont="1" applyNumberFormat="1">
      <alignment horizontal="right" readingOrder="0" vertical="center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vertical="center"/>
    </xf>
    <xf borderId="0" fillId="0" fontId="21" numFmtId="10" xfId="0" applyAlignment="1" applyFont="1" applyNumberFormat="1">
      <alignment readingOrder="0" vertical="center"/>
    </xf>
    <xf borderId="0" fillId="0" fontId="21" numFmtId="1" xfId="0" applyAlignment="1" applyFont="1" applyNumberFormat="1">
      <alignment vertical="center"/>
    </xf>
    <xf borderId="0" fillId="0" fontId="21" numFmtId="1" xfId="0" applyAlignment="1" applyFont="1" applyNumberFormat="1">
      <alignment readingOrder="0" vertical="center"/>
    </xf>
    <xf borderId="0" fillId="0" fontId="21" numFmtId="168" xfId="0" applyAlignment="1" applyFont="1" applyNumberFormat="1">
      <alignment horizontal="right" vertical="center"/>
    </xf>
    <xf borderId="0" fillId="0" fontId="21" numFmtId="168" xfId="0" applyAlignment="1" applyFont="1" applyNumberFormat="1">
      <alignment horizontal="right" readingOrder="0" vertical="center"/>
    </xf>
    <xf borderId="0" fillId="0" fontId="21" numFmtId="9" xfId="0" applyAlignment="1" applyFont="1" applyNumberFormat="1">
      <alignment horizontal="right" readingOrder="0" vertical="center"/>
    </xf>
    <xf borderId="0" fillId="0" fontId="21" numFmtId="9" xfId="0" applyAlignment="1" applyFont="1" applyNumberFormat="1">
      <alignment horizontal="right" vertical="center"/>
    </xf>
    <xf borderId="0" fillId="0" fontId="21" numFmtId="164" xfId="0" applyAlignment="1" applyFont="1" applyNumberFormat="1">
      <alignment horizontal="right" readingOrder="0" vertical="center"/>
    </xf>
    <xf borderId="0" fillId="0" fontId="22" numFmtId="0" xfId="0" applyAlignment="1" applyFont="1">
      <alignment vertical="center"/>
    </xf>
    <xf borderId="0" fillId="0" fontId="21" numFmtId="168" xfId="0" applyAlignment="1" applyFont="1" applyNumberFormat="1">
      <alignment horizontal="right"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10" fontId="18" numFmtId="168" xfId="0" applyAlignment="1" applyFont="1" applyNumberFormat="1">
      <alignment readingOrder="0" vertical="center"/>
    </xf>
    <xf borderId="0" fillId="0" fontId="14" numFmtId="0" xfId="0" applyAlignment="1" applyFont="1">
      <alignment shrinkToFit="0" vertical="center" wrapText="1"/>
    </xf>
    <xf borderId="0" fillId="0" fontId="23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horizontal="left" shrinkToFit="0" vertical="top" wrapText="1"/>
    </xf>
    <xf borderId="0" fillId="6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Font="1"/>
    <xf borderId="0" fillId="7" fontId="25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25" numFmtId="182" xfId="0" applyAlignment="1" applyFont="1" applyNumberFormat="1">
      <alignment horizontal="center" readingOrder="0" shrinkToFit="0" vertical="center" wrapText="1"/>
    </xf>
    <xf borderId="0" fillId="0" fontId="10" numFmtId="182" xfId="0" applyAlignment="1" applyFont="1" applyNumberFormat="1">
      <alignment horizontal="center" readingOrder="0" shrinkToFit="0" vertical="center" wrapText="1"/>
    </xf>
    <xf borderId="0" fillId="0" fontId="10" numFmtId="182" xfId="0" applyFont="1" applyNumberFormat="1"/>
    <xf borderId="0" fillId="3" fontId="10" numFmtId="182" xfId="0" applyAlignment="1" applyFont="1" applyNumberFormat="1">
      <alignment horizontal="center" readingOrder="0" shrinkToFit="0" vertical="center" wrapText="1"/>
    </xf>
    <xf borderId="0" fillId="3" fontId="10" numFmtId="183" xfId="0" applyAlignment="1" applyFont="1" applyNumberFormat="1">
      <alignment horizontal="center" readingOrder="0" shrinkToFit="0" vertical="center" wrapText="1"/>
    </xf>
    <xf borderId="0" fillId="0" fontId="10" numFmtId="182" xfId="0" applyAlignment="1" applyFont="1" applyNumberFormat="1">
      <alignment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83" xfId="0" applyFont="1" applyNumberFormat="1"/>
    <xf borderId="0" fillId="0" fontId="19" numFmtId="0" xfId="0" applyAlignment="1" applyFont="1">
      <alignment horizontal="center" readingOrder="0" shrinkToFit="0" vertical="center" wrapText="1"/>
    </xf>
    <xf borderId="0" fillId="3" fontId="19" numFmtId="184" xfId="0" applyAlignment="1" applyFont="1" applyNumberFormat="1">
      <alignment horizontal="center" readingOrder="0" shrinkToFit="0" vertical="center" wrapText="1"/>
    </xf>
    <xf borderId="0" fillId="3" fontId="19" numFmtId="182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  <xf borderId="0" fillId="0" fontId="2" numFmtId="3" xfId="0" applyAlignment="1" applyFont="1" applyNumberFormat="1">
      <alignment horizontal="right" readingOrder="0" shrinkToFit="0" vertical="center" wrapText="1"/>
    </xf>
    <xf borderId="0" fillId="0" fontId="2" numFmtId="165" xfId="0" applyAlignment="1" applyFont="1" applyNumberFormat="1">
      <alignment horizontal="right" readingOrder="0" shrinkToFit="0" vertical="center" wrapText="1"/>
    </xf>
    <xf borderId="0" fillId="0" fontId="2" numFmtId="183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182" xfId="0" applyAlignment="1" applyFont="1" applyNumberFormat="1">
      <alignment horizontal="center" readingOrder="0" shrinkToFit="0" vertical="center" wrapText="1"/>
    </xf>
    <xf borderId="0" fillId="0" fontId="2" numFmtId="185" xfId="0" applyAlignment="1" applyFont="1" applyNumberFormat="1">
      <alignment horizontal="center" readingOrder="0" shrinkToFit="0" vertical="center" wrapText="1"/>
    </xf>
    <xf borderId="0" fillId="0" fontId="10" numFmtId="184" xfId="0" applyAlignment="1" applyFont="1" applyNumberFormat="1">
      <alignment horizontal="center" readingOrder="0" shrinkToFit="0" vertical="center" wrapText="1"/>
    </xf>
    <xf borderId="0" fillId="7" fontId="2" numFmtId="182" xfId="0" applyAlignment="1" applyFont="1" applyNumberFormat="1">
      <alignment horizontal="center" readingOrder="0" shrinkToFit="0" vertical="center" wrapText="1"/>
    </xf>
    <xf borderId="0" fillId="7" fontId="2" numFmtId="185" xfId="0" applyAlignment="1" applyFont="1" applyNumberFormat="1">
      <alignment horizontal="center" readingOrder="0" shrinkToFit="0" vertical="center" wrapText="1"/>
    </xf>
    <xf borderId="0" fillId="0" fontId="19" numFmtId="182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Font="1"/>
    <xf borderId="0" fillId="0" fontId="6" numFmtId="0" xfId="0" applyAlignment="1" applyFont="1">
      <alignment horizontal="left" readingOrder="0" shrinkToFit="0" vertical="center" wrapText="1"/>
    </xf>
    <xf borderId="0" fillId="8" fontId="2" numFmtId="165" xfId="0" applyAlignment="1" applyFont="1" applyNumberFormat="1">
      <alignment horizontal="right" readingOrder="0" shrinkToFit="0" vertical="center" wrapText="1"/>
    </xf>
    <xf borderId="0" fillId="8" fontId="2" numFmtId="3" xfId="0" applyAlignment="1" applyFont="1" applyNumberFormat="1">
      <alignment horizontal="center" readingOrder="0" shrinkToFit="0" vertical="center" wrapText="1"/>
    </xf>
    <xf borderId="0" fillId="10" fontId="27" numFmtId="0" xfId="0" applyAlignment="1" applyFont="1">
      <alignment horizontal="left" readingOrder="0" shrinkToFit="0" vertical="bottom" wrapText="1"/>
    </xf>
    <xf borderId="0" fillId="10" fontId="27" numFmtId="0" xfId="0" applyAlignment="1" applyFont="1">
      <alignment horizontal="left" readingOrder="0" shrinkToFit="0" vertical="center" wrapText="1"/>
    </xf>
    <xf borderId="0" fillId="10" fontId="27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0" fillId="0" fontId="10" numFmtId="182" xfId="0" applyAlignment="1" applyFont="1" applyNumberFormat="1">
      <alignment readingOrder="0" shrinkToFit="0" vertical="center" wrapText="1"/>
    </xf>
    <xf borderId="0" fillId="0" fontId="10" numFmtId="182" xfId="0" applyAlignment="1" applyFont="1" applyNumberFormat="1">
      <alignment vertical="center"/>
    </xf>
    <xf borderId="0" fillId="3" fontId="10" numFmtId="182" xfId="0" applyAlignment="1" applyFont="1" applyNumberFormat="1">
      <alignment horizontal="center" shrinkToFit="0" vertical="center" wrapText="1"/>
    </xf>
    <xf borderId="0" fillId="3" fontId="10" numFmtId="183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183" xfId="0" applyAlignment="1" applyFont="1" applyNumberFormat="1">
      <alignment vertical="center"/>
    </xf>
    <xf borderId="0" fillId="6" fontId="10" numFmtId="183" xfId="0" applyAlignment="1" applyFont="1" applyNumberFormat="1">
      <alignment horizontal="center" readingOrder="0" shrinkToFit="0" vertical="center" wrapText="1"/>
    </xf>
    <xf borderId="0" fillId="6" fontId="10" numFmtId="182" xfId="0" applyAlignment="1" applyFont="1" applyNumberFormat="1">
      <alignment horizontal="center" readingOrder="0" shrinkToFit="0" vertical="center" wrapText="1"/>
    </xf>
    <xf borderId="0" fillId="6" fontId="10" numFmtId="183" xfId="0" applyAlignment="1" applyFont="1" applyNumberFormat="1">
      <alignment horizontal="center" shrinkToFit="0" vertical="center" wrapText="1"/>
    </xf>
    <xf borderId="0" fillId="3" fontId="19" numFmtId="183" xfId="0" applyAlignment="1" applyFont="1" applyNumberFormat="1">
      <alignment horizontal="center" shrinkToFit="0" vertical="center" wrapText="1"/>
    </xf>
    <xf borderId="0" fillId="6" fontId="19" numFmtId="183" xfId="0" applyAlignment="1" applyFont="1" applyNumberFormat="1">
      <alignment horizontal="center" shrinkToFit="0" vertical="center" wrapText="1"/>
    </xf>
    <xf borderId="0" fillId="6" fontId="19" numFmtId="182" xfId="0" applyAlignment="1" applyFont="1" applyNumberFormat="1">
      <alignment horizontal="center" shrinkToFit="0" vertical="center" wrapText="1"/>
    </xf>
    <xf borderId="0" fillId="3" fontId="19" numFmtId="184" xfId="0" applyAlignment="1" applyFont="1" applyNumberFormat="1">
      <alignment horizontal="center" shrinkToFit="0" vertical="center" wrapText="1"/>
    </xf>
    <xf borderId="0" fillId="3" fontId="19" numFmtId="182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7" fontId="10" numFmtId="0" xfId="0" applyAlignment="1" applyFont="1">
      <alignment horizontal="center" shrinkToFit="0" vertical="center" wrapText="1"/>
    </xf>
    <xf borderId="0" fillId="7" fontId="10" numFmtId="164" xfId="0" applyAlignment="1" applyFont="1" applyNumberFormat="1">
      <alignment horizontal="center" shrinkToFit="0" vertical="center" wrapText="1"/>
    </xf>
    <xf borderId="0" fillId="6" fontId="10" numFmtId="0" xfId="0" applyAlignment="1" applyFont="1">
      <alignment horizontal="center" readingOrder="0" shrinkToFit="0" vertical="center" wrapText="1"/>
    </xf>
    <xf borderId="0" fillId="0" fontId="10" numFmtId="183" xfId="0" applyAlignment="1" applyFont="1" applyNumberFormat="1">
      <alignment horizontal="center" vertical="center"/>
    </xf>
    <xf borderId="0" fillId="0" fontId="10" numFmtId="182" xfId="0" applyAlignment="1" applyFont="1" applyNumberFormat="1">
      <alignment horizontal="center" vertical="center"/>
    </xf>
    <xf borderId="0" fillId="6" fontId="10" numFmtId="182" xfId="0" applyAlignment="1" applyFont="1" applyNumberFormat="1">
      <alignment horizontal="center" shrinkToFit="0" vertical="center" wrapText="1"/>
    </xf>
    <xf borderId="0" fillId="6" fontId="2" numFmtId="3" xfId="0" applyAlignment="1" applyFont="1" applyNumberFormat="1">
      <alignment horizontal="right" readingOrder="0" shrinkToFit="0" vertical="center" wrapText="1"/>
    </xf>
    <xf borderId="0" fillId="7" fontId="2" numFmtId="3" xfId="0" applyAlignment="1" applyFont="1" applyNumberFormat="1">
      <alignment horizontal="center" readingOrder="0" shrinkToFit="0" vertical="center" wrapText="1"/>
    </xf>
    <xf borderId="0" fillId="6" fontId="10" numFmtId="182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6" numFmtId="165" xfId="0" applyAlignment="1" applyFont="1" applyNumberFormat="1">
      <alignment horizontal="right" readingOrder="0" shrinkToFit="0" vertical="center" wrapText="1"/>
    </xf>
    <xf borderId="0" fillId="0" fontId="6" numFmtId="3" xfId="0" applyAlignment="1" applyFont="1" applyNumberFormat="1">
      <alignment horizontal="right" readingOrder="0"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11" fontId="19" numFmtId="0" xfId="0" applyAlignment="1" applyFill="1" applyFont="1">
      <alignment horizontal="center" readingOrder="0" shrinkToFit="0" vertical="center" wrapText="1"/>
    </xf>
    <xf borderId="0" fillId="11" fontId="19" numFmtId="0" xfId="0" applyAlignment="1" applyFont="1">
      <alignment readingOrder="0" shrinkToFit="0" vertical="center" wrapText="1"/>
    </xf>
    <xf borderId="0" fillId="11" fontId="19" numFmtId="0" xfId="0" applyAlignment="1" applyFont="1">
      <alignment readingOrder="0" shrinkToFit="0" vertical="center" wrapText="0"/>
    </xf>
    <xf borderId="0" fillId="11" fontId="19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shrinkToFit="0" vertical="center" wrapText="0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10" numFmtId="10" xfId="0" applyAlignment="1" applyFont="1" applyNumberFormat="1">
      <alignment horizontal="right" readingOrder="0" shrinkToFit="0" vertical="center" wrapText="1"/>
    </xf>
    <xf borderId="0" fillId="0" fontId="10" numFmtId="186" xfId="0" applyAlignment="1" applyFont="1" applyNumberFormat="1">
      <alignment horizontal="right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30" numFmtId="0" xfId="0" applyAlignment="1" applyFont="1">
      <alignment horizontal="right" readingOrder="0" shrinkToFit="0" vertical="center" wrapText="1"/>
    </xf>
    <xf borderId="0" fillId="0" fontId="10" numFmtId="9" xfId="0" applyAlignment="1" applyFont="1" applyNumberForma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10" numFmtId="173" xfId="0" applyAlignment="1" applyFont="1" applyNumberFormat="1">
      <alignment shrinkToFit="0" vertical="center" wrapText="1"/>
    </xf>
    <xf borderId="0" fillId="9" fontId="10" numFmtId="0" xfId="0" applyAlignment="1" applyFont="1">
      <alignment horizontal="center" readingOrder="0" shrinkToFit="0" vertical="center" wrapText="1"/>
    </xf>
    <xf borderId="0" fillId="9" fontId="10" numFmtId="0" xfId="0" applyAlignment="1" applyFont="1">
      <alignment shrinkToFit="0" vertical="center" wrapText="0"/>
    </xf>
    <xf borderId="0" fillId="9" fontId="10" numFmtId="0" xfId="0" applyAlignment="1" applyFont="1">
      <alignment shrinkToFit="0" vertical="center" wrapText="1"/>
    </xf>
    <xf borderId="0" fillId="3" fontId="19" numFmtId="0" xfId="0" applyAlignment="1" applyFont="1">
      <alignment readingOrder="0" shrinkToFit="0" vertical="center" wrapText="1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shrinkToFit="0" vertical="center" wrapText="1"/>
    </xf>
    <xf borderId="0" fillId="3" fontId="14" numFmtId="0" xfId="0" applyFont="1"/>
    <xf borderId="0" fillId="3" fontId="10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3" fontId="10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1"/>
    </xf>
    <xf borderId="0" fillId="3" fontId="10" numFmtId="9" xfId="0" applyAlignment="1" applyFont="1" applyNumberFormat="1">
      <alignment horizontal="center" readingOrder="0" shrinkToFit="0" vertical="center" wrapText="1"/>
    </xf>
    <xf borderId="0" fillId="0" fontId="10" numFmtId="187" xfId="0" applyAlignment="1" applyFont="1" applyNumberFormat="1">
      <alignment readingOrder="0" shrinkToFit="0" vertical="center" wrapText="1"/>
    </xf>
    <xf borderId="0" fillId="0" fontId="10" numFmtId="10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/>
    </xf>
    <xf borderId="0" fillId="9" fontId="19" numFmtId="0" xfId="0" applyAlignment="1" applyFont="1">
      <alignment shrinkToFit="0" vertical="bottom" wrapText="1"/>
    </xf>
    <xf borderId="0" fillId="9" fontId="19" numFmtId="0" xfId="0" applyAlignment="1" applyFont="1">
      <alignment shrinkToFit="0" vertical="bottom" wrapText="0"/>
    </xf>
    <xf borderId="0" fillId="9" fontId="19" numFmtId="0" xfId="0" applyAlignment="1" applyFont="1">
      <alignment shrinkToFit="0" vertical="bottom" wrapText="1"/>
    </xf>
    <xf borderId="0" fillId="9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wrapText="1"/>
    </xf>
    <xf borderId="0" fillId="0" fontId="10" numFmtId="0" xfId="0" applyAlignment="1" applyFon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5" numFmtId="0" xfId="0" applyAlignment="1" applyFont="1">
      <alignment shrinkToFit="0" vertical="bottom" wrapText="1"/>
    </xf>
    <xf borderId="0" fillId="9" fontId="19" numFmtId="0" xfId="0" applyAlignment="1" applyFont="1">
      <alignment horizontal="right" shrinkToFit="0" vertical="bottom" wrapText="0"/>
    </xf>
    <xf borderId="0" fillId="9" fontId="19" numFmtId="0" xfId="0" applyAlignment="1" applyFont="1">
      <alignment horizontal="center" shrinkToFit="0" vertical="bottom" wrapText="1"/>
    </xf>
    <xf borderId="0" fillId="9" fontId="19" numFmtId="166" xfId="0" applyAlignment="1" applyFont="1" applyNumberFormat="1">
      <alignment horizontal="right" shrinkToFit="0" vertical="bottom" wrapText="1"/>
    </xf>
    <xf borderId="0" fillId="9" fontId="10" numFmtId="0" xfId="0" applyAlignment="1" applyFont="1">
      <alignment shrinkToFit="0" vertical="bottom" wrapText="1"/>
    </xf>
    <xf borderId="0" fillId="9" fontId="10" numFmtId="0" xfId="0" applyAlignment="1" applyFont="1">
      <alignment shrinkToFit="0" vertical="bottom" wrapText="0"/>
    </xf>
    <xf borderId="0" fillId="9" fontId="19" numFmtId="166" xfId="0" applyAlignment="1" applyFont="1" applyNumberFormat="1">
      <alignment horizontal="center" shrinkToFit="0" vertical="bottom" wrapText="1"/>
    </xf>
    <xf borderId="0" fillId="9" fontId="10" numFmtId="166" xfId="0" applyAlignment="1" applyFont="1" applyNumberForma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10" numFmtId="10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295275</xdr:colOff>
      <xdr:row>40</xdr:row>
      <xdr:rowOff>123825</xdr:rowOff>
    </xdr:from>
    <xdr:ext cx="3286125" cy="27717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20.38"/>
    <col customWidth="1" min="2" max="2" width="10.63"/>
    <col customWidth="1" min="3" max="3" width="9.63"/>
    <col customWidth="1" min="4" max="5" width="7.5"/>
    <col customWidth="1" min="6" max="6" width="9.0"/>
    <col customWidth="1" min="7" max="7" width="7.75"/>
    <col customWidth="1" min="8" max="8" width="2.88"/>
    <col customWidth="1" min="9" max="9" width="9.0"/>
    <col customWidth="1" min="10" max="10" width="10.88"/>
    <col customWidth="1" min="11" max="12" width="9.5"/>
    <col customWidth="1" hidden="1" min="13" max="13" width="8.25"/>
    <col customWidth="1" min="14" max="15" width="8.25"/>
    <col customWidth="1" min="16" max="16" width="10.13"/>
    <col customWidth="1" hidden="1" min="17" max="17" width="10.13"/>
    <col customWidth="1" min="18" max="18" width="2.88"/>
    <col customWidth="1" min="19" max="19" width="10.13"/>
    <col customWidth="1" min="20" max="20" width="10.75"/>
    <col customWidth="1" hidden="1" min="21" max="21" width="8.38"/>
    <col customWidth="1" min="22" max="22" width="2.88"/>
    <col customWidth="1" min="23" max="24" width="9.25"/>
    <col customWidth="1" min="25" max="25" width="8.88"/>
    <col customWidth="1" min="26" max="26" width="10.5"/>
    <col customWidth="1" min="27" max="27" width="9.88"/>
  </cols>
  <sheetData>
    <row r="1">
      <c r="A1" s="1"/>
      <c r="B1" s="2" t="s">
        <v>0</v>
      </c>
      <c r="H1" s="3"/>
      <c r="I1" s="4" t="s">
        <v>1</v>
      </c>
      <c r="P1" s="5"/>
      <c r="Q1" s="5"/>
      <c r="R1" s="6"/>
      <c r="S1" s="7" t="s">
        <v>2</v>
      </c>
      <c r="V1" s="6"/>
      <c r="W1" s="8" t="s">
        <v>3</v>
      </c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9"/>
      <c r="B2" s="10" t="s">
        <v>4</v>
      </c>
      <c r="C2" s="10" t="s">
        <v>5</v>
      </c>
      <c r="D2" s="10" t="s">
        <v>6</v>
      </c>
      <c r="E2" s="11" t="s">
        <v>7</v>
      </c>
      <c r="F2" s="11" t="s">
        <v>8</v>
      </c>
      <c r="G2" s="10" t="s">
        <v>9</v>
      </c>
      <c r="H2" s="12"/>
      <c r="I2" s="13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5" t="s">
        <v>16</v>
      </c>
      <c r="P2" s="16" t="s">
        <v>17</v>
      </c>
      <c r="Q2" s="16" t="s">
        <v>18</v>
      </c>
      <c r="R2" s="17"/>
      <c r="S2" s="18" t="s">
        <v>19</v>
      </c>
      <c r="T2" s="19" t="s">
        <v>20</v>
      </c>
      <c r="U2" s="18" t="s">
        <v>21</v>
      </c>
      <c r="V2" s="12"/>
      <c r="W2" s="20" t="s">
        <v>22</v>
      </c>
      <c r="X2" s="20" t="s">
        <v>23</v>
      </c>
      <c r="Y2" s="20" t="s">
        <v>24</v>
      </c>
      <c r="Z2" s="20" t="s">
        <v>25</v>
      </c>
      <c r="AA2" s="20" t="s">
        <v>26</v>
      </c>
      <c r="AB2" s="20" t="s">
        <v>27</v>
      </c>
      <c r="AC2" s="20" t="s">
        <v>28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>
      <c r="A3" s="21"/>
      <c r="B3" s="22" t="s">
        <v>29</v>
      </c>
      <c r="C3" s="22" t="s">
        <v>30</v>
      </c>
      <c r="D3" s="22" t="s">
        <v>31</v>
      </c>
      <c r="E3" s="23" t="s">
        <v>32</v>
      </c>
      <c r="F3" s="23" t="s">
        <v>33</v>
      </c>
      <c r="G3" s="22" t="s">
        <v>34</v>
      </c>
      <c r="H3" s="24"/>
      <c r="I3" s="25" t="s">
        <v>35</v>
      </c>
      <c r="J3" s="26" t="s">
        <v>36</v>
      </c>
      <c r="K3" s="27" t="s">
        <v>37</v>
      </c>
      <c r="L3" s="25" t="s">
        <v>38</v>
      </c>
      <c r="M3" s="28" t="s">
        <v>39</v>
      </c>
      <c r="N3" s="26" t="s">
        <v>40</v>
      </c>
      <c r="O3" s="29" t="s">
        <v>41</v>
      </c>
      <c r="P3" s="30" t="s">
        <v>42</v>
      </c>
      <c r="Q3" s="30" t="s">
        <v>43</v>
      </c>
      <c r="R3" s="31"/>
      <c r="S3" s="32" t="s">
        <v>44</v>
      </c>
      <c r="T3" s="32" t="s">
        <v>45</v>
      </c>
      <c r="U3" s="33" t="s">
        <v>46</v>
      </c>
      <c r="V3" s="34"/>
      <c r="W3" s="35" t="s">
        <v>47</v>
      </c>
      <c r="X3" s="35" t="s">
        <v>48</v>
      </c>
      <c r="Y3" s="36" t="s">
        <v>49</v>
      </c>
      <c r="Z3" s="35" t="s">
        <v>50</v>
      </c>
      <c r="AA3" s="36" t="s">
        <v>51</v>
      </c>
      <c r="AB3" s="35" t="s">
        <v>52</v>
      </c>
      <c r="AC3" s="35" t="s">
        <v>53</v>
      </c>
      <c r="AD3" s="24"/>
      <c r="AE3" s="31"/>
      <c r="AF3" s="31"/>
      <c r="AG3" s="31"/>
      <c r="AH3" s="31"/>
      <c r="AI3" s="31"/>
      <c r="AJ3" s="31"/>
      <c r="AK3" s="31"/>
      <c r="AL3" s="31"/>
      <c r="AM3" s="31"/>
    </row>
    <row r="4" ht="22.5" customHeight="1">
      <c r="A4" s="37" t="s">
        <v>54</v>
      </c>
      <c r="B4" s="38"/>
      <c r="C4" s="39"/>
      <c r="D4" s="39"/>
      <c r="E4" s="39"/>
      <c r="F4" s="40"/>
      <c r="G4" s="41"/>
      <c r="H4" s="42"/>
      <c r="I4" s="42"/>
      <c r="J4" s="42"/>
      <c r="K4" s="43"/>
      <c r="L4" s="43"/>
      <c r="M4" s="44"/>
      <c r="N4" s="44"/>
      <c r="O4" s="45"/>
      <c r="P4" s="46"/>
      <c r="Q4" s="46"/>
      <c r="R4" s="47"/>
      <c r="S4" s="48"/>
      <c r="T4" s="48"/>
      <c r="U4" s="41"/>
      <c r="V4" s="47"/>
      <c r="W4" s="49"/>
      <c r="X4" s="49"/>
      <c r="Y4" s="49"/>
      <c r="Z4" s="49"/>
      <c r="AA4" s="49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</row>
    <row r="5" ht="22.5" customHeight="1">
      <c r="A5" s="51"/>
      <c r="B5" s="52"/>
      <c r="C5" s="53"/>
      <c r="D5" s="53"/>
      <c r="E5" s="54"/>
      <c r="F5" s="55"/>
      <c r="G5" s="56"/>
      <c r="H5" s="57"/>
      <c r="I5" s="57"/>
      <c r="J5" s="57"/>
      <c r="K5" s="54"/>
      <c r="L5" s="54"/>
      <c r="M5" s="57"/>
      <c r="N5" s="57"/>
      <c r="O5" s="55"/>
      <c r="P5" s="58"/>
      <c r="Q5" s="58"/>
      <c r="R5" s="47"/>
      <c r="S5" s="59"/>
      <c r="T5" s="59"/>
      <c r="U5" s="60"/>
      <c r="V5" s="47"/>
      <c r="W5" s="61"/>
      <c r="X5" s="61"/>
      <c r="Y5" s="61"/>
      <c r="Z5" s="62"/>
      <c r="AA5" s="63"/>
      <c r="AB5" s="64"/>
      <c r="AC5" s="64"/>
      <c r="AD5" s="50"/>
      <c r="AE5" s="50"/>
      <c r="AF5" s="50"/>
      <c r="AG5" s="50"/>
      <c r="AH5" s="50"/>
      <c r="AI5" s="50"/>
      <c r="AJ5" s="50"/>
      <c r="AK5" s="50"/>
      <c r="AL5" s="50"/>
      <c r="AM5" s="50"/>
    </row>
    <row r="6" ht="22.5" customHeight="1">
      <c r="A6" s="65" t="s">
        <v>55</v>
      </c>
      <c r="B6" s="66">
        <v>3000.0</v>
      </c>
      <c r="C6" s="67"/>
      <c r="D6" s="67"/>
      <c r="E6" s="67">
        <v>0.0033333333333333335</v>
      </c>
      <c r="F6" s="68">
        <f>E6*B6</f>
        <v>10</v>
      </c>
      <c r="G6" s="68">
        <f>F6*O6</f>
        <v>10</v>
      </c>
      <c r="H6" s="57"/>
      <c r="I6" s="69">
        <f t="shared" ref="I6:I7" si="1">J6*K6*O6</f>
        <v>2880</v>
      </c>
      <c r="J6" s="69">
        <v>3200.0</v>
      </c>
      <c r="K6" s="70">
        <f t="shared" ref="K6:K7" si="2">1-L6</f>
        <v>0.9</v>
      </c>
      <c r="L6" s="70">
        <f t="shared" ref="L6:L7" si="3">4%+6%</f>
        <v>0.1</v>
      </c>
      <c r="M6" s="57"/>
      <c r="N6" s="57"/>
      <c r="O6" s="68">
        <v>1.0</v>
      </c>
      <c r="P6" s="71">
        <f>AA6/F6</f>
        <v>2500</v>
      </c>
      <c r="Q6" s="58"/>
      <c r="R6" s="47"/>
      <c r="S6" s="72">
        <f>AA6/B6</f>
        <v>8.333333333</v>
      </c>
      <c r="T6" s="73">
        <f>I6*E6</f>
        <v>9.6</v>
      </c>
      <c r="U6" s="60"/>
      <c r="V6" s="47"/>
      <c r="W6" s="74">
        <f>X6+X7-AC6</f>
        <v>-152200</v>
      </c>
      <c r="X6" s="74">
        <f>B6*(T6-S6)</f>
        <v>3800</v>
      </c>
      <c r="Y6" s="75">
        <f>G6*J6</f>
        <v>32000</v>
      </c>
      <c r="Z6" s="75">
        <f t="shared" ref="Z6:Z7" si="4">F6*I6</f>
        <v>28800</v>
      </c>
      <c r="AA6" s="75">
        <v>25000.0</v>
      </c>
      <c r="AB6" s="64"/>
      <c r="AC6" s="64">
        <v>300000.0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</row>
    <row r="7" ht="22.5" customHeight="1">
      <c r="A7" s="65" t="s">
        <v>56</v>
      </c>
      <c r="B7" s="76"/>
      <c r="C7" s="53"/>
      <c r="D7" s="53"/>
      <c r="E7" s="54"/>
      <c r="F7" s="68">
        <v>50.0</v>
      </c>
      <c r="G7" s="56"/>
      <c r="H7" s="57"/>
      <c r="I7" s="69">
        <f t="shared" si="1"/>
        <v>2880</v>
      </c>
      <c r="J7" s="69">
        <v>3200.0</v>
      </c>
      <c r="K7" s="70">
        <f t="shared" si="2"/>
        <v>0.9</v>
      </c>
      <c r="L7" s="70">
        <f t="shared" si="3"/>
        <v>0.1</v>
      </c>
      <c r="M7" s="57"/>
      <c r="N7" s="57"/>
      <c r="O7" s="68">
        <v>1.0</v>
      </c>
      <c r="P7" s="58"/>
      <c r="Q7" s="58"/>
      <c r="R7" s="47"/>
      <c r="S7" s="59"/>
      <c r="T7" s="59"/>
      <c r="U7" s="60"/>
      <c r="V7" s="47"/>
      <c r="W7" s="61"/>
      <c r="X7" s="61">
        <f>Z7</f>
        <v>144000</v>
      </c>
      <c r="Y7" s="61"/>
      <c r="Z7" s="75">
        <f t="shared" si="4"/>
        <v>144000</v>
      </c>
      <c r="AA7" s="63"/>
      <c r="AB7" s="64"/>
      <c r="AC7" s="64"/>
      <c r="AD7" s="50"/>
      <c r="AE7" s="50"/>
      <c r="AF7" s="50"/>
      <c r="AG7" s="50"/>
      <c r="AH7" s="50"/>
      <c r="AI7" s="50"/>
      <c r="AJ7" s="50"/>
      <c r="AK7" s="50"/>
      <c r="AL7" s="50"/>
      <c r="AM7" s="50"/>
    </row>
    <row r="8" ht="22.5" customHeight="1">
      <c r="A8" s="65" t="s">
        <v>57</v>
      </c>
      <c r="B8" s="76"/>
      <c r="C8" s="53"/>
      <c r="D8" s="53"/>
      <c r="E8" s="54"/>
      <c r="F8" s="68">
        <v>3.0</v>
      </c>
      <c r="G8" s="56"/>
      <c r="H8" s="57"/>
      <c r="I8" s="57"/>
      <c r="J8" s="57"/>
      <c r="K8" s="54"/>
      <c r="L8" s="54"/>
      <c r="M8" s="57"/>
      <c r="N8" s="57"/>
      <c r="O8" s="55"/>
      <c r="P8" s="58"/>
      <c r="Q8" s="58"/>
      <c r="R8" s="47"/>
      <c r="S8" s="59"/>
      <c r="T8" s="59"/>
      <c r="U8" s="60"/>
      <c r="V8" s="47"/>
      <c r="W8" s="61"/>
      <c r="X8" s="61"/>
      <c r="Y8" s="61"/>
      <c r="Z8" s="61"/>
      <c r="AA8" s="63"/>
      <c r="AB8" s="64"/>
      <c r="AC8" s="64"/>
      <c r="AD8" s="50"/>
      <c r="AE8" s="50"/>
      <c r="AF8" s="50"/>
      <c r="AG8" s="50"/>
      <c r="AH8" s="50"/>
      <c r="AI8" s="50"/>
      <c r="AJ8" s="50"/>
      <c r="AK8" s="50"/>
      <c r="AL8" s="50"/>
      <c r="AM8" s="50"/>
    </row>
    <row r="9" ht="22.5" customHeight="1">
      <c r="A9" s="51"/>
      <c r="B9" s="76"/>
      <c r="C9" s="53"/>
      <c r="D9" s="53"/>
      <c r="E9" s="54"/>
      <c r="F9" s="55"/>
      <c r="G9" s="56"/>
      <c r="H9" s="57"/>
      <c r="I9" s="57"/>
      <c r="J9" s="57"/>
      <c r="K9" s="54"/>
      <c r="L9" s="54"/>
      <c r="M9" s="57"/>
      <c r="N9" s="57"/>
      <c r="O9" s="55"/>
      <c r="P9" s="58"/>
      <c r="Q9" s="58"/>
      <c r="R9" s="47"/>
      <c r="S9" s="59"/>
      <c r="T9" s="59"/>
      <c r="U9" s="60"/>
      <c r="V9" s="47"/>
      <c r="W9" s="61"/>
      <c r="X9" s="61"/>
      <c r="Y9" s="61"/>
      <c r="Z9" s="61"/>
      <c r="AA9" s="63"/>
      <c r="AB9" s="64"/>
      <c r="AC9" s="64"/>
      <c r="AD9" s="50"/>
      <c r="AE9" s="50"/>
      <c r="AF9" s="50"/>
      <c r="AG9" s="50"/>
      <c r="AH9" s="50"/>
      <c r="AI9" s="50"/>
      <c r="AJ9" s="50"/>
      <c r="AK9" s="50"/>
      <c r="AL9" s="50"/>
      <c r="AM9" s="50"/>
    </row>
    <row r="10" ht="22.5" customHeight="1">
      <c r="A10" s="77" t="s">
        <v>58</v>
      </c>
      <c r="B10" s="78"/>
      <c r="C10" s="56"/>
      <c r="D10" s="56"/>
      <c r="E10" s="56"/>
      <c r="F10" s="79">
        <f>iferror(Z10/I10)</f>
        <v>11.57407407</v>
      </c>
      <c r="G10" s="79">
        <f>Z10/I10</f>
        <v>11.57407407</v>
      </c>
      <c r="H10" s="57"/>
      <c r="I10" s="69">
        <f>J10*K10*O10</f>
        <v>86400</v>
      </c>
      <c r="J10" s="69">
        <f>J6*30</f>
        <v>96000</v>
      </c>
      <c r="K10" s="70">
        <f>1-L10</f>
        <v>0.9</v>
      </c>
      <c r="L10" s="70">
        <f>4%+6%</f>
        <v>0.1</v>
      </c>
      <c r="M10" s="57"/>
      <c r="N10" s="57"/>
      <c r="O10" s="68">
        <v>1.0</v>
      </c>
      <c r="P10" s="58"/>
      <c r="Q10" s="58"/>
      <c r="R10" s="47"/>
      <c r="S10" s="59"/>
      <c r="T10" s="80"/>
      <c r="U10" s="56"/>
      <c r="V10" s="78"/>
      <c r="W10" s="61"/>
      <c r="X10" s="61"/>
      <c r="Y10" s="47"/>
      <c r="Z10" s="81">
        <v>1000000.0</v>
      </c>
      <c r="AA10" s="61"/>
      <c r="AB10" s="47"/>
      <c r="AC10" s="47"/>
      <c r="AD10" s="50"/>
      <c r="AE10" s="50"/>
      <c r="AF10" s="50"/>
      <c r="AG10" s="50"/>
      <c r="AH10" s="50"/>
      <c r="AI10" s="50"/>
      <c r="AJ10" s="50"/>
      <c r="AK10" s="50"/>
      <c r="AL10" s="50"/>
      <c r="AM10" s="50"/>
    </row>
    <row r="11" ht="22.5" customHeight="1">
      <c r="A11" s="82" t="s">
        <v>59</v>
      </c>
      <c r="B11" s="78"/>
      <c r="C11" s="56"/>
      <c r="D11" s="56"/>
      <c r="E11" s="56"/>
      <c r="F11" s="83">
        <f>F6-F8</f>
        <v>7</v>
      </c>
      <c r="G11" s="56"/>
      <c r="H11" s="57"/>
      <c r="I11" s="57"/>
      <c r="J11" s="57"/>
      <c r="K11" s="54"/>
      <c r="L11" s="54"/>
      <c r="M11" s="57"/>
      <c r="N11" s="57"/>
      <c r="O11" s="55"/>
      <c r="P11" s="58"/>
      <c r="Q11" s="58"/>
      <c r="R11" s="47"/>
      <c r="S11" s="59"/>
      <c r="T11" s="59"/>
      <c r="U11" s="60"/>
      <c r="V11" s="47"/>
      <c r="W11" s="61"/>
      <c r="X11" s="61"/>
      <c r="Y11" s="61"/>
      <c r="Z11" s="61"/>
      <c r="AA11" s="63"/>
      <c r="AB11" s="64"/>
      <c r="AC11" s="64"/>
      <c r="AD11" s="50"/>
      <c r="AE11" s="50"/>
      <c r="AF11" s="50"/>
      <c r="AG11" s="50"/>
      <c r="AH11" s="50"/>
      <c r="AI11" s="50"/>
      <c r="AJ11" s="50"/>
      <c r="AK11" s="50"/>
      <c r="AL11" s="50"/>
      <c r="AM11" s="50"/>
    </row>
    <row r="12" ht="22.5" customHeight="1">
      <c r="A12" s="77" t="s">
        <v>60</v>
      </c>
      <c r="B12" s="78"/>
      <c r="C12" s="56"/>
      <c r="D12" s="56"/>
      <c r="E12" s="56"/>
      <c r="F12" s="84">
        <f>(F10)/F6</f>
        <v>1.157407407</v>
      </c>
      <c r="G12" s="56"/>
      <c r="H12" s="57"/>
      <c r="I12" s="57"/>
      <c r="J12" s="57"/>
      <c r="K12" s="54"/>
      <c r="L12" s="54"/>
      <c r="M12" s="57"/>
      <c r="N12" s="57"/>
      <c r="O12" s="55"/>
      <c r="P12" s="58"/>
      <c r="Q12" s="58"/>
      <c r="R12" s="47"/>
      <c r="S12" s="59"/>
      <c r="T12" s="59"/>
      <c r="U12" s="60"/>
      <c r="V12" s="47"/>
      <c r="W12" s="61"/>
      <c r="X12" s="61"/>
      <c r="Y12" s="61"/>
      <c r="Z12" s="61"/>
      <c r="AA12" s="63"/>
      <c r="AB12" s="64"/>
      <c r="AC12" s="64"/>
      <c r="AD12" s="50"/>
      <c r="AE12" s="50"/>
      <c r="AF12" s="50"/>
      <c r="AG12" s="50"/>
      <c r="AH12" s="50"/>
      <c r="AI12" s="50"/>
      <c r="AJ12" s="50"/>
      <c r="AK12" s="50"/>
      <c r="AL12" s="50"/>
      <c r="AM12" s="50"/>
    </row>
    <row r="13" ht="22.5" customHeight="1">
      <c r="A13" s="51"/>
      <c r="B13" s="76"/>
      <c r="C13" s="53"/>
      <c r="D13" s="53"/>
      <c r="E13" s="54"/>
      <c r="F13" s="55"/>
      <c r="G13" s="56"/>
      <c r="H13" s="57"/>
      <c r="I13" s="57"/>
      <c r="J13" s="57"/>
      <c r="K13" s="54"/>
      <c r="L13" s="54"/>
      <c r="M13" s="57"/>
      <c r="N13" s="57"/>
      <c r="O13" s="55"/>
      <c r="P13" s="58"/>
      <c r="Q13" s="58"/>
      <c r="R13" s="47"/>
      <c r="S13" s="59"/>
      <c r="T13" s="59"/>
      <c r="U13" s="60"/>
      <c r="V13" s="47"/>
      <c r="W13" s="61"/>
      <c r="X13" s="61"/>
      <c r="Y13" s="61"/>
      <c r="Z13" s="61"/>
      <c r="AA13" s="63"/>
      <c r="AB13" s="64"/>
      <c r="AC13" s="64"/>
      <c r="AD13" s="50"/>
      <c r="AE13" s="50"/>
      <c r="AF13" s="50"/>
      <c r="AG13" s="50"/>
      <c r="AH13" s="50"/>
      <c r="AI13" s="50"/>
      <c r="AJ13" s="50"/>
      <c r="AK13" s="50"/>
      <c r="AL13" s="50"/>
      <c r="AM13" s="50"/>
    </row>
    <row r="14" ht="22.5" hidden="1" customHeight="1">
      <c r="A14" s="51" t="s">
        <v>61</v>
      </c>
      <c r="B14" s="66">
        <v>300.0</v>
      </c>
      <c r="C14" s="67"/>
      <c r="D14" s="67"/>
      <c r="E14" s="85">
        <v>0.07</v>
      </c>
      <c r="F14" s="86">
        <f>E14*B14</f>
        <v>21</v>
      </c>
      <c r="G14" s="56"/>
      <c r="H14" s="57"/>
      <c r="I14" s="69">
        <f>J14*L14*O14-N14</f>
        <v>3200</v>
      </c>
      <c r="J14" s="87">
        <v>3200.0</v>
      </c>
      <c r="K14" s="70"/>
      <c r="L14" s="70">
        <v>1.0</v>
      </c>
      <c r="M14" s="57"/>
      <c r="N14" s="57"/>
      <c r="O14" s="68">
        <v>1.0</v>
      </c>
      <c r="P14" s="58"/>
      <c r="Q14" s="58"/>
      <c r="R14" s="47"/>
      <c r="S14" s="73">
        <f>AA14/B14</f>
        <v>145</v>
      </c>
      <c r="T14" s="73">
        <f>E14*I14</f>
        <v>224</v>
      </c>
      <c r="U14" s="60"/>
      <c r="V14" s="47"/>
      <c r="W14" s="74"/>
      <c r="X14" s="74">
        <f>Z14-AA14</f>
        <v>23700</v>
      </c>
      <c r="Y14" s="74">
        <f>F14*J14</f>
        <v>67200</v>
      </c>
      <c r="Z14" s="74">
        <f>F14*I14</f>
        <v>67200</v>
      </c>
      <c r="AA14" s="75">
        <f>30000*145%</f>
        <v>43500</v>
      </c>
      <c r="AB14" s="64"/>
      <c r="AC14" s="64">
        <v>300000.0</v>
      </c>
      <c r="AD14" s="50"/>
      <c r="AE14" s="50"/>
      <c r="AF14" s="50"/>
      <c r="AG14" s="50"/>
      <c r="AH14" s="50"/>
      <c r="AI14" s="50"/>
      <c r="AJ14" s="50"/>
      <c r="AK14" s="50"/>
      <c r="AL14" s="50"/>
      <c r="AM14" s="50"/>
    </row>
    <row r="15" ht="22.5" hidden="1" customHeight="1">
      <c r="A15" s="51" t="s">
        <v>62</v>
      </c>
      <c r="B15" s="78"/>
      <c r="C15" s="56"/>
      <c r="D15" s="56"/>
      <c r="E15" s="56"/>
      <c r="F15" s="79">
        <v>50.0</v>
      </c>
      <c r="G15" s="56"/>
      <c r="H15" s="71"/>
      <c r="I15" s="71">
        <f t="shared" ref="I15:I16" si="5">J15*L15*O15</f>
        <v>3200</v>
      </c>
      <c r="J15" s="71">
        <v>3200.0</v>
      </c>
      <c r="K15" s="44"/>
      <c r="L15" s="44">
        <v>1.0</v>
      </c>
      <c r="M15" s="88"/>
      <c r="N15" s="88"/>
      <c r="O15" s="40">
        <v>1.0</v>
      </c>
      <c r="P15" s="61"/>
      <c r="Q15" s="61"/>
      <c r="R15" s="47"/>
      <c r="S15" s="80"/>
      <c r="T15" s="80"/>
      <c r="U15" s="89"/>
      <c r="V15" s="47"/>
      <c r="W15" s="61"/>
      <c r="X15" s="61"/>
      <c r="Y15" s="61"/>
      <c r="Z15" s="64">
        <f t="shared" ref="Z15:Z16" si="6">I15*F15</f>
        <v>160000</v>
      </c>
      <c r="AA15" s="61"/>
      <c r="AB15" s="59"/>
      <c r="AC15" s="59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ht="22.5" hidden="1" customHeight="1">
      <c r="A16" s="51" t="s">
        <v>63</v>
      </c>
      <c r="B16" s="78"/>
      <c r="C16" s="56"/>
      <c r="D16" s="56"/>
      <c r="E16" s="56"/>
      <c r="F16" s="68">
        <v>3.0</v>
      </c>
      <c r="G16" s="90"/>
      <c r="H16" s="71"/>
      <c r="I16" s="71">
        <f t="shared" si="5"/>
        <v>3200</v>
      </c>
      <c r="J16" s="42">
        <v>3200.0</v>
      </c>
      <c r="K16" s="44"/>
      <c r="L16" s="44">
        <v>1.0</v>
      </c>
      <c r="M16" s="88"/>
      <c r="N16" s="88"/>
      <c r="O16" s="40">
        <v>1.0</v>
      </c>
      <c r="P16" s="58"/>
      <c r="Q16" s="58"/>
      <c r="R16" s="78"/>
      <c r="S16" s="59"/>
      <c r="T16" s="60"/>
      <c r="U16" s="56"/>
      <c r="V16" s="78"/>
      <c r="W16" s="61"/>
      <c r="X16" s="61"/>
      <c r="Y16" s="59"/>
      <c r="Z16" s="64">
        <f t="shared" si="6"/>
        <v>9600</v>
      </c>
      <c r="AA16" s="59"/>
      <c r="AB16" s="47"/>
      <c r="AC16" s="47"/>
      <c r="AD16" s="50"/>
      <c r="AE16" s="50"/>
      <c r="AF16" s="50"/>
      <c r="AG16" s="50"/>
      <c r="AH16" s="50"/>
      <c r="AI16" s="50"/>
      <c r="AJ16" s="50"/>
      <c r="AK16" s="50"/>
      <c r="AL16" s="50"/>
      <c r="AM16" s="50"/>
    </row>
    <row r="17" ht="22.5" hidden="1" customHeight="1">
      <c r="A17" s="89"/>
      <c r="B17" s="78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61"/>
      <c r="AB17" s="59"/>
      <c r="AC17" s="59"/>
      <c r="AD17" s="50"/>
      <c r="AE17" s="50"/>
      <c r="AF17" s="50"/>
      <c r="AG17" s="50"/>
      <c r="AH17" s="50"/>
      <c r="AI17" s="50"/>
      <c r="AJ17" s="50"/>
      <c r="AK17" s="50"/>
      <c r="AL17" s="50"/>
      <c r="AM17" s="50"/>
    </row>
    <row r="18" ht="22.5" hidden="1" customHeight="1">
      <c r="A18" s="77" t="s">
        <v>58</v>
      </c>
      <c r="B18" s="78"/>
      <c r="C18" s="56"/>
      <c r="D18" s="56"/>
      <c r="E18" s="56"/>
      <c r="F18" s="79">
        <f>iferror(Z18/I18)</f>
        <v>100</v>
      </c>
      <c r="G18" s="56"/>
      <c r="H18" s="57"/>
      <c r="I18" s="69">
        <f>(J18-L18)*O18</f>
        <v>10000</v>
      </c>
      <c r="J18" s="69">
        <v>30000.0</v>
      </c>
      <c r="K18" s="69"/>
      <c r="L18" s="69">
        <v>20000.0</v>
      </c>
      <c r="M18" s="57"/>
      <c r="N18" s="57"/>
      <c r="O18" s="68">
        <v>1.0</v>
      </c>
      <c r="P18" s="58"/>
      <c r="Q18" s="58"/>
      <c r="R18" s="47"/>
      <c r="S18" s="59"/>
      <c r="T18" s="80"/>
      <c r="U18" s="56"/>
      <c r="V18" s="78"/>
      <c r="W18" s="61"/>
      <c r="X18" s="61"/>
      <c r="Y18" s="47"/>
      <c r="Z18" s="91">
        <v>1000000.0</v>
      </c>
      <c r="AA18" s="61"/>
      <c r="AB18" s="47"/>
      <c r="AC18" s="47"/>
      <c r="AD18" s="50"/>
      <c r="AE18" s="50"/>
      <c r="AF18" s="50"/>
      <c r="AG18" s="50"/>
      <c r="AH18" s="50"/>
      <c r="AI18" s="50"/>
      <c r="AJ18" s="50"/>
      <c r="AK18" s="50"/>
      <c r="AL18" s="50"/>
      <c r="AM18" s="50"/>
    </row>
    <row r="19" ht="22.5" hidden="1" customHeight="1">
      <c r="A19" s="77" t="s">
        <v>64</v>
      </c>
      <c r="B19" s="78"/>
      <c r="C19" s="56"/>
      <c r="D19" s="56"/>
      <c r="E19" s="56"/>
      <c r="F19" s="92">
        <f>F14-F16</f>
        <v>18</v>
      </c>
      <c r="G19" s="56"/>
      <c r="H19" s="93"/>
      <c r="I19" s="93"/>
      <c r="J19" s="88"/>
      <c r="K19" s="88"/>
      <c r="L19" s="88"/>
      <c r="M19" s="88"/>
      <c r="N19" s="88"/>
      <c r="O19" s="94"/>
      <c r="P19" s="58"/>
      <c r="Q19" s="58"/>
      <c r="R19" s="47"/>
      <c r="S19" s="80"/>
      <c r="T19" s="80"/>
      <c r="U19" s="56"/>
      <c r="V19" s="78"/>
      <c r="W19" s="61"/>
      <c r="X19" s="61"/>
      <c r="Y19" s="61"/>
      <c r="Z19" s="61"/>
      <c r="AA19" s="61"/>
      <c r="AB19" s="47"/>
      <c r="AC19" s="47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ht="22.5" hidden="1" customHeight="1">
      <c r="A20" s="77" t="s">
        <v>60</v>
      </c>
      <c r="B20" s="78"/>
      <c r="C20" s="56"/>
      <c r="D20" s="56"/>
      <c r="E20" s="56"/>
      <c r="F20" s="95">
        <f>F18/F19</f>
        <v>5.555555556</v>
      </c>
      <c r="G20" s="56"/>
      <c r="H20" s="93"/>
      <c r="I20" s="93"/>
      <c r="J20" s="88"/>
      <c r="K20" s="88"/>
      <c r="L20" s="88"/>
      <c r="M20" s="56"/>
      <c r="N20" s="56"/>
      <c r="O20" s="90"/>
      <c r="P20" s="58"/>
      <c r="Q20" s="58"/>
      <c r="R20" s="47"/>
      <c r="S20" s="59"/>
      <c r="T20" s="60"/>
      <c r="U20" s="56"/>
      <c r="V20" s="78"/>
      <c r="W20" s="59"/>
      <c r="X20" s="59"/>
      <c r="Y20" s="59"/>
      <c r="Z20" s="59"/>
      <c r="AA20" s="59"/>
      <c r="AB20" s="59"/>
      <c r="AC20" s="59"/>
      <c r="AD20" s="50"/>
      <c r="AE20" s="50"/>
      <c r="AF20" s="50"/>
      <c r="AG20" s="50"/>
      <c r="AH20" s="50"/>
      <c r="AI20" s="50"/>
      <c r="AJ20" s="50"/>
      <c r="AK20" s="50"/>
      <c r="AL20" s="50"/>
      <c r="AM20" s="50"/>
    </row>
    <row r="21" ht="22.5" customHeight="1">
      <c r="A21" s="9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38"/>
      <c r="U21" s="38"/>
      <c r="V21" s="38"/>
      <c r="W21" s="38"/>
      <c r="X21" s="38"/>
      <c r="Y21" s="38"/>
      <c r="Z21" s="38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</row>
    <row r="22" ht="22.5" customHeight="1">
      <c r="A22" s="9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38"/>
      <c r="U22" s="38"/>
      <c r="V22" s="38"/>
      <c r="W22" s="38"/>
      <c r="X22" s="38"/>
      <c r="Y22" s="38"/>
      <c r="Z22" s="38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</row>
    <row r="23" ht="22.5" customHeight="1">
      <c r="A23" s="96" t="s">
        <v>65</v>
      </c>
      <c r="B23" s="47"/>
      <c r="C23" s="47"/>
      <c r="D23" s="47"/>
      <c r="E23" s="56"/>
      <c r="F23" s="47"/>
      <c r="G23" s="47"/>
      <c r="H23" s="47"/>
      <c r="I23" s="47"/>
      <c r="J23" s="47"/>
      <c r="K23" s="47"/>
      <c r="L23" s="4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</row>
    <row r="24" ht="22.5" customHeight="1" outlineLevel="1">
      <c r="A24" s="51" t="s">
        <v>66</v>
      </c>
      <c r="B24" s="97">
        <v>100.0</v>
      </c>
      <c r="C24" s="98">
        <v>0.1</v>
      </c>
      <c r="D24" s="97">
        <f t="shared" ref="D24:D25" si="7">C24*B24</f>
        <v>10</v>
      </c>
      <c r="E24" s="98">
        <f t="shared" ref="E24:E25" si="8">C24*10%</f>
        <v>0.01</v>
      </c>
      <c r="F24" s="99">
        <v>1.0</v>
      </c>
      <c r="G24" s="100"/>
      <c r="H24" s="71"/>
      <c r="I24" s="101">
        <f t="shared" ref="I24:I25" si="9">J24*L24*O24</f>
        <v>98000</v>
      </c>
      <c r="J24" s="102">
        <v>1400000.0</v>
      </c>
      <c r="K24" s="70"/>
      <c r="L24" s="70">
        <v>0.07</v>
      </c>
      <c r="M24" s="38"/>
      <c r="N24" s="38"/>
      <c r="O24" s="97">
        <v>1.0</v>
      </c>
      <c r="P24" s="101">
        <f t="shared" ref="P24:P25" si="10">Z24*30%</f>
        <v>29400</v>
      </c>
      <c r="Q24" s="71">
        <f t="shared" ref="Q24:Q25" si="11">AA24/D24</f>
        <v>3266.666667</v>
      </c>
      <c r="R24" s="38"/>
      <c r="S24" s="71">
        <f t="shared" ref="S24:S25" si="12">T24/3</f>
        <v>326.6666667</v>
      </c>
      <c r="T24" s="71">
        <f t="shared" ref="T24:T25" si="13">I24*E24</f>
        <v>980</v>
      </c>
      <c r="U24" s="38"/>
      <c r="V24" s="38"/>
      <c r="W24" s="38"/>
      <c r="X24" s="38"/>
      <c r="Y24" s="38"/>
      <c r="Z24" s="103">
        <f t="shared" ref="Z24:Z25" si="14">I24*F24</f>
        <v>98000</v>
      </c>
      <c r="AA24" s="103">
        <f t="shared" ref="AA24:AA25" si="15">S24*B24</f>
        <v>32666.66667</v>
      </c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</row>
    <row r="25" ht="22.5" customHeight="1" outlineLevel="1">
      <c r="A25" s="51" t="s">
        <v>67</v>
      </c>
      <c r="B25" s="97">
        <v>100.0</v>
      </c>
      <c r="C25" s="98">
        <v>0.1</v>
      </c>
      <c r="D25" s="97">
        <f t="shared" si="7"/>
        <v>10</v>
      </c>
      <c r="E25" s="98">
        <f t="shared" si="8"/>
        <v>0.01</v>
      </c>
      <c r="F25" s="99">
        <v>1.0</v>
      </c>
      <c r="G25" s="100"/>
      <c r="H25" s="71"/>
      <c r="I25" s="101">
        <f t="shared" si="9"/>
        <v>280000</v>
      </c>
      <c r="J25" s="102">
        <v>7000000.0</v>
      </c>
      <c r="K25" s="70"/>
      <c r="L25" s="70">
        <v>0.04</v>
      </c>
      <c r="M25" s="38"/>
      <c r="N25" s="38"/>
      <c r="O25" s="97">
        <v>1.0</v>
      </c>
      <c r="P25" s="101">
        <f t="shared" si="10"/>
        <v>84000</v>
      </c>
      <c r="Q25" s="71">
        <f t="shared" si="11"/>
        <v>9333.333333</v>
      </c>
      <c r="R25" s="38"/>
      <c r="S25" s="71">
        <f t="shared" si="12"/>
        <v>933.3333333</v>
      </c>
      <c r="T25" s="71">
        <f t="shared" si="13"/>
        <v>2800</v>
      </c>
      <c r="U25" s="38"/>
      <c r="V25" s="38"/>
      <c r="W25" s="38"/>
      <c r="X25" s="38"/>
      <c r="Y25" s="38"/>
      <c r="Z25" s="103">
        <f t="shared" si="14"/>
        <v>280000</v>
      </c>
      <c r="AA25" s="103">
        <f t="shared" si="15"/>
        <v>93333.33333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</row>
    <row r="26" ht="54.0" customHeight="1">
      <c r="A26" s="104"/>
      <c r="B26" s="105" t="s">
        <v>68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6"/>
      <c r="N26" s="106"/>
      <c r="O26" s="106"/>
      <c r="P26" s="107" t="s">
        <v>69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49"/>
      <c r="AB26" s="50"/>
      <c r="AC26" s="50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</row>
    <row r="27" ht="17.2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49"/>
      <c r="AB27" s="50"/>
      <c r="AC27" s="50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</row>
    <row r="28" ht="17.25" customHeight="1">
      <c r="A28" s="109" t="s">
        <v>70</v>
      </c>
      <c r="B28" s="110" t="s">
        <v>71</v>
      </c>
      <c r="J28" s="104"/>
      <c r="K28" s="104"/>
      <c r="L28" s="104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49"/>
      <c r="AB28" s="50"/>
      <c r="AC28" s="50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</row>
    <row r="29" ht="17.25" customHeight="1">
      <c r="A29" s="111"/>
      <c r="B29" s="112"/>
      <c r="C29" s="112"/>
      <c r="D29" s="112"/>
      <c r="E29" s="112"/>
      <c r="F29" s="112"/>
      <c r="G29" s="113"/>
      <c r="H29" s="113"/>
      <c r="I29" s="113"/>
      <c r="J29" s="104"/>
      <c r="K29" s="104"/>
      <c r="L29" s="104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49"/>
      <c r="AB29" s="50"/>
      <c r="AC29" s="50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</row>
    <row r="30" ht="17.25" customHeight="1">
      <c r="A30" s="109" t="s">
        <v>72</v>
      </c>
      <c r="B30" s="110" t="s">
        <v>73</v>
      </c>
      <c r="J30" s="104"/>
      <c r="K30" s="104"/>
      <c r="L30" s="104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49"/>
      <c r="AB30" s="50"/>
      <c r="AC30" s="50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</row>
    <row r="31" ht="17.25" customHeight="1">
      <c r="A31" s="111"/>
      <c r="B31" s="112"/>
      <c r="C31" s="112"/>
      <c r="D31" s="112"/>
      <c r="E31" s="112"/>
      <c r="F31" s="112"/>
      <c r="G31" s="113"/>
      <c r="H31" s="113"/>
      <c r="I31" s="113"/>
      <c r="J31" s="104"/>
      <c r="K31" s="104"/>
      <c r="L31" s="104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49"/>
      <c r="AB31" s="50"/>
      <c r="AC31" s="50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</row>
    <row r="32" ht="17.25" customHeight="1">
      <c r="A32" s="109" t="s">
        <v>74</v>
      </c>
      <c r="B32" s="114" t="s">
        <v>75</v>
      </c>
      <c r="C32" s="114"/>
      <c r="D32" s="114"/>
      <c r="E32" s="114"/>
      <c r="F32" s="114"/>
      <c r="G32" s="114"/>
      <c r="H32" s="114"/>
      <c r="I32" s="114"/>
      <c r="J32" s="115"/>
      <c r="K32" s="115"/>
      <c r="L32" s="115"/>
      <c r="M32" s="116"/>
      <c r="N32" s="116"/>
      <c r="O32" s="11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49"/>
      <c r="AB32" s="50"/>
      <c r="AC32" s="50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</row>
    <row r="33" ht="17.25" customHeight="1">
      <c r="A33" s="111"/>
      <c r="B33" s="112"/>
      <c r="C33" s="112"/>
      <c r="D33" s="112"/>
      <c r="E33" s="112"/>
      <c r="F33" s="112"/>
      <c r="G33" s="113"/>
      <c r="H33" s="113"/>
      <c r="I33" s="113"/>
      <c r="J33" s="104"/>
      <c r="K33" s="104"/>
      <c r="L33" s="104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49"/>
      <c r="AB33" s="50"/>
      <c r="AC33" s="50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</row>
    <row r="34" ht="17.25" customHeight="1">
      <c r="A34" s="111"/>
      <c r="B34" s="117" t="s">
        <v>76</v>
      </c>
      <c r="C34" s="118"/>
      <c r="D34" s="118"/>
      <c r="E34" s="118"/>
      <c r="F34" s="118"/>
      <c r="G34" s="118"/>
      <c r="H34" s="118"/>
      <c r="I34" s="118"/>
      <c r="J34" s="104"/>
      <c r="K34" s="104"/>
      <c r="L34" s="104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49"/>
      <c r="AB34" s="50"/>
      <c r="AC34" s="50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</row>
    <row r="35" ht="17.25" customHeight="1">
      <c r="A35" s="104"/>
      <c r="B35" s="117" t="s">
        <v>77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49"/>
      <c r="AB35" s="50"/>
      <c r="AC35" s="50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</row>
    <row r="36" ht="17.25" customHeight="1">
      <c r="A36" s="104"/>
      <c r="B36" s="117" t="s">
        <v>78</v>
      </c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49"/>
      <c r="AB36" s="50"/>
      <c r="AC36" s="50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</row>
    <row r="37" ht="17.25" customHeight="1">
      <c r="A37" s="104"/>
      <c r="B37" s="117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49"/>
      <c r="AB37" s="50"/>
      <c r="AC37" s="50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</row>
    <row r="38" ht="17.2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49"/>
      <c r="AB38" s="50"/>
      <c r="AC38" s="50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</row>
    <row r="39" ht="22.5" customHeight="1">
      <c r="A39" s="96" t="s">
        <v>79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</row>
    <row r="40" ht="22.5" customHeight="1" outlineLevel="1">
      <c r="A40" s="65" t="s">
        <v>80</v>
      </c>
      <c r="B40" s="119"/>
      <c r="C40" s="120"/>
      <c r="D40" s="120"/>
      <c r="E40" s="120"/>
      <c r="F40" s="68">
        <v>24.0</v>
      </c>
      <c r="G40" s="56"/>
      <c r="H40" s="93"/>
      <c r="I40" s="121">
        <f>J40*O40-N40</f>
        <v>17284.09091</v>
      </c>
      <c r="J40" s="122">
        <v>32000.0</v>
      </c>
      <c r="K40" s="123">
        <f t="shared" ref="K40:K41" si="16">1-L40</f>
        <v>0.9</v>
      </c>
      <c r="L40" s="120">
        <f t="shared" ref="L40:L41" si="17">4%+6%</f>
        <v>0.1</v>
      </c>
      <c r="M40" s="69"/>
      <c r="N40" s="122">
        <f>'Customer Journey Map и процесс '!C22</f>
        <v>14715.90909</v>
      </c>
      <c r="O40" s="97">
        <v>1.0</v>
      </c>
      <c r="P40" s="58"/>
      <c r="Q40" s="58"/>
      <c r="R40" s="47"/>
      <c r="S40" s="124"/>
      <c r="T40" s="125"/>
      <c r="U40" s="60"/>
      <c r="V40" s="47"/>
      <c r="W40" s="74"/>
      <c r="X40" s="74"/>
      <c r="Y40" s="74"/>
      <c r="Z40" s="74">
        <f>F40*I40</f>
        <v>414818.1818</v>
      </c>
      <c r="AA40" s="74"/>
      <c r="AB40" s="64"/>
      <c r="AC40" s="64"/>
      <c r="AD40" s="50"/>
      <c r="AE40" s="50"/>
      <c r="AF40" s="50"/>
      <c r="AG40" s="50"/>
      <c r="AH40" s="50"/>
      <c r="AI40" s="50"/>
      <c r="AJ40" s="50"/>
      <c r="AK40" s="50"/>
      <c r="AL40" s="50"/>
      <c r="AM40" s="50"/>
    </row>
    <row r="41" ht="22.5" customHeight="1" outlineLevel="1">
      <c r="A41" s="65" t="s">
        <v>81</v>
      </c>
      <c r="B41" s="54"/>
      <c r="C41" s="54"/>
      <c r="D41" s="54"/>
      <c r="E41" s="54"/>
      <c r="F41" s="68">
        <f>F40-F42</f>
        <v>21</v>
      </c>
      <c r="G41" s="54"/>
      <c r="H41" s="71"/>
      <c r="I41" s="71">
        <f>J41*L41*O41</f>
        <v>3200</v>
      </c>
      <c r="J41" s="69">
        <v>32000.0</v>
      </c>
      <c r="K41" s="54">
        <f t="shared" si="16"/>
        <v>0.9</v>
      </c>
      <c r="L41" s="54">
        <f t="shared" si="17"/>
        <v>0.1</v>
      </c>
      <c r="M41" s="44"/>
      <c r="N41" s="44"/>
      <c r="O41" s="126">
        <v>1.0</v>
      </c>
      <c r="P41" s="64"/>
      <c r="Q41" s="64"/>
      <c r="R41" s="47"/>
      <c r="S41" s="49"/>
      <c r="T41" s="49"/>
      <c r="U41" s="89"/>
      <c r="V41" s="47"/>
      <c r="W41" s="49"/>
      <c r="X41" s="49"/>
      <c r="Y41" s="49"/>
      <c r="Z41" s="64">
        <f>I41*F41</f>
        <v>67200</v>
      </c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</row>
    <row r="42" ht="22.5" customHeight="1" outlineLevel="1">
      <c r="A42" s="65" t="s">
        <v>82</v>
      </c>
      <c r="B42" s="54"/>
      <c r="C42" s="54"/>
      <c r="D42" s="54"/>
      <c r="E42" s="54"/>
      <c r="F42" s="68">
        <v>3.0</v>
      </c>
      <c r="G42" s="54"/>
      <c r="H42" s="54"/>
      <c r="I42" s="54"/>
      <c r="J42" s="54"/>
      <c r="K42" s="43"/>
      <c r="L42" s="43"/>
      <c r="M42" s="44"/>
      <c r="N42" s="44"/>
      <c r="O42" s="127"/>
      <c r="P42" s="64"/>
      <c r="Q42" s="64"/>
      <c r="R42" s="47"/>
      <c r="S42" s="49"/>
      <c r="T42" s="49"/>
      <c r="U42" s="89"/>
      <c r="V42" s="47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</row>
    <row r="43" ht="22.5" customHeight="1" outlineLevel="1">
      <c r="A43" s="82"/>
      <c r="B43" s="76"/>
      <c r="C43" s="53"/>
      <c r="D43" s="53"/>
      <c r="E43" s="53"/>
      <c r="F43" s="55"/>
      <c r="G43" s="55"/>
      <c r="H43" s="64"/>
      <c r="I43" s="64"/>
      <c r="J43" s="49"/>
      <c r="K43" s="43"/>
      <c r="L43" s="43"/>
      <c r="M43" s="44"/>
      <c r="N43" s="44"/>
      <c r="O43" s="127"/>
      <c r="P43" s="64"/>
      <c r="Q43" s="64"/>
      <c r="R43" s="47"/>
      <c r="S43" s="49"/>
      <c r="T43" s="49"/>
      <c r="U43" s="89"/>
      <c r="V43" s="47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</row>
    <row r="44" ht="22.5" customHeight="1" outlineLevel="1">
      <c r="A44" s="77" t="s">
        <v>58</v>
      </c>
      <c r="B44" s="78"/>
      <c r="C44" s="56"/>
      <c r="D44" s="56"/>
      <c r="E44" s="56"/>
      <c r="F44" s="128"/>
      <c r="G44" s="129"/>
      <c r="H44" s="128"/>
      <c r="I44" s="128"/>
      <c r="J44" s="128"/>
      <c r="K44" s="128"/>
      <c r="L44" s="128"/>
      <c r="M44" s="128"/>
      <c r="N44" s="128"/>
      <c r="O44" s="128"/>
      <c r="P44" s="58"/>
      <c r="Q44" s="58"/>
      <c r="R44" s="47"/>
      <c r="S44" s="59"/>
      <c r="T44" s="80"/>
      <c r="U44" s="56"/>
      <c r="V44" s="78"/>
      <c r="W44" s="61"/>
      <c r="X44" s="61"/>
      <c r="Y44" s="47"/>
      <c r="Z44" s="91">
        <v>1000000.0</v>
      </c>
      <c r="AA44" s="61"/>
      <c r="AB44" s="47"/>
      <c r="AC44" s="47"/>
      <c r="AD44" s="50"/>
      <c r="AE44" s="50"/>
      <c r="AF44" s="50"/>
      <c r="AG44" s="50"/>
      <c r="AH44" s="50"/>
      <c r="AI44" s="50"/>
      <c r="AJ44" s="50"/>
      <c r="AK44" s="50"/>
      <c r="AL44" s="50"/>
      <c r="AM44" s="50"/>
    </row>
    <row r="45" ht="22.5" customHeight="1" outlineLevel="1">
      <c r="A45" s="82" t="s">
        <v>83</v>
      </c>
      <c r="B45" s="55"/>
      <c r="C45" s="53"/>
      <c r="D45" s="53"/>
      <c r="E45" s="43"/>
      <c r="F45" s="90">
        <f>'Customer Journey Map и процесс '!F46</f>
        <v>27.37777778</v>
      </c>
      <c r="G45" s="90"/>
      <c r="H45" s="42"/>
      <c r="I45" s="42"/>
      <c r="J45" s="42"/>
      <c r="K45" s="128"/>
      <c r="L45" s="128"/>
      <c r="M45" s="57"/>
      <c r="N45" s="57"/>
      <c r="O45" s="126"/>
      <c r="P45" s="64"/>
      <c r="Q45" s="64"/>
      <c r="R45" s="47"/>
      <c r="S45" s="49"/>
      <c r="T45" s="49"/>
      <c r="U45" s="89"/>
      <c r="V45" s="47"/>
      <c r="W45" s="49"/>
      <c r="X45" s="49"/>
      <c r="Y45" s="49"/>
      <c r="Z45" s="64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</row>
    <row r="46" ht="22.5" customHeight="1" outlineLevel="1">
      <c r="A46" s="65" t="s">
        <v>84</v>
      </c>
      <c r="B46" s="68">
        <v>150.0</v>
      </c>
      <c r="C46" s="53"/>
      <c r="D46" s="53"/>
      <c r="E46" s="98">
        <v>0.15</v>
      </c>
      <c r="F46" s="68">
        <f>E46*B46</f>
        <v>22.5</v>
      </c>
      <c r="G46" s="130"/>
      <c r="H46" s="42"/>
      <c r="I46" s="102">
        <f>J46*O46-N46</f>
        <v>63563.31169</v>
      </c>
      <c r="J46" s="102">
        <v>80000.0</v>
      </c>
      <c r="K46" s="131"/>
      <c r="L46" s="131"/>
      <c r="M46" s="122"/>
      <c r="N46" s="122">
        <f>'Customer Journey Map и процесс '!C46</f>
        <v>16436.68831</v>
      </c>
      <c r="O46" s="126">
        <v>1.0</v>
      </c>
      <c r="P46" s="64"/>
      <c r="Q46" s="64"/>
      <c r="R46" s="47"/>
      <c r="S46" s="49"/>
      <c r="T46" s="49"/>
      <c r="U46" s="89"/>
      <c r="V46" s="47"/>
      <c r="W46" s="49"/>
      <c r="X46" s="49"/>
      <c r="Y46" s="49"/>
      <c r="Z46" s="91">
        <f>F46*I46</f>
        <v>1430174.513</v>
      </c>
      <c r="AA46" s="49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</row>
    <row r="47" ht="22.5" customHeight="1" outlineLevel="1">
      <c r="A47" s="65" t="s">
        <v>85</v>
      </c>
      <c r="B47" s="76"/>
      <c r="C47" s="53"/>
      <c r="D47" s="53"/>
      <c r="E47" s="53"/>
      <c r="F47" s="68">
        <f>F15</f>
        <v>50</v>
      </c>
      <c r="G47" s="55"/>
      <c r="H47" s="71"/>
      <c r="I47" s="71">
        <f t="shared" ref="I47:I48" si="18">J47*L47*O47</f>
        <v>32000</v>
      </c>
      <c r="J47" s="102">
        <f>J40</f>
        <v>32000</v>
      </c>
      <c r="K47" s="44"/>
      <c r="L47" s="44">
        <v>1.0</v>
      </c>
      <c r="M47" s="88"/>
      <c r="N47" s="88"/>
      <c r="O47" s="40">
        <v>1.0</v>
      </c>
      <c r="P47" s="61"/>
      <c r="Q47" s="61"/>
      <c r="R47" s="47"/>
      <c r="S47" s="80"/>
      <c r="T47" s="80"/>
      <c r="U47" s="89"/>
      <c r="V47" s="47"/>
      <c r="W47" s="61"/>
      <c r="X47" s="61"/>
      <c r="Y47" s="61"/>
      <c r="Z47" s="64">
        <f t="shared" ref="Z47:Z48" si="19">I47*F47</f>
        <v>1600000</v>
      </c>
      <c r="AA47" s="49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</row>
    <row r="48" ht="22.5" customHeight="1" outlineLevel="1">
      <c r="A48" s="65" t="s">
        <v>86</v>
      </c>
      <c r="B48" s="47"/>
      <c r="C48" s="47"/>
      <c r="D48" s="47"/>
      <c r="E48" s="47"/>
      <c r="F48" s="68">
        <v>3.0</v>
      </c>
      <c r="G48" s="90"/>
      <c r="H48" s="71"/>
      <c r="I48" s="71">
        <f t="shared" si="18"/>
        <v>3200</v>
      </c>
      <c r="J48" s="42">
        <v>3200.0</v>
      </c>
      <c r="K48" s="44"/>
      <c r="L48" s="44">
        <v>1.0</v>
      </c>
      <c r="M48" s="88"/>
      <c r="N48" s="88"/>
      <c r="O48" s="40">
        <v>1.0</v>
      </c>
      <c r="P48" s="58"/>
      <c r="Q48" s="58"/>
      <c r="R48" s="78"/>
      <c r="S48" s="59"/>
      <c r="T48" s="60"/>
      <c r="U48" s="56"/>
      <c r="V48" s="78"/>
      <c r="W48" s="61"/>
      <c r="X48" s="61"/>
      <c r="Y48" s="59"/>
      <c r="Z48" s="64">
        <f t="shared" si="19"/>
        <v>9600</v>
      </c>
      <c r="AA48" s="49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</row>
    <row r="49" ht="22.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49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</row>
    <row r="50" ht="22.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49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</row>
    <row r="51" ht="17.25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49"/>
      <c r="AB51" s="50"/>
      <c r="AC51" s="50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</row>
    <row r="52" ht="17.25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49"/>
      <c r="AB52" s="50"/>
      <c r="AC52" s="50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</row>
    <row r="53" ht="17.2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49"/>
      <c r="AB53" s="50"/>
      <c r="AC53" s="50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</row>
    <row r="54" ht="17.2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49"/>
      <c r="AB54" s="50"/>
      <c r="AC54" s="50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</row>
    <row r="55" ht="17.25" customHeight="1">
      <c r="A55" s="104"/>
      <c r="B55" s="104"/>
      <c r="C55" s="104"/>
      <c r="D55" s="104"/>
      <c r="E55" s="132">
        <v>0.5</v>
      </c>
      <c r="F55" s="133">
        <v>1000.0</v>
      </c>
      <c r="G55" s="104"/>
      <c r="H55" s="134"/>
      <c r="I55" s="135">
        <f t="shared" ref="I55:I56" si="20">J55*L55*O55</f>
        <v>875</v>
      </c>
      <c r="J55" s="135">
        <v>350.0</v>
      </c>
      <c r="K55" s="132"/>
      <c r="L55" s="132">
        <v>0.5</v>
      </c>
      <c r="M55" s="106"/>
      <c r="N55" s="106"/>
      <c r="O55" s="106">
        <v>5.0</v>
      </c>
      <c r="P55" s="106"/>
      <c r="Q55" s="106"/>
      <c r="R55" s="106"/>
      <c r="S55" s="106"/>
      <c r="T55" s="135">
        <f t="shared" ref="T55:T56" si="21">E55*I55</f>
        <v>437.5</v>
      </c>
      <c r="U55" s="106"/>
      <c r="V55" s="106"/>
      <c r="W55" s="106"/>
      <c r="X55" s="106"/>
      <c r="Y55" s="106"/>
      <c r="Z55" s="106"/>
      <c r="AA55" s="49"/>
      <c r="AB55" s="50"/>
      <c r="AC55" s="50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</row>
    <row r="56" ht="17.25" customHeight="1">
      <c r="A56" s="104"/>
      <c r="B56" s="104"/>
      <c r="C56" s="104"/>
      <c r="D56" s="104"/>
      <c r="E56" s="132">
        <v>0.5</v>
      </c>
      <c r="F56" s="133">
        <v>1000.0</v>
      </c>
      <c r="G56" s="104"/>
      <c r="H56" s="134"/>
      <c r="I56" s="135">
        <f t="shared" si="20"/>
        <v>1750</v>
      </c>
      <c r="J56" s="135">
        <v>350.0</v>
      </c>
      <c r="K56" s="132"/>
      <c r="L56" s="132">
        <v>0.5</v>
      </c>
      <c r="M56" s="106"/>
      <c r="N56" s="106"/>
      <c r="O56" s="106">
        <v>10.0</v>
      </c>
      <c r="P56" s="106"/>
      <c r="Q56" s="106"/>
      <c r="R56" s="106"/>
      <c r="S56" s="106"/>
      <c r="T56" s="135">
        <f t="shared" si="21"/>
        <v>875</v>
      </c>
      <c r="U56" s="106"/>
      <c r="V56" s="106"/>
      <c r="W56" s="106"/>
      <c r="X56" s="106"/>
      <c r="Y56" s="106"/>
      <c r="Z56" s="106"/>
      <c r="AA56" s="49"/>
      <c r="AB56" s="50"/>
      <c r="AC56" s="50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</row>
    <row r="57" ht="17.25" customHeight="1">
      <c r="A57" s="96"/>
      <c r="B57" s="136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49"/>
      <c r="AB57" s="50"/>
      <c r="AC57" s="50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</row>
    <row r="58" ht="17.25" customHeight="1">
      <c r="A58" s="137"/>
      <c r="B58" s="76"/>
      <c r="C58" s="53"/>
      <c r="D58" s="53"/>
      <c r="E58" s="54"/>
      <c r="F58" s="55"/>
      <c r="G58" s="55"/>
      <c r="H58" s="64"/>
      <c r="I58" s="64"/>
      <c r="J58" s="49"/>
      <c r="K58" s="43"/>
      <c r="L58" s="43"/>
      <c r="M58" s="44"/>
      <c r="N58" s="44"/>
      <c r="O58" s="127"/>
      <c r="P58" s="64"/>
      <c r="Q58" s="64"/>
      <c r="R58" s="104"/>
      <c r="S58" s="49"/>
      <c r="T58" s="49"/>
      <c r="U58" s="89"/>
      <c r="V58" s="47"/>
      <c r="W58" s="49"/>
      <c r="X58" s="49"/>
      <c r="Y58" s="49"/>
      <c r="Z58" s="49"/>
      <c r="AA58" s="49"/>
      <c r="AB58" s="50"/>
      <c r="AC58" s="50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</row>
    <row r="59" ht="17.25" customHeight="1">
      <c r="A59" s="137"/>
      <c r="B59" s="76"/>
      <c r="C59" s="53"/>
      <c r="D59" s="53"/>
      <c r="E59" s="53"/>
      <c r="F59" s="90"/>
      <c r="G59" s="55"/>
      <c r="H59" s="64"/>
      <c r="I59" s="64"/>
      <c r="J59" s="49"/>
      <c r="K59" s="43"/>
      <c r="L59" s="43"/>
      <c r="M59" s="44"/>
      <c r="N59" s="44"/>
      <c r="O59" s="127"/>
      <c r="P59" s="64"/>
      <c r="Q59" s="64"/>
      <c r="R59" s="104"/>
      <c r="S59" s="49"/>
      <c r="T59" s="49"/>
      <c r="U59" s="89"/>
      <c r="V59" s="47"/>
      <c r="W59" s="49"/>
      <c r="X59" s="49"/>
      <c r="Y59" s="49"/>
      <c r="Z59" s="49"/>
      <c r="AA59" s="49"/>
      <c r="AB59" s="50"/>
      <c r="AC59" s="50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</row>
    <row r="60" ht="17.25" customHeight="1">
      <c r="A60" s="96"/>
      <c r="B60" s="76"/>
      <c r="C60" s="53"/>
      <c r="D60" s="53"/>
      <c r="E60" s="53"/>
      <c r="F60" s="90"/>
      <c r="G60" s="55"/>
      <c r="H60" s="64"/>
      <c r="I60" s="64"/>
      <c r="J60" s="49"/>
      <c r="K60" s="43"/>
      <c r="L60" s="43"/>
      <c r="M60" s="44"/>
      <c r="N60" s="44"/>
      <c r="O60" s="127"/>
      <c r="P60" s="64"/>
      <c r="Q60" s="64"/>
      <c r="R60" s="104"/>
      <c r="S60" s="49"/>
      <c r="T60" s="49"/>
      <c r="U60" s="89"/>
      <c r="V60" s="47"/>
      <c r="W60" s="49"/>
      <c r="X60" s="49"/>
      <c r="Y60" s="49"/>
      <c r="Z60" s="49"/>
      <c r="AA60" s="49"/>
      <c r="AB60" s="50"/>
      <c r="AC60" s="50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</row>
    <row r="61" ht="17.25" customHeight="1">
      <c r="A61" s="96"/>
      <c r="B61" s="76"/>
      <c r="C61" s="53"/>
      <c r="D61" s="53"/>
      <c r="E61" s="53"/>
      <c r="F61" s="90"/>
      <c r="G61" s="55"/>
      <c r="H61" s="64"/>
      <c r="I61" s="64"/>
      <c r="J61" s="49"/>
      <c r="K61" s="43"/>
      <c r="L61" s="43"/>
      <c r="M61" s="44"/>
      <c r="N61" s="44"/>
      <c r="O61" s="127"/>
      <c r="P61" s="64"/>
      <c r="Q61" s="64"/>
      <c r="R61" s="104"/>
      <c r="S61" s="49"/>
      <c r="T61" s="49"/>
      <c r="U61" s="89"/>
      <c r="V61" s="47"/>
      <c r="W61" s="49"/>
      <c r="X61" s="49"/>
      <c r="Y61" s="49"/>
      <c r="Z61" s="49"/>
      <c r="AA61" s="49"/>
      <c r="AB61" s="50"/>
      <c r="AC61" s="50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</row>
    <row r="62" ht="17.25" customHeight="1">
      <c r="A62" s="96"/>
      <c r="B62" s="76"/>
      <c r="C62" s="53"/>
      <c r="D62" s="53"/>
      <c r="E62" s="53"/>
      <c r="F62" s="90"/>
      <c r="G62" s="55"/>
      <c r="H62" s="64"/>
      <c r="I62" s="64"/>
      <c r="J62" s="49"/>
      <c r="K62" s="43"/>
      <c r="L62" s="43"/>
      <c r="M62" s="44"/>
      <c r="N62" s="44"/>
      <c r="O62" s="127"/>
      <c r="P62" s="64"/>
      <c r="Q62" s="64"/>
      <c r="R62" s="104"/>
      <c r="S62" s="49"/>
      <c r="T62" s="49"/>
      <c r="U62" s="89"/>
      <c r="V62" s="47"/>
      <c r="W62" s="49"/>
      <c r="X62" s="49"/>
      <c r="Y62" s="49"/>
      <c r="Z62" s="49"/>
      <c r="AA62" s="49"/>
      <c r="AB62" s="50"/>
      <c r="AC62" s="50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</row>
    <row r="63" ht="17.25" customHeight="1">
      <c r="A63" s="96"/>
      <c r="B63" s="76"/>
      <c r="C63" s="53"/>
      <c r="D63" s="53"/>
      <c r="F63" s="90"/>
      <c r="G63" s="53"/>
      <c r="H63" s="64"/>
      <c r="I63" s="64"/>
      <c r="J63" s="138"/>
      <c r="K63" s="43"/>
      <c r="L63" s="43"/>
      <c r="M63" s="44"/>
      <c r="N63" s="44"/>
      <c r="O63" s="127"/>
      <c r="P63" s="64"/>
      <c r="Q63" s="64"/>
      <c r="R63" s="104"/>
      <c r="S63" s="49"/>
      <c r="T63" s="49"/>
      <c r="U63" s="89"/>
      <c r="V63" s="47"/>
      <c r="W63" s="49"/>
      <c r="X63" s="49"/>
      <c r="Y63" s="49"/>
      <c r="Z63" s="49"/>
      <c r="AA63" s="49"/>
      <c r="AB63" s="50"/>
      <c r="AC63" s="50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</row>
    <row r="64">
      <c r="A64" s="139"/>
      <c r="B64" s="140"/>
      <c r="C64" s="132"/>
      <c r="D64" s="132"/>
      <c r="E64" s="132"/>
      <c r="F64" s="140"/>
      <c r="G64" s="104"/>
      <c r="H64" s="104"/>
      <c r="I64" s="104"/>
      <c r="J64" s="133"/>
      <c r="K64" s="104"/>
      <c r="L64" s="104"/>
      <c r="M64" s="104"/>
      <c r="N64" s="104"/>
      <c r="O64" s="104"/>
      <c r="P64" s="141"/>
      <c r="Q64" s="141"/>
      <c r="R64" s="104"/>
      <c r="S64" s="141"/>
      <c r="T64" s="104"/>
      <c r="U64" s="104"/>
      <c r="V64" s="104"/>
      <c r="W64" s="104"/>
      <c r="X64" s="104"/>
      <c r="Y64" s="104"/>
      <c r="Z64" s="104"/>
      <c r="AA64" s="142"/>
      <c r="AB64" s="140"/>
      <c r="AC64" s="140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</row>
    <row r="65">
      <c r="A65" s="143"/>
      <c r="B65" s="76"/>
      <c r="C65" s="53"/>
      <c r="D65" s="53"/>
      <c r="E65" s="53"/>
      <c r="F65" s="90"/>
      <c r="G65" s="55"/>
      <c r="H65" s="64"/>
      <c r="I65" s="64"/>
      <c r="J65" s="49"/>
      <c r="K65" s="43"/>
      <c r="L65" s="43"/>
      <c r="M65" s="44"/>
      <c r="N65" s="44"/>
      <c r="O65" s="127"/>
      <c r="P65" s="64"/>
      <c r="Q65" s="64"/>
      <c r="R65" s="104"/>
      <c r="S65" s="49"/>
      <c r="T65" s="49"/>
      <c r="U65" s="89"/>
      <c r="V65" s="47"/>
      <c r="W65" s="49"/>
      <c r="X65" s="49"/>
      <c r="Y65" s="49"/>
      <c r="Z65" s="49"/>
      <c r="AA65" s="49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</row>
    <row r="66">
      <c r="A66" s="133"/>
      <c r="B66" s="76"/>
      <c r="C66" s="53"/>
      <c r="D66" s="53"/>
      <c r="E66" s="53"/>
      <c r="F66" s="90"/>
      <c r="G66" s="55"/>
      <c r="H66" s="64"/>
      <c r="I66" s="64"/>
      <c r="J66" s="144"/>
      <c r="K66" s="43"/>
      <c r="L66" s="43"/>
      <c r="M66" s="44"/>
      <c r="N66" s="44"/>
      <c r="O66" s="127"/>
      <c r="P66" s="64"/>
      <c r="Q66" s="64"/>
      <c r="R66" s="104"/>
      <c r="S66" s="49"/>
      <c r="T66" s="49"/>
      <c r="U66" s="89"/>
      <c r="V66" s="47"/>
      <c r="W66" s="49"/>
      <c r="X66" s="49"/>
      <c r="Y66" s="49"/>
      <c r="Z66" s="49"/>
      <c r="AA66" s="49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</row>
    <row r="67">
      <c r="A67" s="133"/>
      <c r="B67" s="76"/>
      <c r="C67" s="53"/>
      <c r="D67" s="53"/>
      <c r="E67" s="53"/>
      <c r="F67" s="90"/>
      <c r="G67" s="55"/>
      <c r="H67" s="64"/>
      <c r="I67" s="64"/>
      <c r="J67" s="49"/>
      <c r="K67" s="43"/>
      <c r="L67" s="43"/>
      <c r="M67" s="44"/>
      <c r="N67" s="44"/>
      <c r="O67" s="127"/>
      <c r="P67" s="64"/>
      <c r="Q67" s="64"/>
      <c r="R67" s="104"/>
      <c r="S67" s="49"/>
      <c r="T67" s="49"/>
      <c r="U67" s="89"/>
      <c r="V67" s="47"/>
      <c r="W67" s="49"/>
      <c r="X67" s="49"/>
      <c r="Y67" s="49"/>
      <c r="Z67" s="49"/>
      <c r="AA67" s="49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</row>
    <row r="68">
      <c r="A68" s="133"/>
      <c r="B68" s="76"/>
      <c r="C68" s="53"/>
      <c r="D68" s="53"/>
      <c r="E68" s="53"/>
      <c r="F68" s="90"/>
      <c r="G68" s="55"/>
      <c r="H68" s="64"/>
      <c r="I68" s="64"/>
      <c r="J68" s="49"/>
      <c r="K68" s="43"/>
      <c r="L68" s="43"/>
      <c r="M68" s="44"/>
      <c r="N68" s="44"/>
      <c r="O68" s="127"/>
      <c r="P68" s="64"/>
      <c r="Q68" s="64"/>
      <c r="R68" s="104"/>
      <c r="S68" s="49"/>
      <c r="T68" s="49"/>
      <c r="U68" s="89"/>
      <c r="V68" s="47"/>
      <c r="W68" s="49"/>
      <c r="X68" s="49"/>
      <c r="Y68" s="49"/>
      <c r="Z68" s="49"/>
      <c r="AA68" s="49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</row>
    <row r="70">
      <c r="A70" s="133"/>
      <c r="B70" s="76"/>
      <c r="C70" s="53"/>
      <c r="D70" s="53"/>
      <c r="E70" s="53"/>
      <c r="F70" s="90"/>
      <c r="G70" s="55"/>
      <c r="H70" s="64"/>
      <c r="I70" s="64"/>
      <c r="J70" s="49"/>
      <c r="K70" s="43"/>
      <c r="L70" s="43"/>
      <c r="M70" s="44"/>
      <c r="N70" s="44"/>
      <c r="O70" s="127"/>
      <c r="P70" s="64"/>
      <c r="Q70" s="64"/>
      <c r="R70" s="104"/>
      <c r="S70" s="49"/>
      <c r="T70" s="49"/>
      <c r="U70" s="89"/>
      <c r="V70" s="88"/>
      <c r="W70" s="49"/>
      <c r="X70" s="49"/>
      <c r="Y70" s="49"/>
      <c r="Z70" s="49"/>
      <c r="AA70" s="49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</row>
    <row r="74" ht="17.25" customHeight="1">
      <c r="A74" s="145"/>
      <c r="B74" s="140"/>
      <c r="C74" s="146"/>
      <c r="D74" s="146"/>
      <c r="E74" s="146"/>
      <c r="F74" s="140"/>
      <c r="G74" s="140"/>
      <c r="H74" s="147"/>
      <c r="I74" s="147"/>
      <c r="J74" s="147"/>
      <c r="K74" s="132"/>
      <c r="L74" s="132"/>
      <c r="M74" s="104"/>
      <c r="N74" s="104"/>
      <c r="O74" s="133"/>
      <c r="P74" s="148"/>
      <c r="Q74" s="148"/>
      <c r="R74" s="104"/>
      <c r="S74" s="149"/>
      <c r="T74" s="149"/>
      <c r="U74" s="133"/>
      <c r="V74" s="133"/>
      <c r="W74" s="150"/>
      <c r="X74" s="150"/>
      <c r="Y74" s="150"/>
      <c r="Z74" s="151"/>
      <c r="AA74" s="152"/>
      <c r="AB74" s="50"/>
      <c r="AC74" s="50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</row>
    <row r="75" ht="17.25" customHeight="1">
      <c r="A75" s="145"/>
      <c r="B75" s="140"/>
      <c r="C75" s="146"/>
      <c r="D75" s="146"/>
      <c r="E75" s="146"/>
      <c r="F75" s="140"/>
      <c r="G75" s="140"/>
      <c r="H75" s="147"/>
      <c r="I75" s="147"/>
      <c r="J75" s="147"/>
      <c r="K75" s="132"/>
      <c r="L75" s="132"/>
      <c r="M75" s="104"/>
      <c r="N75" s="104"/>
      <c r="O75" s="133"/>
      <c r="P75" s="148"/>
      <c r="Q75" s="148"/>
      <c r="R75" s="104"/>
      <c r="S75" s="149"/>
      <c r="T75" s="149"/>
      <c r="U75" s="133"/>
      <c r="V75" s="133"/>
      <c r="W75" s="150"/>
      <c r="X75" s="150"/>
      <c r="Y75" s="150"/>
      <c r="Z75" s="151"/>
      <c r="AA75" s="152"/>
      <c r="AB75" s="50"/>
      <c r="AC75" s="50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</row>
    <row r="76" ht="17.25" customHeight="1">
      <c r="A76" s="145"/>
      <c r="B76" s="140"/>
      <c r="C76" s="146"/>
      <c r="D76" s="146"/>
      <c r="E76" s="146"/>
      <c r="F76" s="140"/>
      <c r="G76" s="140"/>
      <c r="H76" s="147"/>
      <c r="I76" s="147"/>
      <c r="J76" s="147"/>
      <c r="K76" s="132"/>
      <c r="L76" s="132"/>
      <c r="M76" s="104"/>
      <c r="N76" s="104"/>
      <c r="O76" s="133"/>
      <c r="P76" s="148"/>
      <c r="Q76" s="148"/>
      <c r="R76" s="104"/>
      <c r="S76" s="149"/>
      <c r="T76" s="149"/>
      <c r="U76" s="133"/>
      <c r="V76" s="133"/>
      <c r="W76" s="150"/>
      <c r="X76" s="150"/>
      <c r="Y76" s="150"/>
      <c r="Z76" s="151"/>
      <c r="AA76" s="152"/>
      <c r="AB76" s="50"/>
      <c r="AC76" s="50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</row>
    <row r="77" ht="17.25" customHeight="1">
      <c r="A77" s="145"/>
      <c r="B77" s="140"/>
      <c r="C77" s="146"/>
      <c r="D77" s="146"/>
      <c r="E77" s="146"/>
      <c r="F77" s="140"/>
      <c r="G77" s="140"/>
      <c r="H77" s="147"/>
      <c r="I77" s="147"/>
      <c r="J77" s="147"/>
      <c r="K77" s="132"/>
      <c r="L77" s="132"/>
      <c r="M77" s="104"/>
      <c r="N77" s="104"/>
      <c r="O77" s="133"/>
      <c r="P77" s="148"/>
      <c r="Q77" s="148"/>
      <c r="R77" s="104"/>
      <c r="S77" s="149"/>
      <c r="T77" s="149"/>
      <c r="U77" s="133"/>
      <c r="V77" s="133"/>
      <c r="W77" s="150"/>
      <c r="X77" s="150"/>
      <c r="Y77" s="150"/>
      <c r="Z77" s="151"/>
      <c r="AA77" s="152"/>
      <c r="AB77" s="50"/>
      <c r="AC77" s="50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</row>
    <row r="78" ht="17.25" customHeight="1">
      <c r="A78" s="145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50"/>
      <c r="AC78" s="50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</row>
    <row r="79" ht="17.25" customHeight="1">
      <c r="A79" s="145"/>
      <c r="B79" s="104"/>
      <c r="C79" s="153"/>
      <c r="D79" s="153"/>
      <c r="E79" s="153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50"/>
      <c r="AC79" s="50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</row>
    <row r="80" ht="17.25" customHeight="1">
      <c r="A80" s="145"/>
      <c r="B80" s="140"/>
      <c r="C80" s="146"/>
      <c r="D80" s="146"/>
      <c r="E80" s="146"/>
      <c r="F80" s="140"/>
      <c r="G80" s="154"/>
      <c r="H80" s="147"/>
      <c r="I80" s="147"/>
      <c r="J80" s="147"/>
      <c r="K80" s="132"/>
      <c r="L80" s="132"/>
      <c r="M80" s="104"/>
      <c r="N80" s="104"/>
      <c r="O80" s="155"/>
      <c r="P80" s="148"/>
      <c r="Q80" s="148"/>
      <c r="R80" s="104"/>
      <c r="S80" s="149"/>
      <c r="T80" s="149"/>
      <c r="U80" s="133"/>
      <c r="V80" s="133"/>
      <c r="W80" s="150"/>
      <c r="X80" s="150"/>
      <c r="Y80" s="156"/>
      <c r="Z80" s="156"/>
      <c r="AA80" s="152"/>
      <c r="AB80" s="50"/>
      <c r="AC80" s="50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</row>
    <row r="81" ht="17.25" customHeight="1">
      <c r="A81" s="145"/>
      <c r="B81" s="157"/>
      <c r="C81" s="146"/>
      <c r="D81" s="146"/>
      <c r="E81" s="146"/>
      <c r="F81" s="140"/>
      <c r="G81" s="140"/>
      <c r="H81" s="147"/>
      <c r="I81" s="147"/>
      <c r="J81" s="147"/>
      <c r="K81" s="132"/>
      <c r="L81" s="132"/>
      <c r="M81" s="104"/>
      <c r="N81" s="104"/>
      <c r="O81" s="133"/>
      <c r="P81" s="148"/>
      <c r="Q81" s="148"/>
      <c r="R81" s="104"/>
      <c r="S81" s="149"/>
      <c r="T81" s="149"/>
      <c r="U81" s="133"/>
      <c r="V81" s="133"/>
      <c r="W81" s="156"/>
      <c r="X81" s="156"/>
      <c r="Y81" s="156"/>
      <c r="Z81" s="156"/>
      <c r="AA81" s="156"/>
      <c r="AB81" s="50"/>
      <c r="AC81" s="50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</row>
    <row r="82" ht="17.25" customHeight="1">
      <c r="A82" s="145"/>
      <c r="B82" s="157"/>
      <c r="C82" s="146"/>
      <c r="D82" s="146"/>
      <c r="E82" s="146"/>
      <c r="F82" s="140"/>
      <c r="G82" s="140"/>
      <c r="H82" s="147"/>
      <c r="I82" s="147"/>
      <c r="J82" s="147"/>
      <c r="K82" s="132"/>
      <c r="L82" s="132"/>
      <c r="M82" s="104"/>
      <c r="N82" s="104"/>
      <c r="O82" s="133"/>
      <c r="P82" s="148"/>
      <c r="Q82" s="148"/>
      <c r="R82" s="104"/>
      <c r="S82" s="149"/>
      <c r="T82" s="149"/>
      <c r="U82" s="133"/>
      <c r="V82" s="133"/>
      <c r="W82" s="156"/>
      <c r="X82" s="156"/>
      <c r="Y82" s="156"/>
      <c r="Z82" s="156"/>
      <c r="AA82" s="156"/>
      <c r="AB82" s="50"/>
      <c r="AC82" s="50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</row>
    <row r="83" ht="17.25" customHeight="1">
      <c r="A83" s="145"/>
      <c r="B83" s="157"/>
      <c r="C83" s="146"/>
      <c r="D83" s="146"/>
      <c r="E83" s="146"/>
      <c r="F83" s="140"/>
      <c r="G83" s="140"/>
      <c r="H83" s="147"/>
      <c r="I83" s="147"/>
      <c r="J83" s="147"/>
      <c r="K83" s="132"/>
      <c r="L83" s="132"/>
      <c r="M83" s="104"/>
      <c r="N83" s="104"/>
      <c r="O83" s="133"/>
      <c r="P83" s="148"/>
      <c r="Q83" s="148"/>
      <c r="R83" s="104"/>
      <c r="S83" s="149"/>
      <c r="T83" s="149"/>
      <c r="U83" s="133"/>
      <c r="V83" s="133"/>
      <c r="W83" s="156"/>
      <c r="X83" s="156"/>
      <c r="Y83" s="156"/>
      <c r="Z83" s="156"/>
      <c r="AA83" s="156"/>
      <c r="AB83" s="50"/>
      <c r="AC83" s="50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</row>
    <row r="84" ht="17.25" customHeight="1">
      <c r="A84" s="145"/>
      <c r="B84" s="157"/>
      <c r="C84" s="146"/>
      <c r="D84" s="146"/>
      <c r="E84" s="146"/>
      <c r="F84" s="140"/>
      <c r="G84" s="140"/>
      <c r="H84" s="147"/>
      <c r="I84" s="147"/>
      <c r="J84" s="147"/>
      <c r="K84" s="132"/>
      <c r="L84" s="132"/>
      <c r="M84" s="104"/>
      <c r="N84" s="104"/>
      <c r="O84" s="133"/>
      <c r="P84" s="148"/>
      <c r="Q84" s="148"/>
      <c r="R84" s="104"/>
      <c r="S84" s="149"/>
      <c r="T84" s="149"/>
      <c r="U84" s="133"/>
      <c r="V84" s="133"/>
      <c r="W84" s="156"/>
      <c r="X84" s="156"/>
      <c r="Y84" s="156"/>
      <c r="Z84" s="156"/>
      <c r="AA84" s="156"/>
      <c r="AB84" s="50"/>
      <c r="AC84" s="50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</row>
    <row r="85" ht="17.25" customHeight="1">
      <c r="A85" s="158"/>
      <c r="B85" s="157"/>
      <c r="C85" s="146"/>
      <c r="D85" s="146"/>
      <c r="E85" s="146"/>
      <c r="F85" s="140"/>
      <c r="G85" s="140"/>
      <c r="H85" s="147"/>
      <c r="I85" s="147"/>
      <c r="J85" s="147"/>
      <c r="K85" s="132"/>
      <c r="L85" s="132"/>
      <c r="M85" s="104"/>
      <c r="N85" s="104"/>
      <c r="O85" s="133"/>
      <c r="P85" s="148"/>
      <c r="Q85" s="148"/>
      <c r="R85" s="104"/>
      <c r="S85" s="159"/>
      <c r="T85" s="149"/>
      <c r="U85" s="133"/>
      <c r="V85" s="133"/>
      <c r="W85" s="156"/>
      <c r="X85" s="156"/>
      <c r="Y85" s="156"/>
      <c r="Z85" s="156"/>
      <c r="AA85" s="156"/>
      <c r="AB85" s="50"/>
      <c r="AC85" s="50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47"/>
      <c r="K87" s="147"/>
      <c r="L87" s="147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</row>
    <row r="98">
      <c r="A98" s="139"/>
      <c r="B98" s="133"/>
      <c r="C98" s="160"/>
      <c r="D98" s="160"/>
      <c r="E98" s="160"/>
      <c r="F98" s="133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42"/>
      <c r="AB98" s="140"/>
      <c r="AC98" s="140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</row>
    <row r="99">
      <c r="A99" s="133"/>
      <c r="B99" s="133"/>
      <c r="C99" s="160"/>
      <c r="D99" s="160"/>
      <c r="E99" s="160"/>
      <c r="F99" s="133"/>
      <c r="G99" s="104"/>
      <c r="H99" s="142"/>
      <c r="I99" s="142"/>
      <c r="J99" s="142"/>
      <c r="K99" s="104"/>
      <c r="L99" s="104"/>
      <c r="M99" s="133"/>
      <c r="N99" s="133"/>
      <c r="O99" s="133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42"/>
      <c r="AA99" s="142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</row>
    <row r="100">
      <c r="A100" s="133"/>
      <c r="B100" s="133"/>
      <c r="C100" s="160"/>
      <c r="D100" s="160"/>
      <c r="E100" s="160"/>
      <c r="F100" s="133"/>
      <c r="G100" s="104"/>
      <c r="H100" s="142"/>
      <c r="I100" s="142"/>
      <c r="J100" s="142"/>
      <c r="K100" s="104"/>
      <c r="L100" s="104"/>
      <c r="M100" s="104"/>
      <c r="N100" s="104"/>
      <c r="O100" s="133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42"/>
      <c r="AA100" s="142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</row>
    <row r="101" ht="17.25" customHeight="1">
      <c r="A101" s="133"/>
      <c r="B101" s="133"/>
      <c r="C101" s="160"/>
      <c r="D101" s="160"/>
      <c r="E101" s="160"/>
      <c r="F101" s="133"/>
      <c r="G101" s="104"/>
      <c r="H101" s="142"/>
      <c r="I101" s="142"/>
      <c r="J101" s="142"/>
      <c r="K101" s="104"/>
      <c r="L101" s="104"/>
      <c r="M101" s="104"/>
      <c r="N101" s="104"/>
      <c r="O101" s="133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42"/>
      <c r="AA101" s="142"/>
      <c r="AB101" s="104"/>
      <c r="AC101" s="104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</row>
    <row r="102" ht="17.25" customHeight="1">
      <c r="A102" s="133"/>
      <c r="B102" s="104"/>
      <c r="C102" s="160"/>
      <c r="D102" s="160"/>
      <c r="E102" s="160"/>
      <c r="F102" s="104"/>
      <c r="G102" s="104"/>
      <c r="H102" s="142"/>
      <c r="I102" s="142"/>
      <c r="J102" s="142"/>
      <c r="K102" s="104"/>
      <c r="L102" s="104"/>
      <c r="M102" s="104"/>
      <c r="N102" s="104"/>
      <c r="O102" s="133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42"/>
      <c r="AA102" s="142"/>
      <c r="AB102" s="104"/>
      <c r="AC102" s="104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</row>
    <row r="103" ht="17.25" customHeight="1">
      <c r="A103" s="145"/>
      <c r="B103" s="140"/>
      <c r="C103" s="146"/>
      <c r="D103" s="146"/>
      <c r="E103" s="146"/>
      <c r="F103" s="140"/>
      <c r="G103" s="154"/>
      <c r="H103" s="147"/>
      <c r="I103" s="147"/>
      <c r="J103" s="147"/>
      <c r="K103" s="132"/>
      <c r="L103" s="132"/>
      <c r="M103" s="104"/>
      <c r="N103" s="104"/>
      <c r="O103" s="133"/>
      <c r="P103" s="161"/>
      <c r="Q103" s="161"/>
      <c r="R103" s="104"/>
      <c r="S103" s="149"/>
      <c r="T103" s="149"/>
      <c r="U103" s="133"/>
      <c r="V103" s="133"/>
      <c r="W103" s="150"/>
      <c r="X103" s="150"/>
      <c r="Y103" s="150"/>
      <c r="Z103" s="150"/>
      <c r="AA103" s="152"/>
      <c r="AB103" s="50"/>
      <c r="AC103" s="50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</row>
    <row r="104" ht="17.25" customHeight="1">
      <c r="A104" s="145"/>
      <c r="B104" s="140"/>
      <c r="C104" s="146"/>
      <c r="D104" s="146"/>
      <c r="E104" s="146"/>
      <c r="F104" s="140"/>
      <c r="G104" s="154"/>
      <c r="H104" s="147"/>
      <c r="I104" s="147"/>
      <c r="J104" s="147"/>
      <c r="K104" s="132"/>
      <c r="L104" s="132"/>
      <c r="M104" s="104"/>
      <c r="N104" s="104"/>
      <c r="O104" s="133"/>
      <c r="P104" s="162"/>
      <c r="Q104" s="162"/>
      <c r="R104" s="104"/>
      <c r="S104" s="149"/>
      <c r="T104" s="149"/>
      <c r="U104" s="133"/>
      <c r="V104" s="133"/>
      <c r="W104" s="150"/>
      <c r="X104" s="150"/>
      <c r="Y104" s="150"/>
      <c r="Z104" s="150"/>
      <c r="AA104" s="152"/>
      <c r="AB104" s="50"/>
      <c r="AC104" s="50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</row>
    <row r="105" ht="17.25" customHeight="1">
      <c r="A105" s="145"/>
      <c r="B105" s="140"/>
      <c r="C105" s="146"/>
      <c r="D105" s="146"/>
      <c r="E105" s="146"/>
      <c r="F105" s="140"/>
      <c r="G105" s="154"/>
      <c r="H105" s="147"/>
      <c r="I105" s="147"/>
      <c r="J105" s="147"/>
      <c r="K105" s="132"/>
      <c r="L105" s="132"/>
      <c r="M105" s="104"/>
      <c r="N105" s="104"/>
      <c r="O105" s="133"/>
      <c r="P105" s="148"/>
      <c r="Q105" s="148"/>
      <c r="R105" s="104"/>
      <c r="S105" s="149"/>
      <c r="T105" s="149"/>
      <c r="U105" s="133"/>
      <c r="V105" s="133"/>
      <c r="W105" s="150"/>
      <c r="X105" s="150"/>
      <c r="Y105" s="150"/>
      <c r="Z105" s="150"/>
      <c r="AA105" s="152"/>
      <c r="AB105" s="50"/>
      <c r="AC105" s="50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</row>
    <row r="106" ht="17.25" customHeight="1">
      <c r="A106" s="145"/>
      <c r="B106" s="140"/>
      <c r="C106" s="146"/>
      <c r="D106" s="146"/>
      <c r="E106" s="146"/>
      <c r="F106" s="140"/>
      <c r="G106" s="154"/>
      <c r="H106" s="147"/>
      <c r="I106" s="147"/>
      <c r="J106" s="147"/>
      <c r="K106" s="132"/>
      <c r="L106" s="132"/>
      <c r="M106" s="104"/>
      <c r="N106" s="104"/>
      <c r="O106" s="133"/>
      <c r="P106" s="148"/>
      <c r="Q106" s="148"/>
      <c r="R106" s="104"/>
      <c r="S106" s="149"/>
      <c r="T106" s="149"/>
      <c r="U106" s="133"/>
      <c r="V106" s="133"/>
      <c r="W106" s="150"/>
      <c r="X106" s="150"/>
      <c r="Y106" s="150"/>
      <c r="Z106" s="150"/>
      <c r="AA106" s="152"/>
      <c r="AB106" s="50"/>
      <c r="AC106" s="50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</row>
    <row r="107" ht="17.25" customHeight="1">
      <c r="A107" s="145"/>
      <c r="B107" s="140"/>
      <c r="C107" s="146"/>
      <c r="D107" s="146"/>
      <c r="E107" s="146"/>
      <c r="F107" s="140"/>
      <c r="G107" s="154"/>
      <c r="H107" s="147"/>
      <c r="I107" s="147"/>
      <c r="J107" s="147"/>
      <c r="K107" s="132"/>
      <c r="L107" s="132"/>
      <c r="M107" s="104"/>
      <c r="N107" s="104"/>
      <c r="O107" s="133"/>
      <c r="P107" s="148"/>
      <c r="Q107" s="148"/>
      <c r="R107" s="104"/>
      <c r="S107" s="149"/>
      <c r="T107" s="149"/>
      <c r="U107" s="133"/>
      <c r="V107" s="133"/>
      <c r="W107" s="150"/>
      <c r="X107" s="150"/>
      <c r="Y107" s="150"/>
      <c r="Z107" s="150"/>
      <c r="AA107" s="152"/>
      <c r="AB107" s="50"/>
      <c r="AC107" s="50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</row>
    <row r="108" ht="17.25" customHeight="1">
      <c r="A108" s="145"/>
      <c r="B108" s="140"/>
      <c r="C108" s="146"/>
      <c r="D108" s="146"/>
      <c r="E108" s="146"/>
      <c r="F108" s="140"/>
      <c r="G108" s="154"/>
      <c r="H108" s="147"/>
      <c r="I108" s="147"/>
      <c r="J108" s="147"/>
      <c r="K108" s="132"/>
      <c r="L108" s="132"/>
      <c r="M108" s="104"/>
      <c r="N108" s="104"/>
      <c r="O108" s="133"/>
      <c r="P108" s="148"/>
      <c r="Q108" s="148"/>
      <c r="R108" s="104"/>
      <c r="S108" s="149"/>
      <c r="T108" s="149"/>
      <c r="U108" s="133"/>
      <c r="V108" s="133"/>
      <c r="W108" s="150"/>
      <c r="X108" s="150"/>
      <c r="Y108" s="150"/>
      <c r="Z108" s="150"/>
      <c r="AA108" s="152"/>
      <c r="AB108" s="50"/>
      <c r="AC108" s="50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</row>
    <row r="109" ht="17.25" customHeight="1">
      <c r="A109" s="145"/>
      <c r="B109" s="140"/>
      <c r="C109" s="146"/>
      <c r="D109" s="146"/>
      <c r="E109" s="146"/>
      <c r="F109" s="140"/>
      <c r="G109" s="154"/>
      <c r="H109" s="147"/>
      <c r="I109" s="147"/>
      <c r="J109" s="147"/>
      <c r="K109" s="132"/>
      <c r="L109" s="132"/>
      <c r="M109" s="104"/>
      <c r="N109" s="104"/>
      <c r="O109" s="133"/>
      <c r="P109" s="148"/>
      <c r="Q109" s="148"/>
      <c r="R109" s="104"/>
      <c r="S109" s="149"/>
      <c r="T109" s="149"/>
      <c r="U109" s="133"/>
      <c r="V109" s="133"/>
      <c r="W109" s="150"/>
      <c r="X109" s="150"/>
      <c r="Y109" s="150"/>
      <c r="Z109" s="150"/>
      <c r="AA109" s="152"/>
      <c r="AB109" s="50"/>
      <c r="AC109" s="50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</row>
    <row r="110" ht="17.25" customHeight="1">
      <c r="A110" s="145"/>
      <c r="B110" s="140"/>
      <c r="C110" s="146"/>
      <c r="D110" s="146"/>
      <c r="E110" s="146"/>
      <c r="F110" s="140"/>
      <c r="G110" s="154"/>
      <c r="H110" s="147"/>
      <c r="I110" s="147"/>
      <c r="J110" s="147"/>
      <c r="K110" s="132"/>
      <c r="L110" s="132"/>
      <c r="M110" s="104"/>
      <c r="N110" s="104"/>
      <c r="O110" s="133"/>
      <c r="P110" s="148"/>
      <c r="Q110" s="148"/>
      <c r="R110" s="104"/>
      <c r="S110" s="149"/>
      <c r="T110" s="149"/>
      <c r="U110" s="133"/>
      <c r="V110" s="133"/>
      <c r="W110" s="150"/>
      <c r="X110" s="150"/>
      <c r="Y110" s="150"/>
      <c r="Z110" s="150"/>
      <c r="AA110" s="152"/>
      <c r="AB110" s="50"/>
      <c r="AC110" s="50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</row>
    <row r="111" ht="17.25" customHeight="1">
      <c r="A111" s="163"/>
      <c r="B111" s="164"/>
      <c r="C111" s="160"/>
      <c r="D111" s="160"/>
      <c r="E111" s="160"/>
      <c r="F111" s="153"/>
      <c r="G111" s="165"/>
      <c r="H111" s="166"/>
      <c r="I111" s="166"/>
      <c r="J111" s="166"/>
      <c r="K111" s="160"/>
      <c r="L111" s="160"/>
      <c r="M111" s="160"/>
      <c r="N111" s="160"/>
      <c r="O111" s="167"/>
      <c r="P111" s="166"/>
      <c r="Q111" s="166"/>
      <c r="R111" s="104"/>
      <c r="S111" s="166"/>
      <c r="T111" s="166"/>
      <c r="U111" s="168"/>
      <c r="V111" s="160"/>
      <c r="W111" s="166"/>
      <c r="X111" s="166"/>
      <c r="Y111" s="164"/>
      <c r="Z111" s="150"/>
      <c r="AA111" s="49"/>
      <c r="AB111" s="50"/>
      <c r="AC111" s="50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</row>
    <row r="112" ht="17.25" customHeight="1">
      <c r="A112" s="143"/>
      <c r="B112" s="140"/>
      <c r="C112" s="146"/>
      <c r="D112" s="146"/>
      <c r="E112" s="146"/>
      <c r="F112" s="140"/>
      <c r="G112" s="154"/>
      <c r="H112" s="147"/>
      <c r="I112" s="147"/>
      <c r="J112" s="147"/>
      <c r="K112" s="132"/>
      <c r="L112" s="132"/>
      <c r="M112" s="104"/>
      <c r="N112" s="104"/>
      <c r="O112" s="133"/>
      <c r="P112" s="148"/>
      <c r="Q112" s="148"/>
      <c r="R112" s="104"/>
      <c r="S112" s="149"/>
      <c r="T112" s="149"/>
      <c r="U112" s="133"/>
      <c r="V112" s="133"/>
      <c r="W112" s="150"/>
      <c r="X112" s="150"/>
      <c r="Y112" s="150"/>
      <c r="Z112" s="150"/>
      <c r="AA112" s="152"/>
      <c r="AB112" s="50"/>
      <c r="AC112" s="50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</row>
    <row r="113" ht="17.25" customHeight="1">
      <c r="A113" s="143"/>
      <c r="B113" s="140"/>
      <c r="C113" s="146"/>
      <c r="D113" s="146"/>
      <c r="E113" s="146"/>
      <c r="F113" s="140"/>
      <c r="G113" s="154"/>
      <c r="H113" s="147"/>
      <c r="I113" s="147"/>
      <c r="J113" s="147"/>
      <c r="K113" s="132"/>
      <c r="L113" s="132"/>
      <c r="M113" s="104"/>
      <c r="N113" s="104"/>
      <c r="O113" s="133"/>
      <c r="P113" s="148"/>
      <c r="Q113" s="148"/>
      <c r="R113" s="104"/>
      <c r="S113" s="149"/>
      <c r="T113" s="149"/>
      <c r="U113" s="133"/>
      <c r="V113" s="133"/>
      <c r="W113" s="150"/>
      <c r="X113" s="150"/>
      <c r="Y113" s="150"/>
      <c r="Z113" s="150"/>
      <c r="AA113" s="152"/>
      <c r="AB113" s="50"/>
      <c r="AC113" s="50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</row>
    <row r="114" ht="17.25" customHeight="1">
      <c r="A114" s="169"/>
      <c r="B114" s="140"/>
      <c r="C114" s="146"/>
      <c r="D114" s="146"/>
      <c r="E114" s="146"/>
      <c r="F114" s="140"/>
      <c r="G114" s="154"/>
      <c r="H114" s="147"/>
      <c r="I114" s="147"/>
      <c r="J114" s="147"/>
      <c r="K114" s="132"/>
      <c r="L114" s="132"/>
      <c r="M114" s="104"/>
      <c r="N114" s="104"/>
      <c r="O114" s="133"/>
      <c r="P114" s="148"/>
      <c r="Q114" s="148"/>
      <c r="R114" s="104"/>
      <c r="S114" s="149"/>
      <c r="T114" s="149"/>
      <c r="U114" s="133"/>
      <c r="V114" s="133"/>
      <c r="W114" s="150"/>
      <c r="X114" s="150"/>
      <c r="Y114" s="150"/>
      <c r="Z114" s="150"/>
      <c r="AA114" s="152"/>
      <c r="AB114" s="50"/>
      <c r="AC114" s="50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</row>
    <row r="115" ht="17.25" customHeight="1">
      <c r="A115" s="169"/>
      <c r="B115" s="104"/>
      <c r="C115" s="104"/>
      <c r="D115" s="104"/>
      <c r="E115" s="104"/>
      <c r="F115" s="140"/>
      <c r="G115" s="154"/>
      <c r="H115" s="147"/>
      <c r="I115" s="147"/>
      <c r="J115" s="147"/>
      <c r="K115" s="132"/>
      <c r="L115" s="132"/>
      <c r="M115" s="104"/>
      <c r="N115" s="104"/>
      <c r="O115" s="133"/>
      <c r="P115" s="148"/>
      <c r="Q115" s="148"/>
      <c r="R115" s="104"/>
      <c r="S115" s="149"/>
      <c r="T115" s="149"/>
      <c r="U115" s="133"/>
      <c r="V115" s="133"/>
      <c r="W115" s="150"/>
      <c r="X115" s="150"/>
      <c r="Y115" s="150"/>
      <c r="Z115" s="150"/>
      <c r="AA115" s="152"/>
      <c r="AB115" s="50"/>
      <c r="AC115" s="50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</row>
    <row r="116" ht="17.25" customHeight="1">
      <c r="A116" s="163"/>
      <c r="B116" s="164"/>
      <c r="C116" s="160"/>
      <c r="D116" s="160"/>
      <c r="E116" s="160"/>
      <c r="F116" s="153"/>
      <c r="G116" s="165"/>
      <c r="H116" s="166"/>
      <c r="I116" s="166"/>
      <c r="J116" s="166"/>
      <c r="K116" s="160"/>
      <c r="L116" s="160"/>
      <c r="M116" s="160"/>
      <c r="N116" s="160"/>
      <c r="O116" s="167"/>
      <c r="P116" s="166"/>
      <c r="Q116" s="166"/>
      <c r="R116" s="104"/>
      <c r="S116" s="166"/>
      <c r="T116" s="166"/>
      <c r="U116" s="168"/>
      <c r="V116" s="160"/>
      <c r="W116" s="166"/>
      <c r="X116" s="166"/>
      <c r="Y116" s="164"/>
      <c r="Z116" s="166"/>
      <c r="AA116" s="49"/>
      <c r="AB116" s="50"/>
      <c r="AC116" s="50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</row>
    <row r="117" ht="17.25" customHeight="1">
      <c r="A117" s="163"/>
      <c r="B117" s="164"/>
      <c r="C117" s="160"/>
      <c r="D117" s="160"/>
      <c r="E117" s="160"/>
      <c r="F117" s="153"/>
      <c r="G117" s="165"/>
      <c r="H117" s="166"/>
      <c r="I117" s="166"/>
      <c r="J117" s="166"/>
      <c r="K117" s="160"/>
      <c r="L117" s="160"/>
      <c r="M117" s="160"/>
      <c r="N117" s="160"/>
      <c r="O117" s="167"/>
      <c r="P117" s="166"/>
      <c r="Q117" s="166"/>
      <c r="R117" s="104"/>
      <c r="S117" s="166"/>
      <c r="T117" s="166"/>
      <c r="U117" s="168"/>
      <c r="V117" s="160"/>
      <c r="W117" s="166"/>
      <c r="X117" s="166"/>
      <c r="Y117" s="164"/>
      <c r="Z117" s="166"/>
      <c r="AA117" s="49"/>
      <c r="AB117" s="50"/>
      <c r="AC117" s="50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</row>
    <row r="118" ht="17.25" customHeight="1">
      <c r="A118" s="170"/>
      <c r="B118" s="171"/>
      <c r="C118" s="172"/>
      <c r="D118" s="172"/>
      <c r="E118" s="172"/>
      <c r="F118" s="173"/>
      <c r="G118" s="104"/>
      <c r="H118" s="174"/>
      <c r="I118" s="174"/>
      <c r="J118" s="174"/>
      <c r="K118" s="175"/>
      <c r="L118" s="175"/>
      <c r="M118" s="160"/>
      <c r="N118" s="160"/>
      <c r="O118" s="176"/>
      <c r="P118" s="166"/>
      <c r="Q118" s="166"/>
      <c r="R118" s="104"/>
      <c r="S118" s="174"/>
      <c r="T118" s="148"/>
      <c r="U118" s="168"/>
      <c r="V118" s="160"/>
      <c r="W118" s="150"/>
      <c r="X118" s="150"/>
      <c r="Y118" s="150"/>
      <c r="Z118" s="150"/>
      <c r="AA118" s="151"/>
      <c r="AB118" s="50"/>
      <c r="AC118" s="50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</row>
    <row r="119" ht="17.25" customHeight="1">
      <c r="A119" s="170"/>
      <c r="B119" s="168"/>
      <c r="C119" s="153"/>
      <c r="D119" s="153"/>
      <c r="E119" s="153"/>
      <c r="F119" s="176"/>
      <c r="G119" s="104"/>
      <c r="H119" s="174"/>
      <c r="I119" s="174"/>
      <c r="J119" s="174"/>
      <c r="K119" s="175"/>
      <c r="L119" s="175"/>
      <c r="M119" s="160"/>
      <c r="N119" s="160"/>
      <c r="O119" s="176"/>
      <c r="P119" s="166"/>
      <c r="Q119" s="166"/>
      <c r="R119" s="104"/>
      <c r="S119" s="166"/>
      <c r="T119" s="166"/>
      <c r="U119" s="168"/>
      <c r="V119" s="160"/>
      <c r="W119" s="150"/>
      <c r="X119" s="150"/>
      <c r="Y119" s="150"/>
      <c r="Z119" s="150"/>
      <c r="AA119" s="150"/>
      <c r="AB119" s="50"/>
      <c r="AC119" s="50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</row>
    <row r="120" ht="17.25" customHeight="1">
      <c r="A120" s="170"/>
      <c r="B120" s="168"/>
      <c r="C120" s="153"/>
      <c r="D120" s="153"/>
      <c r="E120" s="153"/>
      <c r="F120" s="177"/>
      <c r="G120" s="104"/>
      <c r="H120" s="174"/>
      <c r="I120" s="174"/>
      <c r="J120" s="147"/>
      <c r="K120" s="175"/>
      <c r="L120" s="175"/>
      <c r="M120" s="160"/>
      <c r="N120" s="160"/>
      <c r="O120" s="176"/>
      <c r="P120" s="166"/>
      <c r="Q120" s="166"/>
      <c r="R120" s="104"/>
      <c r="S120" s="166"/>
      <c r="T120" s="166"/>
      <c r="U120" s="168"/>
      <c r="V120" s="160"/>
      <c r="W120" s="150"/>
      <c r="X120" s="150"/>
      <c r="Y120" s="150"/>
      <c r="Z120" s="150"/>
      <c r="AA120" s="150"/>
      <c r="AB120" s="50"/>
      <c r="AC120" s="50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</row>
    <row r="121" ht="17.25" customHeight="1">
      <c r="A121" s="168"/>
      <c r="B121" s="168"/>
      <c r="C121" s="153"/>
      <c r="D121" s="153"/>
      <c r="E121" s="153"/>
      <c r="F121" s="165"/>
      <c r="G121" s="104"/>
      <c r="H121" s="166"/>
      <c r="I121" s="166"/>
      <c r="J121" s="166"/>
      <c r="K121" s="160"/>
      <c r="L121" s="160"/>
      <c r="M121" s="160"/>
      <c r="N121" s="160"/>
      <c r="O121" s="167"/>
      <c r="P121" s="166"/>
      <c r="Q121" s="166"/>
      <c r="R121" s="104"/>
      <c r="S121" s="166"/>
      <c r="T121" s="166"/>
      <c r="U121" s="168"/>
      <c r="V121" s="160"/>
      <c r="W121" s="150"/>
      <c r="X121" s="150"/>
      <c r="Y121" s="166"/>
      <c r="Z121" s="166"/>
      <c r="AA121" s="49"/>
      <c r="AB121" s="50"/>
      <c r="AC121" s="50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</row>
    <row r="122" ht="17.25" customHeight="1">
      <c r="A122" s="178"/>
      <c r="B122" s="168"/>
      <c r="C122" s="179"/>
      <c r="D122" s="179"/>
      <c r="E122" s="179"/>
      <c r="F122" s="165"/>
      <c r="G122" s="104"/>
      <c r="H122" s="147"/>
      <c r="I122" s="147"/>
      <c r="J122" s="166"/>
      <c r="K122" s="160"/>
      <c r="L122" s="160"/>
      <c r="M122" s="160"/>
      <c r="N122" s="160"/>
      <c r="O122" s="167"/>
      <c r="P122" s="166"/>
      <c r="Q122" s="166"/>
      <c r="R122" s="104"/>
      <c r="S122" s="166"/>
      <c r="T122" s="174"/>
      <c r="U122" s="168"/>
      <c r="V122" s="160"/>
      <c r="W122" s="166"/>
      <c r="X122" s="166"/>
      <c r="Y122" s="164"/>
      <c r="Z122" s="148"/>
      <c r="AA122" s="49"/>
      <c r="AB122" s="50"/>
      <c r="AC122" s="50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</row>
    <row r="123" ht="17.25" customHeight="1">
      <c r="A123" s="178"/>
      <c r="B123" s="168"/>
      <c r="C123" s="179"/>
      <c r="D123" s="179"/>
      <c r="E123" s="179"/>
      <c r="F123" s="165"/>
      <c r="G123" s="104"/>
      <c r="H123" s="147"/>
      <c r="I123" s="147"/>
      <c r="J123" s="166"/>
      <c r="K123" s="160"/>
      <c r="L123" s="160"/>
      <c r="M123" s="160"/>
      <c r="N123" s="160"/>
      <c r="O123" s="167"/>
      <c r="P123" s="166"/>
      <c r="Q123" s="166"/>
      <c r="R123" s="104"/>
      <c r="S123" s="166"/>
      <c r="T123" s="174"/>
      <c r="U123" s="168"/>
      <c r="V123" s="160"/>
      <c r="W123" s="150"/>
      <c r="X123" s="150"/>
      <c r="Y123" s="164"/>
      <c r="Z123" s="148"/>
      <c r="AA123" s="49"/>
      <c r="AB123" s="50"/>
      <c r="AC123" s="50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</row>
    <row r="124" ht="17.25" customHeight="1">
      <c r="A124" s="168"/>
      <c r="B124" s="168"/>
      <c r="C124" s="153"/>
      <c r="D124" s="153"/>
      <c r="E124" s="153"/>
      <c r="F124" s="165"/>
      <c r="G124" s="104"/>
      <c r="H124" s="166"/>
      <c r="I124" s="166"/>
      <c r="J124" s="166"/>
      <c r="K124" s="160"/>
      <c r="L124" s="160"/>
      <c r="M124" s="160"/>
      <c r="N124" s="160"/>
      <c r="O124" s="167"/>
      <c r="P124" s="166"/>
      <c r="Q124" s="166"/>
      <c r="R124" s="104"/>
      <c r="S124" s="166"/>
      <c r="T124" s="166"/>
      <c r="U124" s="168"/>
      <c r="V124" s="160"/>
      <c r="W124" s="166"/>
      <c r="X124" s="166"/>
      <c r="Y124" s="164"/>
      <c r="Z124" s="162"/>
      <c r="AA124" s="49"/>
      <c r="AB124" s="50"/>
      <c r="AC124" s="50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</row>
    <row r="125" ht="17.25" customHeight="1">
      <c r="A125" s="180"/>
      <c r="B125" s="168"/>
      <c r="C125" s="153"/>
      <c r="D125" s="153"/>
      <c r="E125" s="153"/>
      <c r="F125" s="176"/>
      <c r="G125" s="104"/>
      <c r="H125" s="174"/>
      <c r="I125" s="174"/>
      <c r="J125" s="166"/>
      <c r="K125" s="160"/>
      <c r="L125" s="160"/>
      <c r="M125" s="160"/>
      <c r="N125" s="160"/>
      <c r="O125" s="167"/>
      <c r="P125" s="166"/>
      <c r="Q125" s="166"/>
      <c r="R125" s="104"/>
      <c r="S125" s="166"/>
      <c r="T125" s="166"/>
      <c r="U125" s="168"/>
      <c r="V125" s="160"/>
      <c r="W125" s="150"/>
      <c r="X125" s="150"/>
      <c r="Y125" s="171"/>
      <c r="Z125" s="148"/>
      <c r="AA125" s="49"/>
      <c r="AB125" s="50"/>
      <c r="AC125" s="50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</row>
    <row r="126" ht="17.25" customHeight="1">
      <c r="A126" s="181"/>
      <c r="B126" s="168"/>
      <c r="C126" s="153"/>
      <c r="D126" s="153"/>
      <c r="E126" s="153"/>
      <c r="F126" s="176"/>
      <c r="G126" s="166"/>
      <c r="H126" s="166"/>
      <c r="I126" s="166"/>
      <c r="J126" s="166"/>
      <c r="K126" s="160"/>
      <c r="L126" s="160"/>
      <c r="M126" s="167"/>
      <c r="N126" s="167"/>
      <c r="O126" s="104"/>
      <c r="P126" s="166"/>
      <c r="Q126" s="166"/>
      <c r="R126" s="104"/>
      <c r="S126" s="166"/>
      <c r="T126" s="166"/>
      <c r="U126" s="168"/>
      <c r="V126" s="160"/>
      <c r="W126" s="166"/>
      <c r="X126" s="166"/>
      <c r="Y126" s="166"/>
      <c r="Z126" s="166"/>
      <c r="AA126" s="49"/>
      <c r="AB126" s="50"/>
      <c r="AC126" s="50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</row>
    <row r="127" ht="17.25" customHeight="1">
      <c r="A127" s="182"/>
      <c r="B127" s="164"/>
      <c r="C127" s="153"/>
      <c r="D127" s="153"/>
      <c r="E127" s="153"/>
      <c r="F127" s="173"/>
      <c r="G127" s="166"/>
      <c r="H127" s="166"/>
      <c r="I127" s="166"/>
      <c r="J127" s="160"/>
      <c r="K127" s="160"/>
      <c r="L127" s="160"/>
      <c r="M127" s="167"/>
      <c r="N127" s="167"/>
      <c r="O127" s="104"/>
      <c r="P127" s="166"/>
      <c r="Q127" s="166"/>
      <c r="R127" s="104"/>
      <c r="S127" s="166"/>
      <c r="T127" s="166"/>
      <c r="U127" s="168"/>
      <c r="V127" s="160"/>
      <c r="W127" s="166"/>
      <c r="X127" s="166"/>
      <c r="Y127" s="164"/>
      <c r="Z127" s="166"/>
      <c r="AA127" s="49"/>
      <c r="AB127" s="50"/>
      <c r="AC127" s="50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</row>
    <row r="128" ht="17.25" customHeight="1">
      <c r="A128" s="96"/>
      <c r="B128" s="183"/>
      <c r="C128" s="53"/>
      <c r="D128" s="53"/>
      <c r="E128" s="53"/>
      <c r="F128" s="90"/>
      <c r="G128" s="55"/>
      <c r="H128" s="64"/>
      <c r="I128" s="64"/>
      <c r="J128" s="49"/>
      <c r="K128" s="43"/>
      <c r="L128" s="43"/>
      <c r="M128" s="44"/>
      <c r="N128" s="44"/>
      <c r="O128" s="127"/>
      <c r="P128" s="64"/>
      <c r="Q128" s="64"/>
      <c r="R128" s="104"/>
      <c r="S128" s="49"/>
      <c r="T128" s="49"/>
      <c r="U128" s="89"/>
      <c r="V128" s="47"/>
      <c r="W128" s="49"/>
      <c r="X128" s="49"/>
      <c r="Y128" s="49"/>
      <c r="Z128" s="49"/>
      <c r="AA128" s="49"/>
      <c r="AB128" s="50"/>
      <c r="AC128" s="50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</row>
    <row r="129" ht="17.25" customHeight="1">
      <c r="A129" s="96"/>
      <c r="B129" s="183"/>
      <c r="C129" s="53"/>
      <c r="D129" s="53"/>
      <c r="E129" s="53"/>
      <c r="F129" s="90"/>
      <c r="G129" s="55"/>
      <c r="H129" s="64"/>
      <c r="I129" s="64"/>
      <c r="J129" s="49"/>
      <c r="K129" s="43"/>
      <c r="L129" s="43"/>
      <c r="M129" s="44"/>
      <c r="N129" s="44"/>
      <c r="O129" s="127"/>
      <c r="P129" s="64"/>
      <c r="Q129" s="64"/>
      <c r="R129" s="104"/>
      <c r="S129" s="49"/>
      <c r="T129" s="49"/>
      <c r="U129" s="89"/>
      <c r="V129" s="47"/>
      <c r="W129" s="49"/>
      <c r="X129" s="49"/>
      <c r="Y129" s="49"/>
      <c r="Z129" s="49"/>
      <c r="AA129" s="49"/>
      <c r="AB129" s="50"/>
      <c r="AC129" s="50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</row>
    <row r="130" ht="17.25" customHeight="1">
      <c r="A130" s="96"/>
      <c r="B130" s="183"/>
      <c r="C130" s="53"/>
      <c r="D130" s="53"/>
      <c r="E130" s="53"/>
      <c r="F130" s="90"/>
      <c r="G130" s="55"/>
      <c r="H130" s="64"/>
      <c r="I130" s="64"/>
      <c r="J130" s="49"/>
      <c r="K130" s="43"/>
      <c r="L130" s="43"/>
      <c r="M130" s="44"/>
      <c r="N130" s="44"/>
      <c r="O130" s="127"/>
      <c r="P130" s="64"/>
      <c r="Q130" s="64"/>
      <c r="R130" s="104"/>
      <c r="S130" s="49"/>
      <c r="T130" s="49"/>
      <c r="U130" s="89"/>
      <c r="V130" s="47"/>
      <c r="W130" s="49"/>
      <c r="X130" s="49"/>
      <c r="Y130" s="49"/>
      <c r="Z130" s="49"/>
      <c r="AA130" s="49"/>
      <c r="AB130" s="50"/>
      <c r="AC130" s="50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</row>
    <row r="131" ht="17.25" customHeight="1">
      <c r="A131" s="96"/>
      <c r="B131" s="183"/>
      <c r="C131" s="53"/>
      <c r="D131" s="53"/>
      <c r="E131" s="53"/>
      <c r="F131" s="90"/>
      <c r="G131" s="55"/>
      <c r="H131" s="64"/>
      <c r="I131" s="64"/>
      <c r="J131" s="49"/>
      <c r="K131" s="43"/>
      <c r="L131" s="43"/>
      <c r="M131" s="44"/>
      <c r="N131" s="44"/>
      <c r="O131" s="127"/>
      <c r="P131" s="64"/>
      <c r="Q131" s="64"/>
      <c r="R131" s="104"/>
      <c r="S131" s="49"/>
      <c r="T131" s="49"/>
      <c r="U131" s="89"/>
      <c r="V131" s="47"/>
      <c r="W131" s="49"/>
      <c r="X131" s="49"/>
      <c r="Y131" s="49"/>
      <c r="Z131" s="49"/>
      <c r="AA131" s="49"/>
      <c r="AB131" s="50"/>
      <c r="AC131" s="50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</row>
    <row r="132" ht="17.25" customHeight="1">
      <c r="A132" s="96"/>
      <c r="B132" s="183"/>
      <c r="C132" s="53"/>
      <c r="D132" s="53"/>
      <c r="E132" s="53"/>
      <c r="F132" s="90"/>
      <c r="G132" s="55"/>
      <c r="H132" s="64"/>
      <c r="I132" s="64"/>
      <c r="J132" s="49"/>
      <c r="K132" s="43"/>
      <c r="L132" s="43"/>
      <c r="M132" s="44"/>
      <c r="N132" s="44"/>
      <c r="O132" s="127"/>
      <c r="P132" s="64"/>
      <c r="Q132" s="64"/>
      <c r="R132" s="104"/>
      <c r="S132" s="49"/>
      <c r="T132" s="49"/>
      <c r="U132" s="89"/>
      <c r="V132" s="47"/>
      <c r="W132" s="49"/>
      <c r="X132" s="49"/>
      <c r="Y132" s="49"/>
      <c r="Z132" s="49"/>
      <c r="AA132" s="49"/>
      <c r="AB132" s="50"/>
      <c r="AC132" s="50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</row>
    <row r="133" ht="17.25" customHeight="1">
      <c r="A133" s="96"/>
      <c r="B133" s="183"/>
      <c r="C133" s="53"/>
      <c r="D133" s="53"/>
      <c r="E133" s="53"/>
      <c r="F133" s="184"/>
      <c r="G133" s="185"/>
      <c r="H133" s="185"/>
      <c r="I133" s="185"/>
      <c r="J133" s="186"/>
      <c r="K133" s="187"/>
      <c r="L133" s="187"/>
      <c r="M133" s="188"/>
      <c r="N133" s="188"/>
      <c r="O133" s="104"/>
      <c r="P133" s="64"/>
      <c r="Q133" s="64"/>
      <c r="R133" s="104"/>
      <c r="S133" s="49"/>
      <c r="T133" s="49"/>
      <c r="U133" s="89"/>
      <c r="V133" s="47"/>
      <c r="W133" s="49"/>
      <c r="X133" s="49"/>
      <c r="Y133" s="49"/>
      <c r="Z133" s="49"/>
      <c r="AA133" s="49"/>
      <c r="AB133" s="50"/>
      <c r="AC133" s="50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</row>
    <row r="134" ht="17.25" customHeight="1">
      <c r="A134" s="96"/>
      <c r="B134" s="104"/>
      <c r="C134" s="53"/>
      <c r="D134" s="53"/>
      <c r="E134" s="53"/>
      <c r="F134" s="189"/>
      <c r="G134" s="189"/>
      <c r="H134" s="189"/>
      <c r="I134" s="189"/>
      <c r="J134" s="189"/>
      <c r="K134" s="189"/>
      <c r="L134" s="189"/>
      <c r="M134" s="189"/>
      <c r="N134" s="189"/>
      <c r="O134" s="104"/>
      <c r="P134" s="190"/>
      <c r="Q134" s="190"/>
      <c r="R134" s="104"/>
      <c r="S134" s="49"/>
      <c r="T134" s="49"/>
      <c r="U134" s="89"/>
      <c r="V134" s="47"/>
      <c r="W134" s="49"/>
      <c r="X134" s="49"/>
      <c r="Y134" s="49"/>
      <c r="Z134" s="49"/>
      <c r="AA134" s="49"/>
      <c r="AB134" s="50"/>
      <c r="AC134" s="50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</row>
    <row r="135" ht="17.25" customHeight="1">
      <c r="A135" s="191"/>
      <c r="B135" s="183"/>
      <c r="C135" s="53"/>
      <c r="D135" s="53"/>
      <c r="E135" s="53"/>
      <c r="F135" s="90"/>
      <c r="G135" s="192"/>
      <c r="H135" s="192"/>
      <c r="I135" s="192"/>
      <c r="J135" s="192"/>
      <c r="K135" s="55"/>
      <c r="L135" s="55"/>
      <c r="M135" s="192"/>
      <c r="N135" s="192"/>
      <c r="O135" s="104"/>
      <c r="P135" s="64"/>
      <c r="Q135" s="64"/>
      <c r="R135" s="104"/>
      <c r="S135" s="49"/>
      <c r="T135" s="49"/>
      <c r="U135" s="89"/>
      <c r="V135" s="47"/>
      <c r="W135" s="49"/>
      <c r="X135" s="49"/>
      <c r="Y135" s="49"/>
      <c r="Z135" s="49"/>
      <c r="AA135" s="49"/>
      <c r="AB135" s="50"/>
      <c r="AC135" s="50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</row>
    <row r="136" ht="17.25" customHeight="1">
      <c r="A136" s="191"/>
      <c r="B136" s="183"/>
      <c r="C136" s="53"/>
      <c r="D136" s="53"/>
      <c r="E136" s="53"/>
      <c r="F136" s="90"/>
      <c r="G136" s="193"/>
      <c r="H136" s="193"/>
      <c r="I136" s="193"/>
      <c r="J136" s="193"/>
      <c r="K136" s="193"/>
      <c r="L136" s="193"/>
      <c r="M136" s="193"/>
      <c r="N136" s="193"/>
      <c r="O136" s="104"/>
      <c r="P136" s="64"/>
      <c r="Q136" s="64"/>
      <c r="R136" s="104"/>
      <c r="S136" s="49"/>
      <c r="T136" s="49"/>
      <c r="U136" s="89"/>
      <c r="V136" s="47"/>
      <c r="W136" s="49"/>
      <c r="X136" s="49"/>
      <c r="Y136" s="49"/>
      <c r="Z136" s="49"/>
      <c r="AA136" s="49"/>
      <c r="AB136" s="50"/>
      <c r="AC136" s="50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</row>
    <row r="137" ht="17.25" customHeight="1">
      <c r="A137" s="191"/>
      <c r="B137" s="183"/>
      <c r="C137" s="53"/>
      <c r="D137" s="53"/>
      <c r="E137" s="53"/>
      <c r="F137" s="194"/>
      <c r="G137" s="190"/>
      <c r="H137" s="194"/>
      <c r="I137" s="194"/>
      <c r="J137" s="194"/>
      <c r="K137" s="190"/>
      <c r="L137" s="190"/>
      <c r="M137" s="194"/>
      <c r="N137" s="194"/>
      <c r="O137" s="104"/>
      <c r="P137" s="64"/>
      <c r="Q137" s="64"/>
      <c r="R137" s="104"/>
      <c r="S137" s="49"/>
      <c r="T137" s="49"/>
      <c r="U137" s="89"/>
      <c r="V137" s="47"/>
      <c r="W137" s="49"/>
      <c r="X137" s="49"/>
      <c r="Y137" s="49"/>
      <c r="Z137" s="49"/>
      <c r="AA137" s="49"/>
      <c r="AB137" s="50"/>
      <c r="AC137" s="50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</row>
    <row r="138" ht="17.25" customHeight="1">
      <c r="A138" s="191"/>
      <c r="B138" s="183"/>
      <c r="C138" s="53"/>
      <c r="D138" s="53"/>
      <c r="E138" s="53"/>
      <c r="F138" s="195"/>
      <c r="G138" s="195"/>
      <c r="H138" s="195"/>
      <c r="I138" s="195"/>
      <c r="J138" s="195"/>
      <c r="K138" s="195"/>
      <c r="L138" s="195"/>
      <c r="M138" s="196"/>
      <c r="N138" s="196"/>
      <c r="O138" s="104"/>
      <c r="P138" s="64"/>
      <c r="Q138" s="64"/>
      <c r="R138" s="104"/>
      <c r="S138" s="49"/>
      <c r="T138" s="49"/>
      <c r="U138" s="89"/>
      <c r="V138" s="47"/>
      <c r="W138" s="49"/>
      <c r="X138" s="49"/>
      <c r="Y138" s="49"/>
      <c r="Z138" s="49"/>
      <c r="AA138" s="49"/>
      <c r="AB138" s="50"/>
      <c r="AC138" s="50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</row>
    <row r="139" ht="17.25" customHeight="1">
      <c r="A139" s="143"/>
      <c r="B139" s="183"/>
      <c r="C139" s="53"/>
      <c r="D139" s="53"/>
      <c r="E139" s="53"/>
      <c r="F139" s="195"/>
      <c r="G139" s="195"/>
      <c r="H139" s="195"/>
      <c r="I139" s="195"/>
      <c r="J139" s="195"/>
      <c r="K139" s="195"/>
      <c r="L139" s="195"/>
      <c r="M139" s="195"/>
      <c r="N139" s="195"/>
      <c r="O139" s="104"/>
      <c r="P139" s="64"/>
      <c r="Q139" s="64"/>
      <c r="R139" s="104"/>
      <c r="S139" s="49"/>
      <c r="T139" s="49"/>
      <c r="U139" s="89"/>
      <c r="V139" s="47"/>
      <c r="W139" s="49"/>
      <c r="X139" s="49"/>
      <c r="Y139" s="49"/>
      <c r="Z139" s="49"/>
      <c r="AA139" s="49"/>
      <c r="AB139" s="50"/>
      <c r="AC139" s="50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</row>
    <row r="140" ht="17.25" customHeight="1">
      <c r="A140" s="191"/>
      <c r="B140" s="183"/>
      <c r="C140" s="53"/>
      <c r="D140" s="53"/>
      <c r="E140" s="53"/>
      <c r="F140" s="190"/>
      <c r="G140" s="190"/>
      <c r="H140" s="190"/>
      <c r="I140" s="190"/>
      <c r="J140" s="190"/>
      <c r="K140" s="43"/>
      <c r="L140" s="43"/>
      <c r="M140" s="190"/>
      <c r="N140" s="190"/>
      <c r="O140" s="127"/>
      <c r="P140" s="64"/>
      <c r="Q140" s="64"/>
      <c r="R140" s="104"/>
      <c r="S140" s="49"/>
      <c r="T140" s="49"/>
      <c r="U140" s="89"/>
      <c r="V140" s="47"/>
      <c r="W140" s="49"/>
      <c r="X140" s="49"/>
      <c r="Y140" s="49"/>
      <c r="Z140" s="49"/>
      <c r="AA140" s="49"/>
      <c r="AB140" s="50"/>
      <c r="AC140" s="50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</row>
    <row r="141" ht="17.25" customHeight="1">
      <c r="A141" s="96"/>
      <c r="B141" s="183"/>
      <c r="C141" s="53"/>
      <c r="D141" s="53"/>
      <c r="E141" s="53"/>
      <c r="F141" s="90"/>
      <c r="G141" s="55"/>
      <c r="H141" s="64"/>
      <c r="I141" s="64"/>
      <c r="J141" s="49"/>
      <c r="K141" s="43"/>
      <c r="L141" s="43"/>
      <c r="M141" s="44"/>
      <c r="N141" s="44"/>
      <c r="O141" s="127"/>
      <c r="P141" s="64"/>
      <c r="Q141" s="64"/>
      <c r="R141" s="104"/>
      <c r="S141" s="49"/>
      <c r="T141" s="49"/>
      <c r="U141" s="89"/>
      <c r="V141" s="47"/>
      <c r="W141" s="49"/>
      <c r="X141" s="49"/>
      <c r="Y141" s="49"/>
      <c r="Z141" s="49"/>
      <c r="AA141" s="49"/>
      <c r="AB141" s="50"/>
      <c r="AC141" s="50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</row>
    <row r="142" ht="17.25" customHeight="1">
      <c r="A142" s="96"/>
      <c r="B142" s="183"/>
      <c r="C142" s="53"/>
      <c r="D142" s="53"/>
      <c r="E142" s="53"/>
      <c r="F142" s="90"/>
      <c r="G142" s="55"/>
      <c r="H142" s="64"/>
      <c r="I142" s="64"/>
      <c r="J142" s="49"/>
      <c r="K142" s="43"/>
      <c r="L142" s="43"/>
      <c r="M142" s="44"/>
      <c r="N142" s="44"/>
      <c r="O142" s="127"/>
      <c r="P142" s="64"/>
      <c r="Q142" s="64"/>
      <c r="R142" s="104"/>
      <c r="S142" s="49"/>
      <c r="T142" s="49"/>
      <c r="U142" s="89"/>
      <c r="V142" s="47"/>
      <c r="W142" s="49"/>
      <c r="X142" s="49"/>
      <c r="Y142" s="49"/>
      <c r="Z142" s="49"/>
      <c r="AA142" s="49"/>
      <c r="AB142" s="50"/>
      <c r="AC142" s="50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</row>
    <row r="143" ht="17.25" customHeight="1">
      <c r="A143" s="96"/>
      <c r="B143" s="183"/>
      <c r="C143" s="53"/>
      <c r="D143" s="53"/>
      <c r="E143" s="53"/>
      <c r="F143" s="90"/>
      <c r="G143" s="55"/>
      <c r="H143" s="64"/>
      <c r="I143" s="64"/>
      <c r="J143" s="49"/>
      <c r="K143" s="43"/>
      <c r="L143" s="43"/>
      <c r="M143" s="44"/>
      <c r="N143" s="44"/>
      <c r="O143" s="127"/>
      <c r="P143" s="64"/>
      <c r="Q143" s="64"/>
      <c r="R143" s="104"/>
      <c r="S143" s="49"/>
      <c r="T143" s="49"/>
      <c r="U143" s="89"/>
      <c r="V143" s="47"/>
      <c r="W143" s="49"/>
      <c r="X143" s="49"/>
      <c r="Y143" s="49"/>
      <c r="Z143" s="49"/>
      <c r="AA143" s="49"/>
      <c r="AB143" s="50"/>
      <c r="AC143" s="50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</row>
    <row r="144" ht="17.25" customHeight="1">
      <c r="A144" s="96"/>
      <c r="B144" s="183"/>
      <c r="C144" s="53"/>
      <c r="D144" s="53"/>
      <c r="E144" s="53"/>
      <c r="F144" s="90"/>
      <c r="G144" s="55"/>
      <c r="H144" s="64"/>
      <c r="I144" s="64"/>
      <c r="J144" s="49"/>
      <c r="K144" s="43"/>
      <c r="L144" s="43"/>
      <c r="M144" s="44"/>
      <c r="N144" s="44"/>
      <c r="O144" s="127"/>
      <c r="P144" s="64"/>
      <c r="Q144" s="64"/>
      <c r="R144" s="104"/>
      <c r="S144" s="49"/>
      <c r="T144" s="49"/>
      <c r="U144" s="89"/>
      <c r="V144" s="47"/>
      <c r="W144" s="49"/>
      <c r="X144" s="49"/>
      <c r="Y144" s="49"/>
      <c r="Z144" s="49"/>
      <c r="AA144" s="49"/>
      <c r="AB144" s="50"/>
      <c r="AC144" s="50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</row>
    <row r="145" ht="17.25" customHeight="1">
      <c r="A145" s="96"/>
      <c r="B145" s="183"/>
      <c r="C145" s="53"/>
      <c r="D145" s="53"/>
      <c r="E145" s="53"/>
      <c r="F145" s="90"/>
      <c r="G145" s="55"/>
      <c r="H145" s="64"/>
      <c r="I145" s="64"/>
      <c r="J145" s="49"/>
      <c r="K145" s="43"/>
      <c r="L145" s="43"/>
      <c r="M145" s="44"/>
      <c r="N145" s="44"/>
      <c r="O145" s="127"/>
      <c r="P145" s="64"/>
      <c r="Q145" s="64"/>
      <c r="R145" s="104"/>
      <c r="S145" s="49"/>
      <c r="T145" s="49"/>
      <c r="U145" s="89"/>
      <c r="V145" s="47"/>
      <c r="W145" s="49"/>
      <c r="X145" s="49"/>
      <c r="Y145" s="49"/>
      <c r="Z145" s="49"/>
      <c r="AA145" s="49"/>
      <c r="AB145" s="50"/>
      <c r="AC145" s="50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</row>
    <row r="146" ht="17.25" customHeight="1">
      <c r="A146" s="96"/>
      <c r="B146" s="183"/>
      <c r="C146" s="53"/>
      <c r="D146" s="53"/>
      <c r="E146" s="53"/>
      <c r="F146" s="90"/>
      <c r="G146" s="55"/>
      <c r="H146" s="64"/>
      <c r="I146" s="64"/>
      <c r="J146" s="49"/>
      <c r="K146" s="43"/>
      <c r="L146" s="43"/>
      <c r="M146" s="44"/>
      <c r="N146" s="44"/>
      <c r="O146" s="127"/>
      <c r="P146" s="64"/>
      <c r="Q146" s="64"/>
      <c r="R146" s="104"/>
      <c r="S146" s="49"/>
      <c r="T146" s="49"/>
      <c r="U146" s="89"/>
      <c r="V146" s="47"/>
      <c r="W146" s="49"/>
      <c r="X146" s="49"/>
      <c r="Y146" s="49"/>
      <c r="Z146" s="49"/>
      <c r="AA146" s="49"/>
      <c r="AB146" s="50"/>
      <c r="AC146" s="50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</row>
    <row r="147" ht="17.25" customHeight="1">
      <c r="A147" s="96"/>
      <c r="B147" s="183"/>
      <c r="C147" s="53"/>
      <c r="D147" s="53"/>
      <c r="E147" s="53"/>
      <c r="F147" s="90"/>
      <c r="G147" s="55"/>
      <c r="H147" s="64"/>
      <c r="I147" s="64"/>
      <c r="J147" s="49"/>
      <c r="K147" s="43"/>
      <c r="L147" s="43"/>
      <c r="M147" s="44"/>
      <c r="N147" s="44"/>
      <c r="O147" s="127"/>
      <c r="P147" s="64"/>
      <c r="Q147" s="64"/>
      <c r="R147" s="104"/>
      <c r="S147" s="49"/>
      <c r="T147" s="49"/>
      <c r="U147" s="89"/>
      <c r="V147" s="47"/>
      <c r="W147" s="49"/>
      <c r="X147" s="49"/>
      <c r="Y147" s="49"/>
      <c r="Z147" s="49"/>
      <c r="AA147" s="49"/>
      <c r="AB147" s="50"/>
      <c r="AC147" s="50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</row>
    <row r="148" ht="17.25" customHeight="1">
      <c r="A148" s="96"/>
      <c r="B148" s="183"/>
      <c r="C148" s="53"/>
      <c r="D148" s="53"/>
      <c r="E148" s="53"/>
      <c r="F148" s="90"/>
      <c r="G148" s="55"/>
      <c r="H148" s="64"/>
      <c r="I148" s="64"/>
      <c r="J148" s="49"/>
      <c r="K148" s="43"/>
      <c r="L148" s="43"/>
      <c r="M148" s="44"/>
      <c r="N148" s="44"/>
      <c r="O148" s="127"/>
      <c r="P148" s="64"/>
      <c r="Q148" s="64"/>
      <c r="R148" s="104"/>
      <c r="S148" s="49"/>
      <c r="T148" s="49"/>
      <c r="U148" s="89"/>
      <c r="V148" s="47"/>
      <c r="W148" s="49"/>
      <c r="X148" s="49"/>
      <c r="Y148" s="49"/>
      <c r="Z148" s="49"/>
      <c r="AA148" s="49"/>
      <c r="AB148" s="50"/>
      <c r="AC148" s="50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</row>
    <row r="149" ht="17.25" customHeight="1">
      <c r="A149" s="96"/>
      <c r="B149" s="183"/>
      <c r="C149" s="53"/>
      <c r="D149" s="53"/>
      <c r="E149" s="53"/>
      <c r="F149" s="90"/>
      <c r="G149" s="55"/>
      <c r="H149" s="64"/>
      <c r="I149" s="64"/>
      <c r="J149" s="49"/>
      <c r="K149" s="43"/>
      <c r="L149" s="43"/>
      <c r="M149" s="44"/>
      <c r="N149" s="44"/>
      <c r="O149" s="127"/>
      <c r="P149" s="64"/>
      <c r="Q149" s="64"/>
      <c r="R149" s="104"/>
      <c r="S149" s="49"/>
      <c r="T149" s="49"/>
      <c r="U149" s="89"/>
      <c r="V149" s="47"/>
      <c r="W149" s="49"/>
      <c r="X149" s="49"/>
      <c r="Y149" s="49"/>
      <c r="Z149" s="49"/>
      <c r="AA149" s="49"/>
      <c r="AB149" s="50"/>
      <c r="AC149" s="50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</row>
    <row r="150" ht="17.25" customHeight="1">
      <c r="A150" s="96"/>
      <c r="B150" s="183"/>
      <c r="C150" s="53"/>
      <c r="D150" s="53"/>
      <c r="E150" s="53"/>
      <c r="F150" s="90"/>
      <c r="G150" s="55"/>
      <c r="H150" s="64"/>
      <c r="I150" s="64"/>
      <c r="J150" s="49"/>
      <c r="K150" s="43"/>
      <c r="L150" s="43"/>
      <c r="M150" s="44"/>
      <c r="N150" s="44"/>
      <c r="O150" s="127"/>
      <c r="P150" s="64"/>
      <c r="Q150" s="64"/>
      <c r="R150" s="104"/>
      <c r="S150" s="49"/>
      <c r="T150" s="49"/>
      <c r="U150" s="89"/>
      <c r="V150" s="47"/>
      <c r="W150" s="49"/>
      <c r="X150" s="49"/>
      <c r="Y150" s="49"/>
      <c r="Z150" s="49"/>
      <c r="AA150" s="49"/>
      <c r="AB150" s="50"/>
      <c r="AC150" s="50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</row>
    <row r="151" ht="17.25" customHeight="1">
      <c r="A151" s="96"/>
      <c r="B151" s="183"/>
      <c r="C151" s="53"/>
      <c r="D151" s="53"/>
      <c r="E151" s="53"/>
      <c r="F151" s="90"/>
      <c r="G151" s="55"/>
      <c r="H151" s="64"/>
      <c r="I151" s="64"/>
      <c r="J151" s="49"/>
      <c r="K151" s="43"/>
      <c r="L151" s="43"/>
      <c r="M151" s="44"/>
      <c r="N151" s="44"/>
      <c r="O151" s="127"/>
      <c r="P151" s="64"/>
      <c r="Q151" s="64"/>
      <c r="R151" s="104"/>
      <c r="S151" s="49"/>
      <c r="T151" s="49"/>
      <c r="U151" s="89"/>
      <c r="V151" s="47"/>
      <c r="W151" s="49"/>
      <c r="X151" s="49"/>
      <c r="Y151" s="49"/>
      <c r="Z151" s="49"/>
      <c r="AA151" s="49"/>
      <c r="AB151" s="50"/>
      <c r="AC151" s="50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</row>
    <row r="152" ht="17.25" customHeight="1">
      <c r="A152" s="96"/>
      <c r="B152" s="183"/>
      <c r="C152" s="53"/>
      <c r="D152" s="53"/>
      <c r="E152" s="53"/>
      <c r="F152" s="90"/>
      <c r="G152" s="55"/>
      <c r="H152" s="64"/>
      <c r="I152" s="64"/>
      <c r="J152" s="49"/>
      <c r="K152" s="43"/>
      <c r="L152" s="43"/>
      <c r="M152" s="44"/>
      <c r="N152" s="44"/>
      <c r="O152" s="127"/>
      <c r="P152" s="64"/>
      <c r="Q152" s="64"/>
      <c r="R152" s="104"/>
      <c r="S152" s="49"/>
      <c r="T152" s="49"/>
      <c r="U152" s="89"/>
      <c r="V152" s="47"/>
      <c r="W152" s="49"/>
      <c r="X152" s="49"/>
      <c r="Y152" s="49"/>
      <c r="Z152" s="49"/>
      <c r="AA152" s="49"/>
      <c r="AB152" s="50"/>
      <c r="AC152" s="50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</row>
    <row r="153" ht="17.25" customHeight="1">
      <c r="A153" s="96"/>
      <c r="B153" s="183"/>
      <c r="C153" s="53"/>
      <c r="D153" s="53"/>
      <c r="E153" s="53"/>
      <c r="F153" s="90"/>
      <c r="G153" s="55"/>
      <c r="H153" s="64"/>
      <c r="I153" s="64"/>
      <c r="J153" s="49"/>
      <c r="K153" s="43"/>
      <c r="L153" s="43"/>
      <c r="M153" s="44"/>
      <c r="N153" s="44"/>
      <c r="O153" s="127"/>
      <c r="P153" s="64"/>
      <c r="Q153" s="64"/>
      <c r="R153" s="104"/>
      <c r="S153" s="49"/>
      <c r="T153" s="49"/>
      <c r="U153" s="89"/>
      <c r="V153" s="47"/>
      <c r="W153" s="49"/>
      <c r="X153" s="49"/>
      <c r="Y153" s="49"/>
      <c r="Z153" s="49"/>
      <c r="AA153" s="49"/>
      <c r="AB153" s="50"/>
      <c r="AC153" s="50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</row>
    <row r="154" ht="17.25" customHeight="1">
      <c r="A154" s="197"/>
      <c r="B154" s="47"/>
      <c r="C154" s="56"/>
      <c r="D154" s="56"/>
      <c r="E154" s="56"/>
      <c r="F154" s="55"/>
      <c r="G154" s="55"/>
      <c r="H154" s="64"/>
      <c r="I154" s="64"/>
      <c r="J154" s="49"/>
      <c r="K154" s="43"/>
      <c r="L154" s="43"/>
      <c r="M154" s="49"/>
      <c r="N154" s="49"/>
      <c r="O154" s="198"/>
      <c r="P154" s="104"/>
      <c r="Q154" s="104"/>
      <c r="R154" s="104"/>
      <c r="S154" s="183"/>
      <c r="T154" s="199"/>
      <c r="U154" s="89"/>
      <c r="V154" s="47"/>
      <c r="W154" s="104"/>
      <c r="X154" s="104"/>
      <c r="Y154" s="104"/>
      <c r="Z154" s="50"/>
      <c r="AA154" s="50"/>
      <c r="AB154" s="50"/>
      <c r="AC154" s="50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</row>
    <row r="155" ht="17.25" customHeight="1">
      <c r="A155" s="104"/>
      <c r="B155" s="47"/>
      <c r="C155" s="56"/>
      <c r="D155" s="56"/>
      <c r="E155" s="56"/>
      <c r="F155" s="55"/>
      <c r="G155" s="55"/>
      <c r="H155" s="64"/>
      <c r="I155" s="64"/>
      <c r="J155" s="49"/>
      <c r="K155" s="43"/>
      <c r="L155" s="43"/>
      <c r="M155" s="49"/>
      <c r="N155" s="49"/>
      <c r="O155" s="198"/>
      <c r="P155" s="104"/>
      <c r="Q155" s="104"/>
      <c r="R155" s="104"/>
      <c r="S155" s="183"/>
      <c r="T155" s="199"/>
      <c r="U155" s="89"/>
      <c r="V155" s="47"/>
      <c r="W155" s="104"/>
      <c r="X155" s="104"/>
      <c r="Y155" s="104"/>
      <c r="Z155" s="50"/>
      <c r="AA155" s="50"/>
      <c r="AB155" s="50"/>
      <c r="AC155" s="50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</row>
    <row r="156" ht="17.25" customHeight="1">
      <c r="A156" s="200"/>
      <c r="B156" s="47"/>
      <c r="C156" s="56"/>
      <c r="D156" s="56"/>
      <c r="E156" s="56"/>
      <c r="F156" s="90"/>
      <c r="G156" s="90"/>
      <c r="H156" s="64"/>
      <c r="I156" s="64"/>
      <c r="J156" s="49"/>
      <c r="K156" s="44"/>
      <c r="L156" s="44"/>
      <c r="M156" s="44"/>
      <c r="N156" s="44"/>
      <c r="O156" s="198"/>
      <c r="P156" s="104"/>
      <c r="Q156" s="104"/>
      <c r="R156" s="104"/>
      <c r="S156" s="183"/>
      <c r="T156" s="199"/>
      <c r="U156" s="89"/>
      <c r="V156" s="47"/>
      <c r="W156" s="104"/>
      <c r="X156" s="104"/>
      <c r="Y156" s="104"/>
      <c r="Z156" s="50"/>
      <c r="AA156" s="50"/>
      <c r="AB156" s="50"/>
      <c r="AC156" s="50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</row>
    <row r="157" ht="17.25" customHeight="1">
      <c r="A157" s="96"/>
      <c r="B157" s="183"/>
      <c r="C157" s="53"/>
      <c r="D157" s="53"/>
      <c r="E157" s="53"/>
      <c r="F157" s="90"/>
      <c r="G157" s="90"/>
      <c r="H157" s="64"/>
      <c r="I157" s="64"/>
      <c r="J157" s="49"/>
      <c r="K157" s="43"/>
      <c r="L157" s="43"/>
      <c r="M157" s="44"/>
      <c r="N157" s="44"/>
      <c r="O157" s="198"/>
      <c r="P157" s="104"/>
      <c r="Q157" s="104"/>
      <c r="R157" s="104"/>
      <c r="S157" s="201"/>
      <c r="T157" s="201"/>
      <c r="U157" s="89"/>
      <c r="V157" s="88"/>
      <c r="W157" s="202"/>
      <c r="X157" s="202"/>
      <c r="Y157" s="202"/>
      <c r="Z157" s="203"/>
      <c r="AA157" s="204"/>
      <c r="AB157" s="50"/>
      <c r="AC157" s="50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</row>
    <row r="158" ht="17.25" customHeight="1">
      <c r="A158" s="200"/>
      <c r="B158" s="183"/>
      <c r="C158" s="53"/>
      <c r="D158" s="53"/>
      <c r="E158" s="53"/>
      <c r="F158" s="90"/>
      <c r="G158" s="90"/>
      <c r="H158" s="64"/>
      <c r="I158" s="64"/>
      <c r="J158" s="49"/>
      <c r="K158" s="43"/>
      <c r="L158" s="43"/>
      <c r="M158" s="44"/>
      <c r="N158" s="44"/>
      <c r="O158" s="198"/>
      <c r="P158" s="104"/>
      <c r="Q158" s="104"/>
      <c r="R158" s="104"/>
      <c r="S158" s="201"/>
      <c r="T158" s="201"/>
      <c r="U158" s="89"/>
      <c r="V158" s="54"/>
      <c r="W158" s="202"/>
      <c r="X158" s="202"/>
      <c r="Y158" s="202"/>
      <c r="Z158" s="50"/>
      <c r="AA158" s="50"/>
      <c r="AB158" s="50"/>
      <c r="AC158" s="50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</row>
    <row r="159" ht="17.25" customHeight="1">
      <c r="A159" s="200"/>
      <c r="B159" s="183"/>
      <c r="C159" s="53"/>
      <c r="D159" s="53"/>
      <c r="E159" s="53"/>
      <c r="F159" s="90"/>
      <c r="G159" s="90"/>
      <c r="H159" s="64"/>
      <c r="I159" s="64"/>
      <c r="J159" s="49"/>
      <c r="K159" s="43"/>
      <c r="L159" s="43"/>
      <c r="M159" s="44"/>
      <c r="N159" s="44"/>
      <c r="O159" s="198"/>
      <c r="P159" s="104"/>
      <c r="Q159" s="104"/>
      <c r="R159" s="104"/>
      <c r="S159" s="201"/>
      <c r="T159" s="201"/>
      <c r="U159" s="89"/>
      <c r="V159" s="47"/>
      <c r="W159" s="202"/>
      <c r="X159" s="202"/>
      <c r="Y159" s="202"/>
      <c r="Z159" s="50"/>
      <c r="AA159" s="50"/>
      <c r="AB159" s="50"/>
      <c r="AC159" s="50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</row>
    <row r="160" ht="17.25" customHeight="1">
      <c r="A160" s="200"/>
      <c r="B160" s="183"/>
      <c r="C160" s="53"/>
      <c r="D160" s="53"/>
      <c r="E160" s="53"/>
      <c r="F160" s="90"/>
      <c r="G160" s="90"/>
      <c r="H160" s="64"/>
      <c r="I160" s="64"/>
      <c r="J160" s="49"/>
      <c r="K160" s="43"/>
      <c r="L160" s="43"/>
      <c r="M160" s="44"/>
      <c r="N160" s="44"/>
      <c r="O160" s="198"/>
      <c r="P160" s="104"/>
      <c r="Q160" s="104"/>
      <c r="R160" s="104"/>
      <c r="S160" s="201"/>
      <c r="T160" s="201"/>
      <c r="U160" s="89"/>
      <c r="V160" s="47"/>
      <c r="W160" s="202"/>
      <c r="X160" s="202"/>
      <c r="Y160" s="202"/>
      <c r="Z160" s="50"/>
      <c r="AA160" s="50"/>
      <c r="AB160" s="50"/>
      <c r="AC160" s="50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</row>
    <row r="161" ht="17.25" customHeight="1">
      <c r="A161" s="200"/>
      <c r="B161" s="183"/>
      <c r="C161" s="53"/>
      <c r="D161" s="53"/>
      <c r="E161" s="53"/>
      <c r="F161" s="90"/>
      <c r="G161" s="90"/>
      <c r="H161" s="64"/>
      <c r="I161" s="64"/>
      <c r="J161" s="49"/>
      <c r="K161" s="43"/>
      <c r="L161" s="43"/>
      <c r="M161" s="44"/>
      <c r="N161" s="44"/>
      <c r="O161" s="198"/>
      <c r="P161" s="133"/>
      <c r="Q161" s="133"/>
      <c r="R161" s="104"/>
      <c r="S161" s="201"/>
      <c r="T161" s="201"/>
      <c r="U161" s="89"/>
      <c r="V161" s="47"/>
      <c r="W161" s="202"/>
      <c r="X161" s="202"/>
      <c r="Y161" s="202"/>
      <c r="Z161" s="205"/>
      <c r="AA161" s="204"/>
      <c r="AB161" s="205"/>
      <c r="AC161" s="205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</row>
    <row r="162" ht="17.25" customHeight="1">
      <c r="A162" s="200"/>
      <c r="B162" s="47"/>
      <c r="C162" s="56"/>
      <c r="D162" s="56"/>
      <c r="E162" s="56"/>
      <c r="F162" s="90"/>
      <c r="G162" s="90"/>
      <c r="H162" s="64"/>
      <c r="I162" s="64"/>
      <c r="J162" s="49"/>
      <c r="K162" s="44"/>
      <c r="L162" s="44"/>
      <c r="M162" s="44"/>
      <c r="N162" s="44"/>
      <c r="O162" s="198"/>
      <c r="P162" s="104"/>
      <c r="Q162" s="104"/>
      <c r="R162" s="104"/>
      <c r="S162" s="183"/>
      <c r="T162" s="199"/>
      <c r="U162" s="89"/>
      <c r="V162" s="47"/>
      <c r="W162" s="104"/>
      <c r="X162" s="104"/>
      <c r="Y162" s="202"/>
      <c r="Z162" s="50"/>
      <c r="AA162" s="50"/>
      <c r="AB162" s="50"/>
      <c r="AC162" s="50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</row>
    <row r="163" ht="17.25" customHeight="1">
      <c r="A163" s="200"/>
      <c r="B163" s="47"/>
      <c r="C163" s="183"/>
      <c r="D163" s="183"/>
      <c r="E163" s="183"/>
      <c r="F163" s="90"/>
      <c r="G163" s="90"/>
      <c r="H163" s="64"/>
      <c r="I163" s="64"/>
      <c r="J163" s="49"/>
      <c r="K163" s="44"/>
      <c r="L163" s="44"/>
      <c r="M163" s="44"/>
      <c r="N163" s="44"/>
      <c r="O163" s="198"/>
      <c r="P163" s="104"/>
      <c r="Q163" s="104"/>
      <c r="R163" s="104"/>
      <c r="S163" s="183"/>
      <c r="T163" s="199"/>
      <c r="U163" s="89"/>
      <c r="V163" s="47"/>
      <c r="W163" s="104"/>
      <c r="X163" s="104"/>
      <c r="Y163" s="202"/>
      <c r="Z163" s="50"/>
      <c r="AA163" s="50"/>
      <c r="AB163" s="50"/>
      <c r="AC163" s="50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</row>
    <row r="164" ht="17.25" customHeight="1">
      <c r="A164" s="200"/>
      <c r="B164" s="183"/>
      <c r="C164" s="53"/>
      <c r="D164" s="53"/>
      <c r="E164" s="53"/>
      <c r="F164" s="90"/>
      <c r="G164" s="90"/>
      <c r="H164" s="64"/>
      <c r="I164" s="64"/>
      <c r="J164" s="49"/>
      <c r="K164" s="43"/>
      <c r="L164" s="43"/>
      <c r="M164" s="44"/>
      <c r="N164" s="44"/>
      <c r="O164" s="198"/>
      <c r="P164" s="133"/>
      <c r="Q164" s="133"/>
      <c r="R164" s="104"/>
      <c r="S164" s="201"/>
      <c r="T164" s="201"/>
      <c r="U164" s="89"/>
      <c r="V164" s="47"/>
      <c r="W164" s="202"/>
      <c r="X164" s="202"/>
      <c r="Y164" s="202"/>
      <c r="Z164" s="205"/>
      <c r="AA164" s="204"/>
      <c r="AB164" s="205"/>
      <c r="AC164" s="205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</row>
    <row r="165" ht="17.25" customHeight="1">
      <c r="A165" s="200"/>
      <c r="B165" s="47"/>
      <c r="C165" s="56"/>
      <c r="D165" s="56"/>
      <c r="E165" s="56"/>
      <c r="F165" s="90"/>
      <c r="G165" s="90"/>
      <c r="H165" s="64"/>
      <c r="I165" s="64"/>
      <c r="J165" s="49"/>
      <c r="K165" s="44"/>
      <c r="L165" s="44"/>
      <c r="M165" s="44"/>
      <c r="N165" s="44"/>
      <c r="O165" s="198"/>
      <c r="P165" s="104"/>
      <c r="Q165" s="104"/>
      <c r="R165" s="104"/>
      <c r="S165" s="183"/>
      <c r="T165" s="199"/>
      <c r="U165" s="89"/>
      <c r="V165" s="47"/>
      <c r="W165" s="104"/>
      <c r="X165" s="104"/>
      <c r="Y165" s="104"/>
      <c r="Z165" s="50"/>
      <c r="AA165" s="50"/>
      <c r="AB165" s="50"/>
      <c r="AC165" s="50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</row>
    <row r="166" ht="17.25" customHeight="1">
      <c r="A166" s="200"/>
      <c r="B166" s="47"/>
      <c r="C166" s="56"/>
      <c r="D166" s="56"/>
      <c r="E166" s="56"/>
      <c r="F166" s="90"/>
      <c r="G166" s="90"/>
      <c r="H166" s="64"/>
      <c r="I166" s="64"/>
      <c r="J166" s="49"/>
      <c r="K166" s="44"/>
      <c r="L166" s="44"/>
      <c r="M166" s="44"/>
      <c r="N166" s="44"/>
      <c r="O166" s="198"/>
      <c r="P166" s="104"/>
      <c r="Q166" s="104"/>
      <c r="R166" s="104"/>
      <c r="S166" s="183"/>
      <c r="T166" s="199"/>
      <c r="U166" s="89"/>
      <c r="V166" s="47"/>
      <c r="W166" s="104"/>
      <c r="X166" s="104"/>
      <c r="Y166" s="104"/>
      <c r="Z166" s="50"/>
      <c r="AA166" s="50"/>
      <c r="AB166" s="50"/>
      <c r="AC166" s="50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</row>
    <row r="167" ht="17.25" customHeight="1">
      <c r="A167" s="200"/>
      <c r="B167" s="47"/>
      <c r="C167" s="56"/>
      <c r="D167" s="56"/>
      <c r="E167" s="56"/>
      <c r="F167" s="90"/>
      <c r="G167" s="90"/>
      <c r="H167" s="64"/>
      <c r="I167" s="64"/>
      <c r="J167" s="49"/>
      <c r="K167" s="44"/>
      <c r="L167" s="44"/>
      <c r="M167" s="44"/>
      <c r="N167" s="44"/>
      <c r="O167" s="198"/>
      <c r="P167" s="104"/>
      <c r="Q167" s="104"/>
      <c r="R167" s="104"/>
      <c r="S167" s="183"/>
      <c r="T167" s="199"/>
      <c r="U167" s="89"/>
      <c r="V167" s="47"/>
      <c r="W167" s="104"/>
      <c r="X167" s="104"/>
      <c r="Y167" s="104"/>
      <c r="Z167" s="50"/>
      <c r="AA167" s="50"/>
      <c r="AB167" s="50"/>
      <c r="AC167" s="50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</row>
    <row r="168" ht="17.25" customHeight="1">
      <c r="A168" s="200"/>
      <c r="B168" s="47"/>
      <c r="C168" s="56"/>
      <c r="D168" s="56"/>
      <c r="E168" s="56"/>
      <c r="F168" s="90"/>
      <c r="G168" s="90"/>
      <c r="H168" s="64"/>
      <c r="I168" s="64"/>
      <c r="J168" s="49"/>
      <c r="K168" s="44"/>
      <c r="L168" s="44"/>
      <c r="M168" s="44"/>
      <c r="N168" s="44"/>
      <c r="O168" s="198"/>
      <c r="P168" s="104"/>
      <c r="Q168" s="104"/>
      <c r="R168" s="104"/>
      <c r="S168" s="183"/>
      <c r="T168" s="199"/>
      <c r="U168" s="89"/>
      <c r="V168" s="47"/>
      <c r="W168" s="104"/>
      <c r="X168" s="104"/>
      <c r="Y168" s="104"/>
      <c r="Z168" s="50"/>
      <c r="AA168" s="50"/>
      <c r="AB168" s="50"/>
      <c r="AC168" s="50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</row>
    <row r="169" ht="17.25" customHeight="1">
      <c r="A169" s="200"/>
      <c r="B169" s="47"/>
      <c r="C169" s="56"/>
      <c r="D169" s="56"/>
      <c r="E169" s="56"/>
      <c r="F169" s="90"/>
      <c r="G169" s="90"/>
      <c r="H169" s="64"/>
      <c r="I169" s="64"/>
      <c r="J169" s="49"/>
      <c r="K169" s="44"/>
      <c r="L169" s="44"/>
      <c r="M169" s="44"/>
      <c r="N169" s="44"/>
      <c r="O169" s="198"/>
      <c r="P169" s="104"/>
      <c r="Q169" s="104"/>
      <c r="R169" s="104"/>
      <c r="S169" s="183"/>
      <c r="T169" s="199"/>
      <c r="U169" s="89"/>
      <c r="V169" s="47"/>
      <c r="W169" s="104"/>
      <c r="X169" s="104"/>
      <c r="Y169" s="104"/>
      <c r="Z169" s="50"/>
      <c r="AA169" s="50"/>
      <c r="AB169" s="50"/>
      <c r="AC169" s="50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</row>
    <row r="170" ht="17.25" customHeight="1">
      <c r="A170" s="200"/>
      <c r="B170" s="47"/>
      <c r="C170" s="56"/>
      <c r="D170" s="56"/>
      <c r="E170" s="56"/>
      <c r="F170" s="90"/>
      <c r="G170" s="90"/>
      <c r="H170" s="64"/>
      <c r="I170" s="64"/>
      <c r="J170" s="49"/>
      <c r="K170" s="44"/>
      <c r="L170" s="44"/>
      <c r="M170" s="44"/>
      <c r="N170" s="44"/>
      <c r="O170" s="198"/>
      <c r="P170" s="104"/>
      <c r="Q170" s="104"/>
      <c r="R170" s="104"/>
      <c r="S170" s="183"/>
      <c r="T170" s="199"/>
      <c r="U170" s="89"/>
      <c r="V170" s="47"/>
      <c r="W170" s="104"/>
      <c r="X170" s="104"/>
      <c r="Y170" s="104"/>
      <c r="Z170" s="50"/>
      <c r="AA170" s="50"/>
      <c r="AB170" s="50"/>
      <c r="AC170" s="50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</row>
    <row r="171" ht="17.25" customHeight="1">
      <c r="A171" s="200"/>
      <c r="B171" s="47"/>
      <c r="C171" s="56"/>
      <c r="D171" s="56"/>
      <c r="E171" s="56"/>
      <c r="F171" s="90"/>
      <c r="G171" s="90"/>
      <c r="H171" s="64"/>
      <c r="I171" s="64"/>
      <c r="J171" s="49"/>
      <c r="K171" s="44"/>
      <c r="L171" s="44"/>
      <c r="M171" s="44"/>
      <c r="N171" s="44"/>
      <c r="O171" s="198"/>
      <c r="P171" s="104"/>
      <c r="Q171" s="104"/>
      <c r="R171" s="104"/>
      <c r="S171" s="183"/>
      <c r="T171" s="199"/>
      <c r="U171" s="89"/>
      <c r="V171" s="47"/>
      <c r="W171" s="104"/>
      <c r="X171" s="104"/>
      <c r="Y171" s="104"/>
      <c r="Z171" s="50"/>
      <c r="AA171" s="50"/>
      <c r="AB171" s="50"/>
      <c r="AC171" s="50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</row>
    <row r="172" ht="17.25" customHeight="1">
      <c r="A172" s="200"/>
      <c r="B172" s="47"/>
      <c r="C172" s="56"/>
      <c r="D172" s="56"/>
      <c r="E172" s="56"/>
      <c r="F172" s="90"/>
      <c r="G172" s="90"/>
      <c r="H172" s="64"/>
      <c r="I172" s="64"/>
      <c r="J172" s="49"/>
      <c r="K172" s="44"/>
      <c r="L172" s="44"/>
      <c r="M172" s="44"/>
      <c r="N172" s="44"/>
      <c r="O172" s="198"/>
      <c r="P172" s="104"/>
      <c r="Q172" s="104"/>
      <c r="R172" s="104"/>
      <c r="S172" s="183"/>
      <c r="T172" s="199"/>
      <c r="U172" s="89"/>
      <c r="V172" s="47"/>
      <c r="W172" s="104"/>
      <c r="X172" s="104"/>
      <c r="Y172" s="104"/>
      <c r="Z172" s="50"/>
      <c r="AA172" s="50"/>
      <c r="AB172" s="50"/>
      <c r="AC172" s="50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</row>
    <row r="173" ht="17.25" customHeight="1">
      <c r="A173" s="200"/>
      <c r="B173" s="47"/>
      <c r="C173" s="56"/>
      <c r="D173" s="56"/>
      <c r="E173" s="56"/>
      <c r="F173" s="90"/>
      <c r="G173" s="90"/>
      <c r="H173" s="64"/>
      <c r="I173" s="64"/>
      <c r="J173" s="49"/>
      <c r="K173" s="44"/>
      <c r="L173" s="44"/>
      <c r="M173" s="44"/>
      <c r="N173" s="44"/>
      <c r="O173" s="198"/>
      <c r="P173" s="104"/>
      <c r="Q173" s="104"/>
      <c r="R173" s="104"/>
      <c r="S173" s="183"/>
      <c r="T173" s="199"/>
      <c r="U173" s="89"/>
      <c r="V173" s="47"/>
      <c r="W173" s="104"/>
      <c r="X173" s="104"/>
      <c r="Y173" s="104"/>
      <c r="Z173" s="50"/>
      <c r="AA173" s="50"/>
      <c r="AB173" s="50"/>
      <c r="AC173" s="50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</row>
    <row r="174" ht="17.25" customHeight="1">
      <c r="A174" s="200"/>
      <c r="B174" s="47"/>
      <c r="C174" s="56"/>
      <c r="D174" s="56"/>
      <c r="E174" s="56"/>
      <c r="F174" s="90"/>
      <c r="G174" s="90"/>
      <c r="H174" s="64"/>
      <c r="I174" s="64"/>
      <c r="J174" s="49"/>
      <c r="K174" s="44"/>
      <c r="L174" s="44"/>
      <c r="M174" s="44"/>
      <c r="N174" s="44"/>
      <c r="O174" s="198"/>
      <c r="P174" s="104"/>
      <c r="Q174" s="104"/>
      <c r="R174" s="104"/>
      <c r="S174" s="183"/>
      <c r="T174" s="199"/>
      <c r="U174" s="89"/>
      <c r="V174" s="47"/>
      <c r="W174" s="104"/>
      <c r="X174" s="104"/>
      <c r="Y174" s="104"/>
      <c r="Z174" s="50"/>
      <c r="AA174" s="50"/>
      <c r="AB174" s="50"/>
      <c r="AC174" s="50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</row>
    <row r="175" ht="17.25" customHeight="1">
      <c r="A175" s="200"/>
      <c r="B175" s="47"/>
      <c r="C175" s="56"/>
      <c r="D175" s="56"/>
      <c r="E175" s="56"/>
      <c r="F175" s="90"/>
      <c r="G175" s="90"/>
      <c r="H175" s="64"/>
      <c r="I175" s="64"/>
      <c r="J175" s="49"/>
      <c r="K175" s="44"/>
      <c r="L175" s="44"/>
      <c r="M175" s="44"/>
      <c r="N175" s="44"/>
      <c r="O175" s="198"/>
      <c r="P175" s="104"/>
      <c r="Q175" s="104"/>
      <c r="R175" s="104"/>
      <c r="S175" s="183"/>
      <c r="T175" s="199"/>
      <c r="U175" s="89"/>
      <c r="V175" s="47"/>
      <c r="W175" s="104"/>
      <c r="X175" s="104"/>
      <c r="Y175" s="104"/>
      <c r="Z175" s="50"/>
      <c r="AA175" s="50"/>
      <c r="AB175" s="50"/>
      <c r="AC175" s="50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</row>
    <row r="176" ht="17.25" customHeight="1">
      <c r="A176" s="200"/>
      <c r="B176" s="47"/>
      <c r="C176" s="56"/>
      <c r="D176" s="56"/>
      <c r="E176" s="56"/>
      <c r="F176" s="90"/>
      <c r="G176" s="90"/>
      <c r="H176" s="64"/>
      <c r="I176" s="64"/>
      <c r="J176" s="49"/>
      <c r="K176" s="44"/>
      <c r="L176" s="44"/>
      <c r="M176" s="44"/>
      <c r="N176" s="44"/>
      <c r="O176" s="198"/>
      <c r="P176" s="104"/>
      <c r="Q176" s="104"/>
      <c r="R176" s="104"/>
      <c r="S176" s="183"/>
      <c r="T176" s="199"/>
      <c r="U176" s="89"/>
      <c r="V176" s="47"/>
      <c r="W176" s="104"/>
      <c r="X176" s="104"/>
      <c r="Y176" s="104"/>
      <c r="Z176" s="50"/>
      <c r="AA176" s="50"/>
      <c r="AB176" s="50"/>
      <c r="AC176" s="50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</row>
    <row r="177" ht="17.25" customHeight="1">
      <c r="A177" s="200"/>
      <c r="B177" s="47"/>
      <c r="C177" s="56"/>
      <c r="D177" s="56"/>
      <c r="E177" s="56"/>
      <c r="F177" s="90"/>
      <c r="G177" s="90"/>
      <c r="H177" s="64"/>
      <c r="I177" s="64"/>
      <c r="J177" s="49"/>
      <c r="K177" s="44"/>
      <c r="L177" s="44"/>
      <c r="M177" s="44"/>
      <c r="N177" s="44"/>
      <c r="O177" s="198"/>
      <c r="P177" s="104"/>
      <c r="Q177" s="104"/>
      <c r="R177" s="104"/>
      <c r="S177" s="183"/>
      <c r="T177" s="199"/>
      <c r="U177" s="89"/>
      <c r="V177" s="47"/>
      <c r="W177" s="104"/>
      <c r="X177" s="104"/>
      <c r="Y177" s="104"/>
      <c r="Z177" s="50"/>
      <c r="AA177" s="50"/>
      <c r="AB177" s="50"/>
      <c r="AC177" s="50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</row>
    <row r="178" ht="17.25" customHeight="1">
      <c r="A178" s="200"/>
      <c r="B178" s="47"/>
      <c r="C178" s="56"/>
      <c r="D178" s="56"/>
      <c r="E178" s="56"/>
      <c r="F178" s="90"/>
      <c r="G178" s="90"/>
      <c r="H178" s="64"/>
      <c r="I178" s="64"/>
      <c r="J178" s="49"/>
      <c r="K178" s="44"/>
      <c r="L178" s="44"/>
      <c r="M178" s="44"/>
      <c r="N178" s="44"/>
      <c r="O178" s="198"/>
      <c r="P178" s="104"/>
      <c r="Q178" s="104"/>
      <c r="R178" s="104"/>
      <c r="S178" s="183"/>
      <c r="T178" s="199"/>
      <c r="U178" s="89"/>
      <c r="V178" s="47"/>
      <c r="W178" s="104"/>
      <c r="X178" s="104"/>
      <c r="Y178" s="104"/>
      <c r="Z178" s="50"/>
      <c r="AA178" s="50"/>
      <c r="AB178" s="50"/>
      <c r="AC178" s="50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</row>
    <row r="179" ht="17.25" customHeight="1">
      <c r="A179" s="200"/>
      <c r="B179" s="47"/>
      <c r="C179" s="56"/>
      <c r="D179" s="56"/>
      <c r="E179" s="56"/>
      <c r="F179" s="90"/>
      <c r="G179" s="90"/>
      <c r="H179" s="64"/>
      <c r="I179" s="64"/>
      <c r="J179" s="49"/>
      <c r="K179" s="44"/>
      <c r="L179" s="44"/>
      <c r="M179" s="44"/>
      <c r="N179" s="44"/>
      <c r="O179" s="198"/>
      <c r="P179" s="104"/>
      <c r="Q179" s="104"/>
      <c r="R179" s="104"/>
      <c r="S179" s="183"/>
      <c r="T179" s="199"/>
      <c r="U179" s="89"/>
      <c r="V179" s="47"/>
      <c r="W179" s="104"/>
      <c r="X179" s="104"/>
      <c r="Y179" s="104"/>
      <c r="Z179" s="50"/>
      <c r="AA179" s="50"/>
      <c r="AB179" s="50"/>
      <c r="AC179" s="50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</row>
    <row r="180" ht="17.25" customHeight="1">
      <c r="A180" s="206"/>
      <c r="B180" s="78"/>
      <c r="C180" s="56"/>
      <c r="D180" s="56"/>
      <c r="E180" s="56"/>
      <c r="F180" s="90"/>
      <c r="G180" s="90"/>
      <c r="H180" s="64"/>
      <c r="I180" s="64"/>
      <c r="J180" s="49"/>
      <c r="K180" s="49"/>
      <c r="L180" s="49"/>
      <c r="M180" s="44"/>
      <c r="N180" s="44"/>
      <c r="O180" s="198"/>
      <c r="P180" s="104"/>
      <c r="Q180" s="104"/>
      <c r="R180" s="104"/>
      <c r="S180" s="47"/>
      <c r="T180" s="199"/>
      <c r="U180" s="89"/>
      <c r="V180" s="207"/>
      <c r="W180" s="104"/>
      <c r="X180" s="104"/>
      <c r="Y180" s="104"/>
      <c r="Z180" s="50"/>
      <c r="AA180" s="50"/>
      <c r="AB180" s="50"/>
      <c r="AC180" s="50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</row>
    <row r="181" ht="17.25" customHeight="1">
      <c r="A181" s="206"/>
      <c r="B181" s="78"/>
      <c r="C181" s="56"/>
      <c r="D181" s="56"/>
      <c r="E181" s="56"/>
      <c r="F181" s="90"/>
      <c r="G181" s="90"/>
      <c r="H181" s="64"/>
      <c r="I181" s="64"/>
      <c r="J181" s="49"/>
      <c r="K181" s="104"/>
      <c r="L181" s="104"/>
      <c r="M181" s="49"/>
      <c r="N181" s="49"/>
      <c r="O181" s="198"/>
      <c r="P181" s="104"/>
      <c r="Q181" s="104"/>
      <c r="R181" s="104"/>
      <c r="S181" s="47"/>
      <c r="T181" s="199"/>
      <c r="U181" s="89"/>
      <c r="V181" s="207"/>
      <c r="W181" s="104"/>
      <c r="X181" s="104"/>
      <c r="Y181" s="104"/>
      <c r="Z181" s="50"/>
      <c r="AA181" s="50"/>
      <c r="AB181" s="50"/>
      <c r="AC181" s="50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</row>
    <row r="182" ht="17.25" customHeight="1">
      <c r="A182" s="206"/>
      <c r="B182" s="78"/>
      <c r="C182" s="56"/>
      <c r="D182" s="56"/>
      <c r="E182" s="56"/>
      <c r="F182" s="90"/>
      <c r="G182" s="90"/>
      <c r="H182" s="64"/>
      <c r="I182" s="64"/>
      <c r="J182" s="49"/>
      <c r="K182" s="132"/>
      <c r="L182" s="132"/>
      <c r="M182" s="49"/>
      <c r="N182" s="49"/>
      <c r="O182" s="198"/>
      <c r="P182" s="104"/>
      <c r="Q182" s="104"/>
      <c r="R182" s="104"/>
      <c r="S182" s="47"/>
      <c r="T182" s="199"/>
      <c r="U182" s="89"/>
      <c r="V182" s="207"/>
      <c r="W182" s="104"/>
      <c r="X182" s="104"/>
      <c r="Y182" s="104"/>
      <c r="Z182" s="50"/>
      <c r="AA182" s="50"/>
      <c r="AB182" s="50"/>
      <c r="AC182" s="50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</row>
    <row r="183" ht="17.25" customHeight="1">
      <c r="A183" s="200"/>
      <c r="B183" s="78"/>
      <c r="C183" s="56"/>
      <c r="D183" s="56"/>
      <c r="E183" s="56"/>
      <c r="F183" s="90"/>
      <c r="G183" s="90"/>
      <c r="H183" s="208"/>
      <c r="I183" s="208"/>
      <c r="J183" s="208"/>
      <c r="K183" s="44"/>
      <c r="L183" s="44"/>
      <c r="M183" s="88"/>
      <c r="N183" s="88"/>
      <c r="O183" s="126"/>
      <c r="P183" s="104"/>
      <c r="Q183" s="104"/>
      <c r="R183" s="104"/>
      <c r="S183" s="47"/>
      <c r="T183" s="199"/>
      <c r="U183" s="89"/>
      <c r="V183" s="207"/>
      <c r="W183" s="104"/>
      <c r="X183" s="104"/>
      <c r="Y183" s="104"/>
      <c r="Z183" s="50"/>
      <c r="AA183" s="50"/>
      <c r="AB183" s="50"/>
      <c r="AC183" s="50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</row>
    <row r="184" ht="17.25" customHeight="1">
      <c r="A184" s="200"/>
      <c r="B184" s="78"/>
      <c r="C184" s="56"/>
      <c r="D184" s="56"/>
      <c r="E184" s="56"/>
      <c r="F184" s="90"/>
      <c r="G184" s="90"/>
      <c r="H184" s="208"/>
      <c r="I184" s="208"/>
      <c r="J184" s="208"/>
      <c r="K184" s="44"/>
      <c r="L184" s="44"/>
      <c r="M184" s="88"/>
      <c r="N184" s="88"/>
      <c r="O184" s="126"/>
      <c r="P184" s="104"/>
      <c r="Q184" s="104"/>
      <c r="R184" s="104"/>
      <c r="S184" s="47"/>
      <c r="T184" s="199"/>
      <c r="U184" s="89"/>
      <c r="V184" s="207"/>
      <c r="W184" s="104"/>
      <c r="X184" s="104"/>
      <c r="Y184" s="104"/>
      <c r="Z184" s="50"/>
      <c r="AA184" s="50"/>
      <c r="AB184" s="50"/>
      <c r="AC184" s="50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</row>
    <row r="185" ht="17.25" customHeight="1">
      <c r="A185" s="47"/>
      <c r="B185" s="47"/>
      <c r="C185" s="56"/>
      <c r="D185" s="56"/>
      <c r="E185" s="56"/>
      <c r="F185" s="90"/>
      <c r="G185" s="90"/>
      <c r="H185" s="208"/>
      <c r="I185" s="208"/>
      <c r="J185" s="208"/>
      <c r="K185" s="44"/>
      <c r="L185" s="44"/>
      <c r="M185" s="88"/>
      <c r="N185" s="88"/>
      <c r="O185" s="126"/>
      <c r="P185" s="104"/>
      <c r="Q185" s="104"/>
      <c r="R185" s="104"/>
      <c r="S185" s="47"/>
      <c r="T185" s="199"/>
      <c r="U185" s="89"/>
      <c r="V185" s="47"/>
      <c r="W185" s="104"/>
      <c r="X185" s="104"/>
      <c r="Y185" s="104"/>
      <c r="Z185" s="50"/>
      <c r="AA185" s="50"/>
      <c r="AB185" s="50"/>
      <c r="AC185" s="50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</row>
    <row r="186" ht="17.25" customHeight="1">
      <c r="A186" s="47"/>
      <c r="B186" s="47"/>
      <c r="C186" s="56"/>
      <c r="D186" s="56"/>
      <c r="E186" s="56"/>
      <c r="F186" s="90"/>
      <c r="G186" s="90"/>
      <c r="H186" s="47"/>
      <c r="I186" s="47"/>
      <c r="J186" s="47"/>
      <c r="K186" s="47"/>
      <c r="L186" s="47"/>
      <c r="M186" s="47"/>
      <c r="N186" s="47"/>
      <c r="O186" s="47"/>
      <c r="P186" s="104"/>
      <c r="Q186" s="104"/>
      <c r="R186" s="104"/>
      <c r="S186" s="47"/>
      <c r="T186" s="89"/>
      <c r="U186" s="89"/>
      <c r="V186" s="47"/>
      <c r="W186" s="104"/>
      <c r="X186" s="104"/>
      <c r="Y186" s="104"/>
      <c r="Z186" s="50"/>
      <c r="AA186" s="50"/>
      <c r="AB186" s="50"/>
      <c r="AC186" s="50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</row>
    <row r="187" ht="17.25" customHeight="1">
      <c r="A187" s="200"/>
      <c r="B187" s="47"/>
      <c r="C187" s="56"/>
      <c r="D187" s="56"/>
      <c r="E187" s="56"/>
      <c r="F187" s="90"/>
      <c r="G187" s="90"/>
      <c r="H187" s="199"/>
      <c r="I187" s="199"/>
      <c r="J187" s="208"/>
      <c r="K187" s="88"/>
      <c r="L187" s="88"/>
      <c r="M187" s="88"/>
      <c r="N187" s="88"/>
      <c r="O187" s="126"/>
      <c r="P187" s="104"/>
      <c r="Q187" s="104"/>
      <c r="R187" s="104"/>
      <c r="S187" s="47"/>
      <c r="T187" s="199"/>
      <c r="U187" s="89"/>
      <c r="V187" s="209"/>
      <c r="W187" s="104"/>
      <c r="X187" s="104"/>
      <c r="Y187" s="104"/>
      <c r="Z187" s="50"/>
      <c r="AA187" s="50"/>
      <c r="AB187" s="50"/>
      <c r="AC187" s="50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</row>
    <row r="188" ht="17.25" customHeight="1">
      <c r="A188" s="47"/>
      <c r="B188" s="47"/>
      <c r="C188" s="56"/>
      <c r="D188" s="56"/>
      <c r="E188" s="56"/>
      <c r="F188" s="90"/>
      <c r="G188" s="90"/>
      <c r="H188" s="47"/>
      <c r="I188" s="47"/>
      <c r="J188" s="207"/>
      <c r="K188" s="88"/>
      <c r="L188" s="88"/>
      <c r="M188" s="47"/>
      <c r="N188" s="47"/>
      <c r="O188" s="47"/>
      <c r="P188" s="104"/>
      <c r="Q188" s="104"/>
      <c r="R188" s="104"/>
      <c r="S188" s="47"/>
      <c r="T188" s="89"/>
      <c r="U188" s="89"/>
      <c r="V188" s="47"/>
      <c r="W188" s="104"/>
      <c r="X188" s="104"/>
      <c r="Y188" s="104"/>
      <c r="Z188" s="50"/>
      <c r="AA188" s="50"/>
      <c r="AB188" s="50"/>
      <c r="AC188" s="50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</row>
    <row r="189" ht="17.25" customHeight="1">
      <c r="A189" s="200"/>
      <c r="B189" s="47"/>
      <c r="C189" s="56"/>
      <c r="D189" s="56"/>
      <c r="E189" s="56"/>
      <c r="F189" s="90"/>
      <c r="G189" s="90"/>
      <c r="H189" s="199"/>
      <c r="I189" s="199"/>
      <c r="J189" s="126"/>
      <c r="K189" s="208"/>
      <c r="L189" s="208"/>
      <c r="M189" s="126"/>
      <c r="N189" s="126"/>
      <c r="O189" s="126"/>
      <c r="P189" s="104"/>
      <c r="Q189" s="104"/>
      <c r="R189" s="104"/>
      <c r="S189" s="47"/>
      <c r="T189" s="89"/>
      <c r="U189" s="89"/>
      <c r="V189" s="209"/>
      <c r="W189" s="104"/>
      <c r="X189" s="104"/>
      <c r="Y189" s="104"/>
      <c r="Z189" s="50"/>
      <c r="AA189" s="50"/>
      <c r="AB189" s="50"/>
      <c r="AC189" s="50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</row>
    <row r="190" ht="17.25" customHeight="1">
      <c r="A190" s="47"/>
      <c r="B190" s="47"/>
      <c r="C190" s="56"/>
      <c r="D190" s="56"/>
      <c r="E190" s="56"/>
      <c r="F190" s="90"/>
      <c r="G190" s="90"/>
      <c r="H190" s="207"/>
      <c r="I190" s="207"/>
      <c r="J190" s="207"/>
      <c r="K190" s="88"/>
      <c r="L190" s="88"/>
      <c r="M190" s="47"/>
      <c r="N190" s="47"/>
      <c r="O190" s="47"/>
      <c r="P190" s="104"/>
      <c r="Q190" s="104"/>
      <c r="R190" s="104"/>
      <c r="S190" s="47"/>
      <c r="T190" s="207"/>
      <c r="U190" s="89"/>
      <c r="V190" s="209"/>
      <c r="W190" s="104"/>
      <c r="X190" s="104"/>
      <c r="Y190" s="104"/>
      <c r="Z190" s="50"/>
      <c r="AA190" s="50"/>
      <c r="AB190" s="50"/>
      <c r="AC190" s="50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</row>
    <row r="191" ht="17.25" customHeight="1">
      <c r="A191" s="200"/>
      <c r="B191" s="47"/>
      <c r="C191" s="56"/>
      <c r="D191" s="56"/>
      <c r="E191" s="56"/>
      <c r="F191" s="90"/>
      <c r="G191" s="90"/>
      <c r="H191" s="210"/>
      <c r="I191" s="210"/>
      <c r="J191" s="210"/>
      <c r="K191" s="78"/>
      <c r="L191" s="78"/>
      <c r="M191" s="78"/>
      <c r="N191" s="78"/>
      <c r="O191" s="208"/>
      <c r="P191" s="104"/>
      <c r="Q191" s="104"/>
      <c r="R191" s="104"/>
      <c r="S191" s="47"/>
      <c r="T191" s="210"/>
      <c r="U191" s="89"/>
      <c r="V191" s="209"/>
      <c r="W191" s="104"/>
      <c r="X191" s="104"/>
      <c r="Y191" s="104"/>
      <c r="Z191" s="50"/>
      <c r="AA191" s="50"/>
      <c r="AB191" s="50"/>
      <c r="AC191" s="50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</row>
    <row r="192" ht="17.25" customHeight="1">
      <c r="A192" s="47"/>
      <c r="B192" s="47"/>
      <c r="C192" s="56"/>
      <c r="D192" s="56"/>
      <c r="E192" s="56"/>
      <c r="F192" s="90"/>
      <c r="G192" s="90"/>
      <c r="H192" s="210"/>
      <c r="I192" s="210"/>
      <c r="J192" s="210"/>
      <c r="K192" s="78"/>
      <c r="L192" s="78"/>
      <c r="M192" s="78"/>
      <c r="N192" s="78"/>
      <c r="O192" s="208"/>
      <c r="P192" s="104"/>
      <c r="Q192" s="104"/>
      <c r="R192" s="104"/>
      <c r="S192" s="47"/>
      <c r="T192" s="210"/>
      <c r="U192" s="89"/>
      <c r="V192" s="47"/>
      <c r="W192" s="104"/>
      <c r="X192" s="104"/>
      <c r="Y192" s="104"/>
      <c r="Z192" s="50"/>
      <c r="AA192" s="50"/>
      <c r="AB192" s="50"/>
      <c r="AC192" s="50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</row>
    <row r="193" ht="17.25" customHeight="1">
      <c r="A193" s="47"/>
      <c r="B193" s="47"/>
      <c r="C193" s="56"/>
      <c r="D193" s="56"/>
      <c r="E193" s="56"/>
      <c r="F193" s="90"/>
      <c r="G193" s="90"/>
      <c r="H193" s="78"/>
      <c r="I193" s="78"/>
      <c r="J193" s="78"/>
      <c r="K193" s="78"/>
      <c r="L193" s="78"/>
      <c r="M193" s="78"/>
      <c r="N193" s="78"/>
      <c r="O193" s="78"/>
      <c r="P193" s="104"/>
      <c r="Q193" s="104"/>
      <c r="R193" s="104"/>
      <c r="S193" s="47"/>
      <c r="T193" s="89"/>
      <c r="U193" s="89"/>
      <c r="V193" s="47"/>
      <c r="W193" s="104"/>
      <c r="X193" s="104"/>
      <c r="Y193" s="104"/>
      <c r="Z193" s="50"/>
      <c r="AA193" s="50"/>
      <c r="AB193" s="50"/>
      <c r="AC193" s="50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</row>
    <row r="194" ht="17.25" customHeight="1">
      <c r="A194" s="47"/>
      <c r="B194" s="47"/>
      <c r="C194" s="56"/>
      <c r="D194" s="56"/>
      <c r="E194" s="56"/>
      <c r="F194" s="90"/>
      <c r="G194" s="90"/>
      <c r="H194" s="208"/>
      <c r="I194" s="208"/>
      <c r="J194" s="208"/>
      <c r="K194" s="78"/>
      <c r="L194" s="78"/>
      <c r="M194" s="78"/>
      <c r="N194" s="78"/>
      <c r="O194" s="208"/>
      <c r="P194" s="104"/>
      <c r="Q194" s="104"/>
      <c r="R194" s="104"/>
      <c r="S194" s="47"/>
      <c r="T194" s="199"/>
      <c r="U194" s="89"/>
      <c r="V194" s="47"/>
      <c r="W194" s="104"/>
      <c r="X194" s="104"/>
      <c r="Y194" s="104"/>
      <c r="Z194" s="50"/>
      <c r="AA194" s="50"/>
      <c r="AB194" s="50"/>
      <c r="AC194" s="50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</row>
    <row r="195" ht="17.25" customHeight="1">
      <c r="A195" s="47"/>
      <c r="B195" s="47"/>
      <c r="C195" s="56"/>
      <c r="D195" s="56"/>
      <c r="E195" s="56"/>
      <c r="F195" s="90"/>
      <c r="G195" s="90"/>
      <c r="H195" s="208"/>
      <c r="I195" s="208"/>
      <c r="J195" s="126"/>
      <c r="K195" s="47"/>
      <c r="L195" s="47"/>
      <c r="M195" s="47"/>
      <c r="N195" s="47"/>
      <c r="O195" s="126"/>
      <c r="P195" s="104"/>
      <c r="Q195" s="104"/>
      <c r="R195" s="104"/>
      <c r="S195" s="47"/>
      <c r="T195" s="199"/>
      <c r="U195" s="89"/>
      <c r="V195" s="47"/>
      <c r="W195" s="104"/>
      <c r="X195" s="104"/>
      <c r="Y195" s="104"/>
      <c r="Z195" s="50"/>
      <c r="AA195" s="50"/>
      <c r="AB195" s="50"/>
      <c r="AC195" s="50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</row>
    <row r="196" ht="17.25" customHeight="1">
      <c r="A196" s="47"/>
      <c r="B196" s="47"/>
      <c r="C196" s="56"/>
      <c r="D196" s="56"/>
      <c r="E196" s="56"/>
      <c r="F196" s="90"/>
      <c r="G196" s="90"/>
      <c r="H196" s="208"/>
      <c r="I196" s="208"/>
      <c r="J196" s="126"/>
      <c r="K196" s="47"/>
      <c r="L196" s="47"/>
      <c r="M196" s="47"/>
      <c r="N196" s="47"/>
      <c r="O196" s="126"/>
      <c r="P196" s="104"/>
      <c r="Q196" s="104"/>
      <c r="R196" s="104"/>
      <c r="S196" s="47"/>
      <c r="T196" s="199"/>
      <c r="U196" s="89"/>
      <c r="V196" s="47"/>
      <c r="W196" s="104"/>
      <c r="X196" s="104"/>
      <c r="Y196" s="104"/>
      <c r="Z196" s="50"/>
      <c r="AA196" s="50"/>
      <c r="AB196" s="50"/>
      <c r="AC196" s="50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</row>
    <row r="197" ht="17.25" customHeight="1">
      <c r="A197" s="211"/>
      <c r="B197" s="211"/>
      <c r="C197" s="212"/>
      <c r="D197" s="212"/>
      <c r="E197" s="212"/>
      <c r="F197" s="213"/>
      <c r="G197" s="213"/>
      <c r="H197" s="214"/>
      <c r="I197" s="214"/>
      <c r="J197" s="211"/>
      <c r="K197" s="211"/>
      <c r="L197" s="211"/>
      <c r="M197" s="50"/>
      <c r="N197" s="50"/>
      <c r="O197" s="211"/>
      <c r="P197" s="211"/>
      <c r="Q197" s="211"/>
      <c r="R197" s="50"/>
      <c r="S197" s="211"/>
      <c r="T197" s="214"/>
      <c r="U197" s="214"/>
      <c r="V197" s="50"/>
      <c r="W197" s="214"/>
      <c r="X197" s="214"/>
      <c r="Y197" s="214"/>
      <c r="Z197" s="50"/>
      <c r="AA197" s="50"/>
      <c r="AB197" s="50"/>
      <c r="AC197" s="50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</row>
    <row r="198" ht="17.25" customHeight="1">
      <c r="A198" s="211"/>
      <c r="B198" s="211"/>
      <c r="C198" s="212"/>
      <c r="D198" s="212"/>
      <c r="E198" s="212"/>
      <c r="F198" s="213"/>
      <c r="G198" s="213"/>
      <c r="H198" s="214"/>
      <c r="I198" s="214"/>
      <c r="J198" s="211"/>
      <c r="K198" s="211"/>
      <c r="L198" s="211"/>
      <c r="M198" s="50"/>
      <c r="N198" s="50"/>
      <c r="O198" s="211"/>
      <c r="P198" s="211"/>
      <c r="Q198" s="211"/>
      <c r="R198" s="50"/>
      <c r="S198" s="211"/>
      <c r="T198" s="214"/>
      <c r="U198" s="214"/>
      <c r="V198" s="50"/>
      <c r="W198" s="214"/>
      <c r="X198" s="214"/>
      <c r="Y198" s="214"/>
      <c r="Z198" s="50"/>
      <c r="AA198" s="50"/>
      <c r="AB198" s="50"/>
      <c r="AC198" s="50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</row>
    <row r="199" ht="17.25" customHeight="1">
      <c r="A199" s="211"/>
      <c r="B199" s="211"/>
      <c r="C199" s="212"/>
      <c r="D199" s="212"/>
      <c r="E199" s="212"/>
      <c r="F199" s="213"/>
      <c r="G199" s="213"/>
      <c r="H199" s="214"/>
      <c r="I199" s="214"/>
      <c r="J199" s="211"/>
      <c r="K199" s="211"/>
      <c r="L199" s="211"/>
      <c r="M199" s="50"/>
      <c r="N199" s="50"/>
      <c r="O199" s="211"/>
      <c r="P199" s="211"/>
      <c r="Q199" s="211"/>
      <c r="R199" s="50"/>
      <c r="S199" s="211"/>
      <c r="T199" s="214"/>
      <c r="U199" s="214"/>
      <c r="V199" s="50"/>
      <c r="W199" s="214"/>
      <c r="X199" s="214"/>
      <c r="Y199" s="214"/>
      <c r="Z199" s="50"/>
      <c r="AA199" s="50"/>
      <c r="AB199" s="50"/>
      <c r="AC199" s="50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</row>
    <row r="200" ht="17.25" customHeight="1">
      <c r="A200" s="211"/>
      <c r="B200" s="211"/>
      <c r="C200" s="212"/>
      <c r="D200" s="212"/>
      <c r="E200" s="212"/>
      <c r="F200" s="213"/>
      <c r="G200" s="213"/>
      <c r="H200" s="214"/>
      <c r="I200" s="214"/>
      <c r="J200" s="211"/>
      <c r="K200" s="211"/>
      <c r="L200" s="211"/>
      <c r="M200" s="50"/>
      <c r="N200" s="50"/>
      <c r="O200" s="211"/>
      <c r="P200" s="211"/>
      <c r="Q200" s="211"/>
      <c r="R200" s="50"/>
      <c r="S200" s="211"/>
      <c r="T200" s="214"/>
      <c r="U200" s="214"/>
      <c r="V200" s="50"/>
      <c r="W200" s="214"/>
      <c r="X200" s="214"/>
      <c r="Y200" s="214"/>
      <c r="Z200" s="50"/>
      <c r="AA200" s="50"/>
      <c r="AB200" s="50"/>
      <c r="AC200" s="50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</row>
    <row r="201" ht="17.25" customHeight="1">
      <c r="A201" s="211"/>
      <c r="B201" s="211"/>
      <c r="C201" s="212"/>
      <c r="D201" s="212"/>
      <c r="E201" s="212"/>
      <c r="F201" s="213"/>
      <c r="G201" s="213"/>
      <c r="H201" s="214"/>
      <c r="I201" s="214"/>
      <c r="J201" s="211"/>
      <c r="K201" s="211"/>
      <c r="L201" s="211"/>
      <c r="M201" s="50"/>
      <c r="N201" s="50"/>
      <c r="O201" s="211"/>
      <c r="P201" s="211"/>
      <c r="Q201" s="211"/>
      <c r="R201" s="50"/>
      <c r="S201" s="211"/>
      <c r="T201" s="214"/>
      <c r="U201" s="214"/>
      <c r="V201" s="50"/>
      <c r="W201" s="214"/>
      <c r="X201" s="214"/>
      <c r="Y201" s="214"/>
      <c r="Z201" s="50"/>
      <c r="AA201" s="50"/>
      <c r="AB201" s="50"/>
      <c r="AC201" s="50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</row>
    <row r="202" ht="17.25" customHeight="1">
      <c r="A202" s="211"/>
      <c r="B202" s="211"/>
      <c r="C202" s="212"/>
      <c r="D202" s="212"/>
      <c r="E202" s="212"/>
      <c r="F202" s="213"/>
      <c r="G202" s="213"/>
      <c r="H202" s="214"/>
      <c r="I202" s="214"/>
      <c r="J202" s="211"/>
      <c r="K202" s="211"/>
      <c r="L202" s="211"/>
      <c r="M202" s="50"/>
      <c r="N202" s="50"/>
      <c r="O202" s="211"/>
      <c r="P202" s="211"/>
      <c r="Q202" s="211"/>
      <c r="R202" s="50"/>
      <c r="S202" s="211"/>
      <c r="T202" s="214"/>
      <c r="U202" s="214"/>
      <c r="V202" s="50"/>
      <c r="W202" s="214"/>
      <c r="X202" s="214"/>
      <c r="Y202" s="214"/>
      <c r="Z202" s="50"/>
      <c r="AA202" s="50"/>
      <c r="AB202" s="50"/>
      <c r="AC202" s="50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</row>
    <row r="203" ht="17.25" customHeight="1">
      <c r="A203" s="211"/>
      <c r="B203" s="211"/>
      <c r="C203" s="212"/>
      <c r="D203" s="212"/>
      <c r="E203" s="212"/>
      <c r="F203" s="213"/>
      <c r="G203" s="213"/>
      <c r="H203" s="214"/>
      <c r="I203" s="214"/>
      <c r="J203" s="211"/>
      <c r="K203" s="211"/>
      <c r="L203" s="211"/>
      <c r="M203" s="50"/>
      <c r="N203" s="50"/>
      <c r="O203" s="211"/>
      <c r="P203" s="211"/>
      <c r="Q203" s="211"/>
      <c r="R203" s="50"/>
      <c r="S203" s="211"/>
      <c r="T203" s="214"/>
      <c r="U203" s="214"/>
      <c r="V203" s="50"/>
      <c r="W203" s="214"/>
      <c r="X203" s="214"/>
      <c r="Y203" s="214"/>
      <c r="Z203" s="50"/>
      <c r="AA203" s="50"/>
      <c r="AB203" s="50"/>
      <c r="AC203" s="50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</row>
    <row r="204" ht="17.25" customHeight="1">
      <c r="A204" s="211"/>
      <c r="B204" s="211"/>
      <c r="C204" s="212"/>
      <c r="D204" s="212"/>
      <c r="E204" s="212"/>
      <c r="F204" s="213"/>
      <c r="G204" s="213"/>
      <c r="H204" s="214"/>
      <c r="I204" s="214"/>
      <c r="J204" s="211"/>
      <c r="K204" s="211"/>
      <c r="L204" s="211"/>
      <c r="M204" s="50"/>
      <c r="N204" s="50"/>
      <c r="O204" s="211"/>
      <c r="P204" s="211"/>
      <c r="Q204" s="211"/>
      <c r="R204" s="50"/>
      <c r="S204" s="211"/>
      <c r="T204" s="214"/>
      <c r="U204" s="214"/>
      <c r="V204" s="50"/>
      <c r="W204" s="214"/>
      <c r="X204" s="214"/>
      <c r="Y204" s="214"/>
      <c r="Z204" s="50"/>
      <c r="AA204" s="50"/>
      <c r="AB204" s="50"/>
      <c r="AC204" s="50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</row>
    <row r="205">
      <c r="A205" s="211"/>
      <c r="B205" s="211"/>
      <c r="C205" s="212"/>
      <c r="D205" s="212"/>
      <c r="E205" s="212"/>
      <c r="F205" s="213"/>
      <c r="G205" s="213"/>
      <c r="H205" s="214"/>
      <c r="I205" s="214"/>
      <c r="J205" s="211"/>
      <c r="K205" s="211"/>
      <c r="L205" s="211"/>
      <c r="M205" s="50"/>
      <c r="N205" s="50"/>
      <c r="O205" s="211"/>
      <c r="P205" s="211"/>
      <c r="Q205" s="211"/>
      <c r="R205" s="50"/>
      <c r="S205" s="211"/>
      <c r="T205" s="214"/>
      <c r="U205" s="214"/>
      <c r="V205" s="50"/>
      <c r="W205" s="214"/>
      <c r="X205" s="214"/>
      <c r="Y205" s="214"/>
      <c r="Z205" s="50"/>
      <c r="AA205" s="50"/>
      <c r="AB205" s="50"/>
      <c r="AC205" s="50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</row>
    <row r="206">
      <c r="A206" s="211"/>
      <c r="B206" s="211"/>
      <c r="C206" s="212"/>
      <c r="D206" s="212"/>
      <c r="E206" s="212"/>
      <c r="F206" s="213"/>
      <c r="G206" s="213"/>
      <c r="H206" s="214"/>
      <c r="I206" s="214"/>
      <c r="J206" s="211"/>
      <c r="K206" s="211"/>
      <c r="L206" s="211"/>
      <c r="M206" s="50"/>
      <c r="N206" s="50"/>
      <c r="O206" s="211"/>
      <c r="P206" s="211"/>
      <c r="Q206" s="211"/>
      <c r="R206" s="50"/>
      <c r="S206" s="211"/>
      <c r="T206" s="214"/>
      <c r="U206" s="214"/>
      <c r="V206" s="50"/>
      <c r="W206" s="214"/>
      <c r="X206" s="214"/>
      <c r="Y206" s="214"/>
      <c r="Z206" s="50"/>
      <c r="AA206" s="50"/>
      <c r="AB206" s="50"/>
      <c r="AC206" s="50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</row>
    <row r="207">
      <c r="A207" s="211"/>
      <c r="B207" s="211"/>
      <c r="C207" s="212"/>
      <c r="D207" s="212"/>
      <c r="E207" s="212"/>
      <c r="F207" s="213"/>
      <c r="G207" s="213"/>
      <c r="H207" s="214"/>
      <c r="I207" s="214"/>
      <c r="J207" s="211"/>
      <c r="K207" s="211"/>
      <c r="L207" s="211"/>
      <c r="M207" s="50"/>
      <c r="N207" s="50"/>
      <c r="O207" s="211"/>
      <c r="P207" s="211"/>
      <c r="Q207" s="211"/>
      <c r="R207" s="50"/>
      <c r="S207" s="211"/>
      <c r="T207" s="214"/>
      <c r="U207" s="214"/>
      <c r="V207" s="50"/>
      <c r="W207" s="214"/>
      <c r="X207" s="214"/>
      <c r="Y207" s="214"/>
      <c r="Z207" s="50"/>
      <c r="AA207" s="50"/>
      <c r="AB207" s="50"/>
      <c r="AC207" s="50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</row>
    <row r="208">
      <c r="A208" s="211"/>
      <c r="B208" s="211"/>
      <c r="C208" s="212"/>
      <c r="D208" s="212"/>
      <c r="E208" s="212"/>
      <c r="F208" s="213"/>
      <c r="G208" s="213"/>
      <c r="H208" s="214"/>
      <c r="I208" s="214"/>
      <c r="J208" s="211"/>
      <c r="K208" s="211"/>
      <c r="L208" s="211"/>
      <c r="M208" s="50"/>
      <c r="N208" s="50"/>
      <c r="O208" s="211"/>
      <c r="P208" s="211"/>
      <c r="Q208" s="211"/>
      <c r="R208" s="50"/>
      <c r="S208" s="211"/>
      <c r="T208" s="214"/>
      <c r="U208" s="214"/>
      <c r="V208" s="50"/>
      <c r="W208" s="214"/>
      <c r="X208" s="214"/>
      <c r="Y208" s="214"/>
      <c r="Z208" s="50"/>
      <c r="AA208" s="50"/>
      <c r="AB208" s="50"/>
      <c r="AC208" s="50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</row>
    <row r="209">
      <c r="A209" s="211"/>
      <c r="B209" s="211"/>
      <c r="C209" s="212"/>
      <c r="D209" s="212"/>
      <c r="E209" s="212"/>
      <c r="F209" s="213"/>
      <c r="G209" s="213"/>
      <c r="H209" s="214"/>
      <c r="I209" s="214"/>
      <c r="J209" s="211"/>
      <c r="K209" s="211"/>
      <c r="L209" s="211"/>
      <c r="M209" s="50"/>
      <c r="N209" s="50"/>
      <c r="O209" s="211"/>
      <c r="P209" s="211"/>
      <c r="Q209" s="211"/>
      <c r="R209" s="50"/>
      <c r="S209" s="211"/>
      <c r="T209" s="214"/>
      <c r="U209" s="214"/>
      <c r="V209" s="50"/>
      <c r="W209" s="214"/>
      <c r="X209" s="214"/>
      <c r="Y209" s="214"/>
      <c r="Z209" s="50"/>
      <c r="AA209" s="50"/>
      <c r="AB209" s="50"/>
      <c r="AC209" s="50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</row>
    <row r="210">
      <c r="A210" s="211"/>
      <c r="B210" s="211"/>
      <c r="C210" s="212"/>
      <c r="D210" s="212"/>
      <c r="E210" s="212"/>
      <c r="F210" s="213"/>
      <c r="G210" s="213"/>
      <c r="H210" s="214"/>
      <c r="I210" s="214"/>
      <c r="J210" s="211"/>
      <c r="K210" s="211"/>
      <c r="L210" s="211"/>
      <c r="M210" s="50"/>
      <c r="N210" s="50"/>
      <c r="O210" s="211"/>
      <c r="P210" s="211"/>
      <c r="Q210" s="211"/>
      <c r="R210" s="50"/>
      <c r="S210" s="211"/>
      <c r="T210" s="214"/>
      <c r="U210" s="214"/>
      <c r="V210" s="50"/>
      <c r="W210" s="214"/>
      <c r="X210" s="214"/>
      <c r="Y210" s="214"/>
      <c r="Z210" s="50"/>
      <c r="AA210" s="50"/>
      <c r="AB210" s="50"/>
      <c r="AC210" s="50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</row>
    <row r="211">
      <c r="A211" s="211"/>
      <c r="B211" s="211"/>
      <c r="C211" s="212"/>
      <c r="D211" s="212"/>
      <c r="E211" s="212"/>
      <c r="F211" s="213"/>
      <c r="G211" s="213"/>
      <c r="H211" s="214"/>
      <c r="I211" s="214"/>
      <c r="J211" s="211"/>
      <c r="K211" s="211"/>
      <c r="L211" s="211"/>
      <c r="M211" s="50"/>
      <c r="N211" s="50"/>
      <c r="O211" s="211"/>
      <c r="P211" s="211"/>
      <c r="Q211" s="211"/>
      <c r="R211" s="50"/>
      <c r="S211" s="211"/>
      <c r="T211" s="214"/>
      <c r="U211" s="214"/>
      <c r="V211" s="50"/>
      <c r="W211" s="214"/>
      <c r="X211" s="214"/>
      <c r="Y211" s="214"/>
      <c r="Z211" s="50"/>
      <c r="AA211" s="50"/>
      <c r="AB211" s="50"/>
      <c r="AC211" s="50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</row>
    <row r="212">
      <c r="A212" s="211"/>
      <c r="B212" s="211"/>
      <c r="C212" s="212"/>
      <c r="D212" s="212"/>
      <c r="E212" s="212"/>
      <c r="F212" s="213"/>
      <c r="G212" s="213"/>
      <c r="H212" s="214"/>
      <c r="I212" s="214"/>
      <c r="J212" s="211"/>
      <c r="K212" s="211"/>
      <c r="L212" s="211"/>
      <c r="M212" s="50"/>
      <c r="N212" s="50"/>
      <c r="O212" s="211"/>
      <c r="P212" s="211"/>
      <c r="Q212" s="211"/>
      <c r="R212" s="50"/>
      <c r="S212" s="211"/>
      <c r="T212" s="214"/>
      <c r="U212" s="214"/>
      <c r="V212" s="50"/>
      <c r="W212" s="214"/>
      <c r="X212" s="214"/>
      <c r="Y212" s="214"/>
      <c r="Z212" s="50"/>
      <c r="AA212" s="50"/>
      <c r="AB212" s="50"/>
      <c r="AC212" s="50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</row>
    <row r="213">
      <c r="A213" s="211"/>
      <c r="B213" s="211"/>
      <c r="C213" s="212"/>
      <c r="D213" s="212"/>
      <c r="E213" s="212"/>
      <c r="F213" s="213"/>
      <c r="G213" s="213"/>
      <c r="H213" s="214"/>
      <c r="I213" s="214"/>
      <c r="J213" s="211"/>
      <c r="K213" s="211"/>
      <c r="L213" s="211"/>
      <c r="M213" s="50"/>
      <c r="N213" s="50"/>
      <c r="O213" s="211"/>
      <c r="P213" s="211"/>
      <c r="Q213" s="211"/>
      <c r="R213" s="50"/>
      <c r="S213" s="211"/>
      <c r="T213" s="214"/>
      <c r="U213" s="214"/>
      <c r="V213" s="50"/>
      <c r="W213" s="214"/>
      <c r="X213" s="214"/>
      <c r="Y213" s="214"/>
      <c r="Z213" s="50"/>
      <c r="AA213" s="50"/>
      <c r="AB213" s="50"/>
      <c r="AC213" s="50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</row>
    <row r="214">
      <c r="A214" s="211"/>
      <c r="B214" s="211"/>
      <c r="C214" s="212"/>
      <c r="D214" s="212"/>
      <c r="E214" s="212"/>
      <c r="F214" s="213"/>
      <c r="G214" s="213"/>
      <c r="H214" s="214"/>
      <c r="I214" s="214"/>
      <c r="J214" s="211"/>
      <c r="K214" s="211"/>
      <c r="L214" s="211"/>
      <c r="M214" s="50"/>
      <c r="N214" s="50"/>
      <c r="O214" s="211"/>
      <c r="P214" s="211"/>
      <c r="Q214" s="211"/>
      <c r="R214" s="50"/>
      <c r="S214" s="211"/>
      <c r="T214" s="214"/>
      <c r="U214" s="214"/>
      <c r="V214" s="50"/>
      <c r="W214" s="214"/>
      <c r="X214" s="214"/>
      <c r="Y214" s="214"/>
      <c r="Z214" s="50"/>
      <c r="AA214" s="50"/>
      <c r="AB214" s="50"/>
      <c r="AC214" s="50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</row>
    <row r="215">
      <c r="A215" s="211"/>
      <c r="B215" s="211"/>
      <c r="C215" s="212"/>
      <c r="D215" s="212"/>
      <c r="E215" s="212"/>
      <c r="F215" s="213"/>
      <c r="G215" s="213"/>
      <c r="H215" s="214"/>
      <c r="I215" s="214"/>
      <c r="J215" s="211"/>
      <c r="K215" s="211"/>
      <c r="L215" s="211"/>
      <c r="M215" s="50"/>
      <c r="N215" s="50"/>
      <c r="O215" s="211"/>
      <c r="P215" s="211"/>
      <c r="Q215" s="211"/>
      <c r="R215" s="50"/>
      <c r="S215" s="211"/>
      <c r="T215" s="214"/>
      <c r="U215" s="214"/>
      <c r="V215" s="50"/>
      <c r="W215" s="214"/>
      <c r="X215" s="214"/>
      <c r="Y215" s="214"/>
      <c r="Z215" s="50"/>
      <c r="AA215" s="50"/>
      <c r="AB215" s="50"/>
      <c r="AC215" s="50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</row>
    <row r="216">
      <c r="A216" s="211"/>
      <c r="B216" s="211"/>
      <c r="C216" s="212"/>
      <c r="D216" s="212"/>
      <c r="E216" s="212"/>
      <c r="F216" s="213"/>
      <c r="G216" s="213"/>
      <c r="H216" s="214"/>
      <c r="I216" s="214"/>
      <c r="J216" s="211"/>
      <c r="K216" s="211"/>
      <c r="L216" s="211"/>
      <c r="M216" s="50"/>
      <c r="N216" s="50"/>
      <c r="O216" s="211"/>
      <c r="P216" s="211"/>
      <c r="Q216" s="211"/>
      <c r="R216" s="50"/>
      <c r="S216" s="211"/>
      <c r="T216" s="214"/>
      <c r="U216" s="214"/>
      <c r="V216" s="50"/>
      <c r="W216" s="214"/>
      <c r="X216" s="214"/>
      <c r="Y216" s="214"/>
      <c r="Z216" s="50"/>
      <c r="AA216" s="50"/>
      <c r="AB216" s="50"/>
      <c r="AC216" s="50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</row>
    <row r="217">
      <c r="A217" s="211"/>
      <c r="B217" s="211"/>
      <c r="C217" s="212"/>
      <c r="D217" s="212"/>
      <c r="E217" s="212"/>
      <c r="F217" s="213"/>
      <c r="G217" s="213"/>
      <c r="H217" s="214"/>
      <c r="I217" s="214"/>
      <c r="J217" s="211"/>
      <c r="K217" s="211"/>
      <c r="L217" s="211"/>
      <c r="M217" s="50"/>
      <c r="N217" s="50"/>
      <c r="O217" s="211"/>
      <c r="P217" s="211"/>
      <c r="Q217" s="211"/>
      <c r="R217" s="50"/>
      <c r="S217" s="211"/>
      <c r="T217" s="214"/>
      <c r="U217" s="214"/>
      <c r="V217" s="50"/>
      <c r="W217" s="214"/>
      <c r="X217" s="214"/>
      <c r="Y217" s="214"/>
      <c r="Z217" s="50"/>
      <c r="AA217" s="50"/>
      <c r="AB217" s="50"/>
      <c r="AC217" s="50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</row>
    <row r="218">
      <c r="A218" s="104"/>
      <c r="B218" s="215"/>
      <c r="C218" s="215"/>
      <c r="D218" s="215"/>
      <c r="E218" s="215"/>
      <c r="F218" s="213"/>
      <c r="G218" s="213"/>
      <c r="H218" s="214"/>
      <c r="I218" s="214"/>
      <c r="J218" s="215"/>
      <c r="K218" s="215"/>
      <c r="L218" s="215"/>
      <c r="M218" s="50"/>
      <c r="N218" s="50"/>
      <c r="O218" s="215"/>
      <c r="P218" s="215"/>
      <c r="Q218" s="215"/>
      <c r="R218" s="50"/>
      <c r="S218" s="215"/>
      <c r="T218" s="214"/>
      <c r="U218" s="214"/>
      <c r="V218" s="204"/>
      <c r="W218" s="216"/>
      <c r="X218" s="216"/>
      <c r="Y218" s="216"/>
      <c r="Z218" s="50"/>
      <c r="AA218" s="50"/>
      <c r="AB218" s="204"/>
      <c r="AC218" s="2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</row>
    <row r="219">
      <c r="A219" s="217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214"/>
      <c r="V219" s="50"/>
      <c r="W219" s="211"/>
      <c r="X219" s="211"/>
      <c r="Y219" s="211"/>
      <c r="Z219" s="50"/>
      <c r="AA219" s="50"/>
      <c r="AB219" s="50"/>
      <c r="AC219" s="50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</row>
    <row r="220">
      <c r="A220" s="218"/>
      <c r="B220" s="218"/>
      <c r="C220" s="219"/>
      <c r="D220" s="219"/>
      <c r="E220" s="219"/>
      <c r="F220" s="220"/>
      <c r="G220" s="220"/>
      <c r="H220" s="108"/>
      <c r="I220" s="108"/>
      <c r="J220" s="218"/>
      <c r="K220" s="218"/>
      <c r="L220" s="218"/>
      <c r="M220" s="108"/>
      <c r="N220" s="108"/>
      <c r="O220" s="218"/>
      <c r="P220" s="218"/>
      <c r="Q220" s="218"/>
      <c r="R220" s="108"/>
      <c r="S220" s="21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</row>
    <row r="221">
      <c r="A221" s="108"/>
      <c r="B221" s="221"/>
      <c r="C221" s="219"/>
      <c r="D221" s="219"/>
      <c r="E221" s="219"/>
      <c r="F221" s="220"/>
      <c r="G221" s="220"/>
      <c r="H221" s="108"/>
      <c r="I221" s="108"/>
      <c r="J221" s="218"/>
      <c r="K221" s="218"/>
      <c r="L221" s="218"/>
      <c r="M221" s="108"/>
      <c r="N221" s="108"/>
      <c r="O221" s="218"/>
      <c r="P221" s="218"/>
      <c r="Q221" s="218"/>
      <c r="R221" s="108"/>
      <c r="S221" s="218"/>
      <c r="T221" s="108"/>
      <c r="U221" s="108"/>
      <c r="V221" s="108"/>
      <c r="W221" s="108"/>
      <c r="X221" s="108"/>
      <c r="Y221" s="108"/>
      <c r="Z221" s="222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</row>
    <row r="223">
      <c r="A223" s="108"/>
      <c r="B223" s="218"/>
      <c r="C223" s="219"/>
      <c r="D223" s="219"/>
      <c r="E223" s="219"/>
      <c r="F223" s="220"/>
      <c r="G223" s="220"/>
      <c r="H223" s="108"/>
      <c r="I223" s="108"/>
      <c r="J223" s="218"/>
      <c r="K223" s="218"/>
      <c r="L223" s="218"/>
      <c r="M223" s="108"/>
      <c r="N223" s="108"/>
      <c r="O223" s="218"/>
      <c r="P223" s="218"/>
      <c r="Q223" s="218"/>
      <c r="R223" s="108"/>
      <c r="S223" s="21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</row>
    <row r="224">
      <c r="A224" s="108"/>
      <c r="B224" s="218"/>
      <c r="C224" s="219"/>
      <c r="D224" s="219"/>
      <c r="E224" s="219"/>
      <c r="F224" s="220"/>
      <c r="G224" s="220"/>
      <c r="H224" s="108"/>
      <c r="I224" s="108"/>
      <c r="J224" s="218"/>
      <c r="K224" s="218"/>
      <c r="L224" s="218"/>
      <c r="M224" s="108"/>
      <c r="N224" s="108"/>
      <c r="O224" s="218"/>
      <c r="P224" s="218"/>
      <c r="Q224" s="218"/>
      <c r="R224" s="108"/>
      <c r="S224" s="21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</row>
    <row r="225">
      <c r="A225" s="108"/>
      <c r="B225" s="218"/>
      <c r="C225" s="219"/>
      <c r="D225" s="219"/>
      <c r="E225" s="219"/>
      <c r="F225" s="220"/>
      <c r="G225" s="220"/>
      <c r="H225" s="108"/>
      <c r="I225" s="108"/>
      <c r="J225" s="218"/>
      <c r="K225" s="218"/>
      <c r="L225" s="218"/>
      <c r="M225" s="108"/>
      <c r="N225" s="108"/>
      <c r="O225" s="218"/>
      <c r="P225" s="218"/>
      <c r="Q225" s="218"/>
      <c r="R225" s="108"/>
      <c r="S225" s="21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</row>
    <row r="228">
      <c r="A228" s="108"/>
      <c r="B228" s="218"/>
      <c r="C228" s="219"/>
      <c r="D228" s="219"/>
      <c r="E228" s="219"/>
      <c r="F228" s="220"/>
      <c r="G228" s="220"/>
      <c r="H228" s="108"/>
      <c r="I228" s="108"/>
      <c r="J228" s="218"/>
      <c r="K228" s="218"/>
      <c r="L228" s="218"/>
      <c r="M228" s="108"/>
      <c r="N228" s="108"/>
      <c r="O228" s="218"/>
      <c r="P228" s="218"/>
      <c r="Q228" s="218"/>
      <c r="R228" s="108"/>
      <c r="S228" s="21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</row>
    <row r="233">
      <c r="A233" s="215"/>
      <c r="B233" s="215"/>
      <c r="C233" s="223"/>
      <c r="D233" s="223"/>
      <c r="E233" s="223"/>
      <c r="F233" s="224"/>
      <c r="G233" s="224"/>
      <c r="H233" s="214"/>
      <c r="I233" s="214"/>
      <c r="J233" s="215"/>
      <c r="K233" s="215"/>
      <c r="L233" s="215"/>
      <c r="M233" s="204"/>
      <c r="N233" s="204"/>
      <c r="O233" s="215"/>
      <c r="P233" s="215"/>
      <c r="Q233" s="215"/>
      <c r="R233" s="50"/>
      <c r="S233" s="215"/>
      <c r="T233" s="214"/>
      <c r="U233" s="214"/>
      <c r="V233" s="204"/>
      <c r="W233" s="216"/>
      <c r="X233" s="216"/>
      <c r="Y233" s="216"/>
      <c r="Z233" s="50"/>
      <c r="AA233" s="204"/>
      <c r="AB233" s="204"/>
      <c r="AC233" s="204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</row>
    <row r="236">
      <c r="A236" s="108"/>
      <c r="B236" s="218"/>
      <c r="C236" s="225"/>
      <c r="D236" s="225"/>
      <c r="E236" s="225"/>
      <c r="F236" s="108"/>
      <c r="G236" s="108"/>
      <c r="H236" s="133"/>
      <c r="I236" s="133"/>
      <c r="J236" s="218"/>
      <c r="K236" s="108"/>
      <c r="L236" s="108"/>
      <c r="M236" s="108"/>
      <c r="N236" s="108"/>
      <c r="O236" s="218"/>
      <c r="P236" s="108"/>
      <c r="Q236" s="108"/>
      <c r="R236" s="108"/>
      <c r="S236" s="108"/>
      <c r="T236" s="220"/>
      <c r="U236" s="108"/>
      <c r="V236" s="108"/>
      <c r="W236" s="108"/>
      <c r="X236" s="108"/>
      <c r="Y236" s="108"/>
      <c r="Z236" s="108"/>
      <c r="AA236" s="21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</row>
    <row r="237">
      <c r="A237" s="108"/>
      <c r="B237" s="218"/>
      <c r="C237" s="226"/>
      <c r="D237" s="226"/>
      <c r="E237" s="226"/>
      <c r="F237" s="218"/>
      <c r="G237" s="218"/>
      <c r="H237" s="108"/>
      <c r="I237" s="108"/>
      <c r="J237" s="218"/>
      <c r="K237" s="108"/>
      <c r="L237" s="108"/>
      <c r="M237" s="108"/>
      <c r="N237" s="108"/>
      <c r="O237" s="218"/>
      <c r="P237" s="108"/>
      <c r="Q237" s="108"/>
      <c r="R237" s="108"/>
      <c r="S237" s="108"/>
      <c r="T237" s="220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</row>
    <row r="238">
      <c r="A238" s="108"/>
      <c r="B238" s="108"/>
      <c r="C238" s="225"/>
      <c r="D238" s="225"/>
      <c r="E238" s="225"/>
      <c r="F238" s="108"/>
      <c r="G238" s="108"/>
      <c r="H238" s="108"/>
      <c r="I238" s="108"/>
      <c r="J238" s="218"/>
      <c r="K238" s="108"/>
      <c r="L238" s="108"/>
      <c r="M238" s="108"/>
      <c r="N238" s="108"/>
      <c r="O238" s="218"/>
      <c r="P238" s="108"/>
      <c r="Q238" s="108"/>
      <c r="R238" s="108"/>
      <c r="S238" s="108"/>
      <c r="T238" s="220"/>
      <c r="U238" s="108"/>
      <c r="V238" s="108"/>
      <c r="W238" s="108"/>
      <c r="X238" s="108"/>
      <c r="Y238" s="108"/>
      <c r="Z238" s="108"/>
      <c r="AA238" s="104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</row>
    <row r="239">
      <c r="A239" s="108"/>
      <c r="B239" s="108"/>
      <c r="C239" s="225"/>
      <c r="D239" s="225"/>
      <c r="E239" s="225"/>
      <c r="F239" s="108"/>
      <c r="G239" s="108"/>
      <c r="H239" s="218"/>
      <c r="I239" s="218"/>
      <c r="J239" s="218"/>
      <c r="K239" s="225"/>
      <c r="L239" s="225"/>
      <c r="M239" s="108"/>
      <c r="N239" s="108"/>
      <c r="O239" s="218"/>
      <c r="P239" s="218"/>
      <c r="Q239" s="218"/>
      <c r="R239" s="108"/>
      <c r="S239" s="218"/>
      <c r="T239" s="227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</row>
    <row r="240">
      <c r="A240" s="108"/>
      <c r="B240" s="108"/>
      <c r="C240" s="228"/>
      <c r="D240" s="228"/>
      <c r="E240" s="22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</row>
    <row r="243">
      <c r="A243" s="218"/>
      <c r="B243" s="104"/>
      <c r="C243" s="229"/>
      <c r="D243" s="229"/>
      <c r="E243" s="229"/>
      <c r="F243" s="218"/>
      <c r="G243" s="218"/>
      <c r="H243" s="108"/>
      <c r="I243" s="108"/>
      <c r="J243" s="218"/>
      <c r="K243" s="108"/>
      <c r="L243" s="108"/>
      <c r="M243" s="218"/>
      <c r="N243" s="218"/>
      <c r="O243" s="21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21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</row>
    <row r="244">
      <c r="A244" s="218"/>
      <c r="B244" s="108"/>
      <c r="C244" s="108"/>
      <c r="D244" s="108"/>
      <c r="E244" s="108"/>
      <c r="F244" s="218"/>
      <c r="G244" s="218"/>
      <c r="H244" s="218"/>
      <c r="I244" s="218"/>
      <c r="J244" s="218"/>
      <c r="K244" s="108"/>
      <c r="L244" s="108"/>
      <c r="M244" s="108"/>
      <c r="N244" s="108"/>
      <c r="O244" s="21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</row>
    <row r="245">
      <c r="A245" s="218"/>
      <c r="B245" s="108"/>
      <c r="C245" s="108"/>
      <c r="D245" s="108"/>
      <c r="E245" s="108"/>
      <c r="F245" s="218"/>
      <c r="G245" s="218"/>
      <c r="H245" s="108"/>
      <c r="I245" s="108"/>
      <c r="J245" s="21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230"/>
      <c r="X246" s="230"/>
      <c r="Y246" s="230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</row>
    <row r="248">
      <c r="A248" s="108"/>
      <c r="B248" s="218"/>
      <c r="C248" s="225"/>
      <c r="D248" s="225"/>
      <c r="E248" s="225"/>
      <c r="F248" s="108"/>
      <c r="G248" s="108"/>
      <c r="H248" s="108"/>
      <c r="I248" s="108"/>
      <c r="J248" s="218"/>
      <c r="K248" s="108"/>
      <c r="L248" s="108"/>
      <c r="M248" s="108"/>
      <c r="N248" s="108"/>
      <c r="O248" s="21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</row>
    <row r="249">
      <c r="A249" s="108"/>
      <c r="B249" s="218"/>
      <c r="C249" s="225"/>
      <c r="D249" s="225"/>
      <c r="E249" s="225"/>
      <c r="F249" s="108"/>
      <c r="G249" s="108"/>
      <c r="H249" s="108"/>
      <c r="I249" s="108"/>
      <c r="J249" s="218"/>
      <c r="K249" s="108"/>
      <c r="L249" s="108"/>
      <c r="M249" s="108"/>
      <c r="N249" s="108"/>
      <c r="O249" s="21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</row>
    <row r="250">
      <c r="A250" s="108"/>
      <c r="B250" s="218"/>
      <c r="C250" s="225"/>
      <c r="D250" s="225"/>
      <c r="E250" s="225"/>
      <c r="F250" s="108"/>
      <c r="G250" s="108"/>
      <c r="H250" s="108"/>
      <c r="I250" s="108"/>
      <c r="J250" s="218"/>
      <c r="K250" s="108"/>
      <c r="L250" s="108"/>
      <c r="M250" s="225"/>
      <c r="N250" s="225"/>
      <c r="O250" s="21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21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</row>
    <row r="252">
      <c r="A252" s="108"/>
      <c r="B252" s="108"/>
      <c r="C252" s="225"/>
      <c r="D252" s="225"/>
      <c r="E252" s="225"/>
      <c r="F252" s="108"/>
      <c r="G252" s="108"/>
      <c r="H252" s="104"/>
      <c r="I252" s="104"/>
      <c r="J252" s="218"/>
      <c r="K252" s="225"/>
      <c r="L252" s="225"/>
      <c r="M252" s="108"/>
      <c r="N252" s="108"/>
      <c r="O252" s="21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</row>
    <row r="253">
      <c r="A253" s="108"/>
      <c r="B253" s="108"/>
      <c r="C253" s="225"/>
      <c r="D253" s="225"/>
      <c r="E253" s="225"/>
      <c r="F253" s="108"/>
      <c r="G253" s="108"/>
      <c r="H253" s="104"/>
      <c r="I253" s="104"/>
      <c r="J253" s="218"/>
      <c r="K253" s="108"/>
      <c r="L253" s="108"/>
      <c r="M253" s="218"/>
      <c r="N253" s="218"/>
      <c r="O253" s="21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</row>
    <row r="255">
      <c r="A255" s="108"/>
      <c r="B255" s="108"/>
      <c r="C255" s="225"/>
      <c r="D255" s="225"/>
      <c r="E255" s="225"/>
      <c r="F255" s="108"/>
      <c r="G255" s="108"/>
      <c r="H255" s="108"/>
      <c r="I255" s="108"/>
      <c r="J255" s="218"/>
      <c r="K255" s="108"/>
      <c r="L255" s="108"/>
      <c r="M255" s="108"/>
      <c r="N255" s="108"/>
      <c r="O255" s="21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</row>
    <row r="257">
      <c r="A257" s="218"/>
      <c r="B257" s="218"/>
      <c r="C257" s="225"/>
      <c r="D257" s="225"/>
      <c r="E257" s="225"/>
      <c r="F257" s="108"/>
      <c r="G257" s="108"/>
      <c r="H257" s="108"/>
      <c r="I257" s="108"/>
      <c r="J257" s="218"/>
      <c r="K257" s="108"/>
      <c r="L257" s="108"/>
      <c r="M257" s="108"/>
      <c r="N257" s="108"/>
      <c r="O257" s="21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</row>
    <row r="258">
      <c r="A258" s="218"/>
      <c r="B258" s="104"/>
      <c r="C258" s="104"/>
      <c r="D258" s="104"/>
      <c r="E258" s="104"/>
      <c r="F258" s="133"/>
      <c r="G258" s="133"/>
      <c r="H258" s="108"/>
      <c r="I258" s="108"/>
      <c r="J258" s="218"/>
      <c r="K258" s="108"/>
      <c r="L258" s="108"/>
      <c r="M258" s="108"/>
      <c r="N258" s="108"/>
      <c r="O258" s="21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4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</row>
    <row r="259">
      <c r="A259" s="218"/>
      <c r="B259" s="222"/>
      <c r="C259" s="225"/>
      <c r="D259" s="225"/>
      <c r="E259" s="225"/>
      <c r="F259" s="218"/>
      <c r="G259" s="218"/>
      <c r="H259" s="108"/>
      <c r="I259" s="108"/>
      <c r="J259" s="108"/>
      <c r="K259" s="108"/>
      <c r="L259" s="108"/>
      <c r="M259" s="108"/>
      <c r="N259" s="108"/>
      <c r="O259" s="108"/>
      <c r="P259" s="231"/>
      <c r="Q259" s="231"/>
      <c r="R259" s="108"/>
      <c r="S259" s="231"/>
      <c r="T259" s="108"/>
      <c r="U259" s="108"/>
      <c r="V259" s="108"/>
      <c r="W259" s="108"/>
      <c r="X259" s="108"/>
      <c r="Y259" s="108"/>
      <c r="Z259" s="108"/>
      <c r="AA259" s="21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</row>
    <row r="262">
      <c r="A262" s="218"/>
      <c r="B262" s="218"/>
      <c r="C262" s="225"/>
      <c r="D262" s="225"/>
      <c r="E262" s="225"/>
      <c r="F262" s="108"/>
      <c r="G262" s="108"/>
      <c r="H262" s="108"/>
      <c r="I262" s="108"/>
      <c r="J262" s="218"/>
      <c r="K262" s="108"/>
      <c r="L262" s="108"/>
      <c r="M262" s="108"/>
      <c r="N262" s="108"/>
      <c r="O262" s="21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</row>
    <row r="263">
      <c r="A263" s="108"/>
      <c r="B263" s="218"/>
      <c r="C263" s="225"/>
      <c r="D263" s="225"/>
      <c r="E263" s="225"/>
      <c r="F263" s="108"/>
      <c r="G263" s="108"/>
      <c r="H263" s="218"/>
      <c r="I263" s="21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21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</row>
    <row r="264">
      <c r="A264" s="108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</row>
    <row r="267">
      <c r="A267" s="218"/>
      <c r="B267" s="220"/>
      <c r="C267" s="225"/>
      <c r="D267" s="225"/>
      <c r="E267" s="225"/>
      <c r="F267" s="218"/>
      <c r="G267" s="218"/>
      <c r="H267" s="108"/>
      <c r="I267" s="108"/>
      <c r="J267" s="218"/>
      <c r="K267" s="225"/>
      <c r="L267" s="225"/>
      <c r="M267" s="108"/>
      <c r="N267" s="108"/>
      <c r="O267" s="218"/>
      <c r="P267" s="108"/>
      <c r="Q267" s="108"/>
      <c r="R267" s="108"/>
      <c r="S267" s="21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</row>
    <row r="268">
      <c r="A268" s="218"/>
      <c r="B268" s="108"/>
      <c r="C268" s="108"/>
      <c r="D268" s="108"/>
      <c r="E268" s="108"/>
      <c r="F268" s="218"/>
      <c r="G268" s="218"/>
      <c r="H268" s="108"/>
      <c r="I268" s="108"/>
      <c r="J268" s="218"/>
      <c r="K268" s="225"/>
      <c r="L268" s="225"/>
      <c r="M268" s="108"/>
      <c r="N268" s="108"/>
      <c r="O268" s="21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232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</row>
    <row r="271">
      <c r="A271" s="108"/>
      <c r="B271" s="220"/>
      <c r="C271" s="225"/>
      <c r="D271" s="225"/>
      <c r="E271" s="225"/>
      <c r="F271" s="221"/>
      <c r="G271" s="221"/>
      <c r="H271" s="108"/>
      <c r="I271" s="108"/>
      <c r="J271" s="218"/>
      <c r="K271" s="225"/>
      <c r="L271" s="225"/>
      <c r="M271" s="108"/>
      <c r="N271" s="108"/>
      <c r="O271" s="218"/>
      <c r="P271" s="218"/>
      <c r="Q271" s="218"/>
      <c r="R271" s="108"/>
      <c r="S271" s="218"/>
      <c r="T271" s="108"/>
      <c r="U271" s="108"/>
      <c r="V271" s="108"/>
      <c r="W271" s="108"/>
      <c r="X271" s="108"/>
      <c r="Y271" s="108"/>
      <c r="Z271" s="108"/>
      <c r="AA271" s="220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</row>
    <row r="272">
      <c r="A272" s="108"/>
      <c r="B272" s="220"/>
      <c r="C272" s="225"/>
      <c r="D272" s="225"/>
      <c r="E272" s="225"/>
      <c r="F272" s="221"/>
      <c r="G272" s="221"/>
      <c r="H272" s="108"/>
      <c r="I272" s="108"/>
      <c r="J272" s="218"/>
      <c r="K272" s="225"/>
      <c r="L272" s="225"/>
      <c r="M272" s="108"/>
      <c r="N272" s="108"/>
      <c r="O272" s="218"/>
      <c r="P272" s="108"/>
      <c r="Q272" s="108"/>
      <c r="R272" s="108"/>
      <c r="S272" s="218"/>
      <c r="T272" s="108"/>
      <c r="U272" s="108"/>
      <c r="V272" s="108"/>
      <c r="W272" s="108"/>
      <c r="X272" s="108"/>
      <c r="Y272" s="108"/>
      <c r="Z272" s="108"/>
      <c r="AA272" s="21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232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</row>
    <row r="274">
      <c r="A274" s="108"/>
      <c r="B274" s="218"/>
      <c r="C274" s="219"/>
      <c r="D274" s="219"/>
      <c r="E274" s="219"/>
      <c r="F274" s="220"/>
      <c r="G274" s="220"/>
      <c r="H274" s="108"/>
      <c r="I274" s="108"/>
      <c r="J274" s="218"/>
      <c r="K274" s="218"/>
      <c r="L274" s="218"/>
      <c r="M274" s="108"/>
      <c r="N274" s="108"/>
      <c r="O274" s="218"/>
      <c r="P274" s="220"/>
      <c r="Q274" s="220"/>
      <c r="R274" s="108"/>
      <c r="S274" s="218"/>
      <c r="T274" s="108"/>
      <c r="U274" s="108"/>
      <c r="V274" s="108"/>
      <c r="W274" s="108"/>
      <c r="X274" s="108"/>
      <c r="Y274" s="108"/>
      <c r="Z274" s="108"/>
      <c r="AA274" s="108"/>
      <c r="AB274" s="222"/>
      <c r="AC274" s="222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</row>
    <row r="276">
      <c r="A276" s="108"/>
      <c r="B276" s="218"/>
      <c r="C276" s="219"/>
      <c r="D276" s="219"/>
      <c r="E276" s="219"/>
      <c r="F276" s="220"/>
      <c r="G276" s="220"/>
      <c r="H276" s="108"/>
      <c r="I276" s="108"/>
      <c r="J276" s="218"/>
      <c r="K276" s="218"/>
      <c r="L276" s="218"/>
      <c r="M276" s="108"/>
      <c r="N276" s="108"/>
      <c r="O276" s="218"/>
      <c r="P276" s="220"/>
      <c r="Q276" s="220"/>
      <c r="R276" s="108"/>
      <c r="S276" s="218"/>
      <c r="T276" s="108"/>
      <c r="U276" s="108"/>
      <c r="V276" s="108"/>
      <c r="W276" s="108"/>
      <c r="X276" s="108"/>
      <c r="Y276" s="108"/>
      <c r="Z276" s="108"/>
      <c r="AA276" s="108"/>
      <c r="AB276" s="222"/>
      <c r="AC276" s="222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</row>
    <row r="277">
      <c r="A277" s="108"/>
      <c r="B277" s="218"/>
      <c r="C277" s="219"/>
      <c r="D277" s="219"/>
      <c r="E277" s="219"/>
      <c r="F277" s="220"/>
      <c r="G277" s="220"/>
      <c r="H277" s="108"/>
      <c r="I277" s="108"/>
      <c r="J277" s="218"/>
      <c r="K277" s="218"/>
      <c r="L277" s="218"/>
      <c r="M277" s="108"/>
      <c r="N277" s="108"/>
      <c r="O277" s="218"/>
      <c r="P277" s="220"/>
      <c r="Q277" s="220"/>
      <c r="R277" s="108"/>
      <c r="S277" s="218"/>
      <c r="T277" s="108"/>
      <c r="U277" s="108"/>
      <c r="V277" s="108"/>
      <c r="W277" s="108"/>
      <c r="X277" s="108"/>
      <c r="Y277" s="108"/>
      <c r="Z277" s="108"/>
      <c r="AA277" s="108"/>
      <c r="AB277" s="222"/>
      <c r="AC277" s="222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</row>
    <row r="278">
      <c r="A278" s="108"/>
      <c r="B278" s="218"/>
      <c r="C278" s="219"/>
      <c r="D278" s="219"/>
      <c r="E278" s="219"/>
      <c r="F278" s="220"/>
      <c r="G278" s="220"/>
      <c r="H278" s="108"/>
      <c r="I278" s="108"/>
      <c r="J278" s="218"/>
      <c r="K278" s="218"/>
      <c r="L278" s="218"/>
      <c r="M278" s="108"/>
      <c r="N278" s="108"/>
      <c r="O278" s="218"/>
      <c r="P278" s="220"/>
      <c r="Q278" s="220"/>
      <c r="R278" s="108"/>
      <c r="S278" s="218"/>
      <c r="T278" s="108"/>
      <c r="U278" s="108"/>
      <c r="V278" s="108"/>
      <c r="W278" s="108"/>
      <c r="X278" s="108"/>
      <c r="Y278" s="108"/>
      <c r="Z278" s="108"/>
      <c r="AA278" s="108"/>
      <c r="AB278" s="222"/>
      <c r="AC278" s="222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</row>
    <row r="279">
      <c r="A279" s="108"/>
      <c r="B279" s="218"/>
      <c r="C279" s="219"/>
      <c r="D279" s="219"/>
      <c r="E279" s="219"/>
      <c r="F279" s="220"/>
      <c r="G279" s="220"/>
      <c r="H279" s="108"/>
      <c r="I279" s="108"/>
      <c r="J279" s="218"/>
      <c r="K279" s="218"/>
      <c r="L279" s="218"/>
      <c r="M279" s="108"/>
      <c r="N279" s="108"/>
      <c r="O279" s="218"/>
      <c r="P279" s="220"/>
      <c r="Q279" s="220"/>
      <c r="R279" s="108"/>
      <c r="S279" s="218"/>
      <c r="T279" s="108"/>
      <c r="U279" s="108"/>
      <c r="V279" s="108"/>
      <c r="W279" s="108"/>
      <c r="X279" s="108"/>
      <c r="Y279" s="108"/>
      <c r="Z279" s="108"/>
      <c r="AA279" s="108"/>
      <c r="AB279" s="222"/>
      <c r="AC279" s="222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</row>
    <row r="280">
      <c r="A280" s="108"/>
      <c r="B280" s="218"/>
      <c r="C280" s="219"/>
      <c r="D280" s="219"/>
      <c r="E280" s="219"/>
      <c r="F280" s="220"/>
      <c r="G280" s="220"/>
      <c r="H280" s="108"/>
      <c r="I280" s="108"/>
      <c r="J280" s="218"/>
      <c r="K280" s="218"/>
      <c r="L280" s="218"/>
      <c r="M280" s="108"/>
      <c r="N280" s="108"/>
      <c r="O280" s="218"/>
      <c r="P280" s="220"/>
      <c r="Q280" s="220"/>
      <c r="R280" s="108"/>
      <c r="S280" s="218"/>
      <c r="T280" s="108"/>
      <c r="U280" s="108"/>
      <c r="V280" s="108"/>
      <c r="W280" s="108"/>
      <c r="X280" s="108"/>
      <c r="Y280" s="108"/>
      <c r="Z280" s="108"/>
      <c r="AA280" s="108"/>
      <c r="AB280" s="222"/>
      <c r="AC280" s="222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  <c r="AI1001" s="108"/>
      <c r="AJ1001" s="108"/>
      <c r="AK1001" s="108"/>
      <c r="AL1001" s="108"/>
      <c r="AM1001" s="108"/>
    </row>
    <row r="1002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  <c r="AI1002" s="108"/>
      <c r="AJ1002" s="108"/>
      <c r="AK1002" s="108"/>
      <c r="AL1002" s="108"/>
      <c r="AM1002" s="108"/>
    </row>
    <row r="1003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  <c r="AI1003" s="108"/>
      <c r="AJ1003" s="108"/>
      <c r="AK1003" s="108"/>
      <c r="AL1003" s="108"/>
      <c r="AM1003" s="108"/>
    </row>
    <row r="1004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  <c r="AI1004" s="108"/>
      <c r="AJ1004" s="108"/>
      <c r="AK1004" s="108"/>
      <c r="AL1004" s="108"/>
      <c r="AM1004" s="108"/>
    </row>
    <row r="1005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  <c r="AI1005" s="108"/>
      <c r="AJ1005" s="108"/>
      <c r="AK1005" s="108"/>
      <c r="AL1005" s="108"/>
      <c r="AM1005" s="108"/>
    </row>
    <row r="1006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  <c r="AI1006" s="108"/>
      <c r="AJ1006" s="108"/>
      <c r="AK1006" s="108"/>
      <c r="AL1006" s="108"/>
      <c r="AM1006" s="108"/>
    </row>
    <row r="1007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  <c r="AI1007" s="108"/>
      <c r="AJ1007" s="108"/>
      <c r="AK1007" s="108"/>
      <c r="AL1007" s="108"/>
      <c r="AM1007" s="108"/>
    </row>
    <row r="1008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  <c r="AI1008" s="108"/>
      <c r="AJ1008" s="108"/>
      <c r="AK1008" s="108"/>
      <c r="AL1008" s="108"/>
      <c r="AM1008" s="108"/>
    </row>
    <row r="1009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  <c r="AI1009" s="108"/>
      <c r="AJ1009" s="108"/>
      <c r="AK1009" s="108"/>
      <c r="AL1009" s="108"/>
      <c r="AM1009" s="108"/>
    </row>
    <row r="1010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  <c r="AI1010" s="108"/>
      <c r="AJ1010" s="108"/>
      <c r="AK1010" s="108"/>
      <c r="AL1010" s="108"/>
      <c r="AM1010" s="108"/>
    </row>
    <row r="101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/>
    </row>
    <row r="1012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  <c r="AI1012" s="108"/>
      <c r="AJ1012" s="108"/>
      <c r="AK1012" s="108"/>
      <c r="AL1012" s="108"/>
      <c r="AM1012" s="108"/>
    </row>
    <row r="1013">
      <c r="A1013" s="108"/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  <c r="AI1013" s="108"/>
      <c r="AJ1013" s="108"/>
      <c r="AK1013" s="108"/>
      <c r="AL1013" s="108"/>
      <c r="AM1013" s="108"/>
    </row>
    <row r="1014">
      <c r="A1014" s="108"/>
      <c r="B1014" s="108"/>
      <c r="C1014" s="108"/>
      <c r="D1014" s="108"/>
      <c r="E1014" s="108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/>
    </row>
    <row r="1015">
      <c r="A1015" s="108"/>
      <c r="B1015" s="108"/>
      <c r="C1015" s="108"/>
      <c r="D1015" s="108"/>
      <c r="E1015" s="108"/>
      <c r="F1015" s="108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  <c r="AI1015" s="108"/>
      <c r="AJ1015" s="108"/>
      <c r="AK1015" s="108"/>
      <c r="AL1015" s="108"/>
      <c r="AM1015" s="108"/>
    </row>
    <row r="1016">
      <c r="A1016" s="108"/>
      <c r="B1016" s="108"/>
      <c r="C1016" s="108"/>
      <c r="D1016" s="108"/>
      <c r="E1016" s="108"/>
      <c r="F1016" s="108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  <c r="AI1016" s="108"/>
      <c r="AJ1016" s="108"/>
      <c r="AK1016" s="108"/>
      <c r="AL1016" s="108"/>
      <c r="AM1016" s="108"/>
    </row>
    <row r="1017">
      <c r="A1017" s="108"/>
      <c r="B1017" s="108"/>
      <c r="C1017" s="108"/>
      <c r="D1017" s="108"/>
      <c r="E1017" s="108"/>
      <c r="F1017" s="108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  <c r="AI1017" s="108"/>
      <c r="AJ1017" s="108"/>
      <c r="AK1017" s="108"/>
      <c r="AL1017" s="108"/>
      <c r="AM1017" s="108"/>
    </row>
    <row r="1018">
      <c r="A1018" s="108"/>
      <c r="B1018" s="108"/>
      <c r="C1018" s="108"/>
      <c r="D1018" s="108"/>
      <c r="E1018" s="108"/>
      <c r="F1018" s="108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  <c r="AI1018" s="108"/>
      <c r="AJ1018" s="108"/>
      <c r="AK1018" s="108"/>
      <c r="AL1018" s="108"/>
      <c r="AM1018" s="108"/>
    </row>
    <row r="1019">
      <c r="A1019" s="108"/>
      <c r="B1019" s="108"/>
      <c r="C1019" s="108"/>
      <c r="D1019" s="108"/>
      <c r="E1019" s="108"/>
      <c r="F1019" s="108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  <c r="AI1019" s="108"/>
      <c r="AJ1019" s="108"/>
      <c r="AK1019" s="108"/>
      <c r="AL1019" s="108"/>
      <c r="AM1019" s="108"/>
    </row>
    <row r="1020">
      <c r="A1020" s="108"/>
      <c r="B1020" s="108"/>
      <c r="C1020" s="108"/>
      <c r="D1020" s="108"/>
      <c r="E1020" s="108"/>
      <c r="F1020" s="108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  <c r="AI1020" s="108"/>
      <c r="AJ1020" s="108"/>
      <c r="AK1020" s="108"/>
      <c r="AL1020" s="108"/>
      <c r="AM1020" s="108"/>
    </row>
    <row r="1021">
      <c r="A1021" s="108"/>
      <c r="B1021" s="108"/>
      <c r="C1021" s="108"/>
      <c r="D1021" s="108"/>
      <c r="E1021" s="108"/>
      <c r="F1021" s="108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  <c r="AI1021" s="108"/>
      <c r="AJ1021" s="108"/>
      <c r="AK1021" s="108"/>
      <c r="AL1021" s="108"/>
      <c r="AM1021" s="108"/>
    </row>
    <row r="1022">
      <c r="A1022" s="108"/>
      <c r="B1022" s="108"/>
      <c r="C1022" s="108"/>
      <c r="D1022" s="108"/>
      <c r="E1022" s="108"/>
      <c r="F1022" s="108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  <c r="AI1022" s="108"/>
      <c r="AJ1022" s="108"/>
      <c r="AK1022" s="108"/>
      <c r="AL1022" s="108"/>
      <c r="AM1022" s="108"/>
    </row>
    <row r="1023">
      <c r="A1023" s="108"/>
      <c r="B1023" s="108"/>
      <c r="C1023" s="108"/>
      <c r="D1023" s="108"/>
      <c r="E1023" s="108"/>
      <c r="F1023" s="108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  <c r="AI1023" s="108"/>
      <c r="AJ1023" s="108"/>
      <c r="AK1023" s="108"/>
      <c r="AL1023" s="108"/>
      <c r="AM1023" s="108"/>
    </row>
    <row r="1024">
      <c r="A1024" s="108"/>
      <c r="B1024" s="108"/>
      <c r="C1024" s="108"/>
      <c r="D1024" s="108"/>
      <c r="E1024" s="108"/>
      <c r="F1024" s="108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  <c r="AI1024" s="108"/>
      <c r="AJ1024" s="108"/>
      <c r="AK1024" s="108"/>
      <c r="AL1024" s="108"/>
      <c r="AM1024" s="108"/>
    </row>
    <row r="1025">
      <c r="A1025" s="108"/>
      <c r="B1025" s="108"/>
      <c r="C1025" s="108"/>
      <c r="D1025" s="108"/>
      <c r="E1025" s="108"/>
      <c r="F1025" s="108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  <c r="AI1025" s="108"/>
      <c r="AJ1025" s="108"/>
      <c r="AK1025" s="108"/>
      <c r="AL1025" s="108"/>
      <c r="AM1025" s="108"/>
    </row>
    <row r="1026">
      <c r="A1026" s="108"/>
      <c r="B1026" s="108"/>
      <c r="C1026" s="108"/>
      <c r="D1026" s="108"/>
      <c r="E1026" s="108"/>
      <c r="F1026" s="108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  <c r="AI1026" s="108"/>
      <c r="AJ1026" s="108"/>
      <c r="AK1026" s="108"/>
      <c r="AL1026" s="108"/>
      <c r="AM1026" s="108"/>
    </row>
    <row r="1027">
      <c r="A1027" s="108"/>
      <c r="B1027" s="108"/>
      <c r="C1027" s="108"/>
      <c r="D1027" s="108"/>
      <c r="E1027" s="108"/>
      <c r="F1027" s="108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  <c r="AI1027" s="108"/>
      <c r="AJ1027" s="108"/>
      <c r="AK1027" s="108"/>
      <c r="AL1027" s="108"/>
      <c r="AM1027" s="108"/>
    </row>
    <row r="1028">
      <c r="A1028" s="108"/>
      <c r="B1028" s="108"/>
      <c r="C1028" s="108"/>
      <c r="D1028" s="108"/>
      <c r="E1028" s="108"/>
      <c r="F1028" s="108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  <c r="AI1028" s="108"/>
      <c r="AJ1028" s="108"/>
      <c r="AK1028" s="108"/>
      <c r="AL1028" s="108"/>
      <c r="AM1028" s="108"/>
    </row>
    <row r="1029">
      <c r="A1029" s="108"/>
      <c r="B1029" s="108"/>
      <c r="C1029" s="108"/>
      <c r="D1029" s="108"/>
      <c r="E1029" s="108"/>
      <c r="F1029" s="108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  <c r="AI1029" s="108"/>
      <c r="AJ1029" s="108"/>
      <c r="AK1029" s="108"/>
      <c r="AL1029" s="108"/>
      <c r="AM1029" s="108"/>
    </row>
    <row r="1030">
      <c r="A1030" s="108"/>
      <c r="B1030" s="108"/>
      <c r="C1030" s="108"/>
      <c r="D1030" s="108"/>
      <c r="E1030" s="108"/>
      <c r="F1030" s="108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  <c r="AI1030" s="108"/>
      <c r="AJ1030" s="108"/>
      <c r="AK1030" s="108"/>
      <c r="AL1030" s="108"/>
      <c r="AM1030" s="108"/>
    </row>
    <row r="1031">
      <c r="A1031" s="108"/>
      <c r="B1031" s="108"/>
      <c r="C1031" s="108"/>
      <c r="D1031" s="108"/>
      <c r="E1031" s="108"/>
      <c r="F1031" s="108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  <c r="AI1031" s="108"/>
      <c r="AJ1031" s="108"/>
      <c r="AK1031" s="108"/>
      <c r="AL1031" s="108"/>
      <c r="AM1031" s="108"/>
    </row>
    <row r="1032">
      <c r="A1032" s="108"/>
      <c r="B1032" s="108"/>
      <c r="C1032" s="108"/>
      <c r="D1032" s="108"/>
      <c r="E1032" s="108"/>
      <c r="F1032" s="108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  <c r="AI1032" s="108"/>
      <c r="AJ1032" s="108"/>
      <c r="AK1032" s="108"/>
      <c r="AL1032" s="108"/>
      <c r="AM1032" s="108"/>
    </row>
    <row r="1033">
      <c r="A1033" s="108"/>
      <c r="B1033" s="108"/>
      <c r="C1033" s="108"/>
      <c r="D1033" s="108"/>
      <c r="E1033" s="108"/>
      <c r="F1033" s="108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  <c r="AI1033" s="108"/>
      <c r="AJ1033" s="108"/>
      <c r="AK1033" s="108"/>
      <c r="AL1033" s="108"/>
      <c r="AM1033" s="108"/>
    </row>
    <row r="1034">
      <c r="A1034" s="108"/>
      <c r="B1034" s="108"/>
      <c r="C1034" s="108"/>
      <c r="D1034" s="108"/>
      <c r="E1034" s="108"/>
      <c r="F1034" s="108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  <c r="AI1034" s="108"/>
      <c r="AJ1034" s="108"/>
      <c r="AK1034" s="108"/>
      <c r="AL1034" s="108"/>
      <c r="AM1034" s="108"/>
    </row>
    <row r="1035">
      <c r="A1035" s="108"/>
      <c r="B1035" s="108"/>
      <c r="C1035" s="108"/>
      <c r="D1035" s="108"/>
      <c r="E1035" s="108"/>
      <c r="F1035" s="108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  <c r="AI1035" s="108"/>
      <c r="AJ1035" s="108"/>
      <c r="AK1035" s="108"/>
      <c r="AL1035" s="108"/>
      <c r="AM1035" s="108"/>
    </row>
    <row r="1036">
      <c r="A1036" s="108"/>
      <c r="B1036" s="108"/>
      <c r="C1036" s="108"/>
      <c r="D1036" s="108"/>
      <c r="E1036" s="108"/>
      <c r="F1036" s="108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  <c r="AI1036" s="108"/>
      <c r="AJ1036" s="108"/>
      <c r="AK1036" s="108"/>
      <c r="AL1036" s="108"/>
      <c r="AM1036" s="108"/>
    </row>
    <row r="1037">
      <c r="A1037" s="108"/>
      <c r="B1037" s="108"/>
      <c r="C1037" s="108"/>
      <c r="D1037" s="108"/>
      <c r="E1037" s="108"/>
      <c r="F1037" s="108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  <c r="AI1037" s="108"/>
      <c r="AJ1037" s="108"/>
      <c r="AK1037" s="108"/>
      <c r="AL1037" s="108"/>
      <c r="AM1037" s="108"/>
    </row>
    <row r="1038">
      <c r="A1038" s="108"/>
      <c r="B1038" s="108"/>
      <c r="C1038" s="108"/>
      <c r="D1038" s="108"/>
      <c r="E1038" s="108"/>
      <c r="F1038" s="108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  <c r="AI1038" s="108"/>
      <c r="AJ1038" s="108"/>
      <c r="AK1038" s="108"/>
      <c r="AL1038" s="108"/>
      <c r="AM1038" s="108"/>
    </row>
    <row r="1039">
      <c r="A1039" s="108"/>
      <c r="B1039" s="108"/>
      <c r="C1039" s="108"/>
      <c r="D1039" s="108"/>
      <c r="E1039" s="108"/>
      <c r="F1039" s="108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  <c r="AI1039" s="108"/>
      <c r="AJ1039" s="108"/>
      <c r="AK1039" s="108"/>
      <c r="AL1039" s="108"/>
      <c r="AM1039" s="108"/>
    </row>
    <row r="1040">
      <c r="A1040" s="108"/>
      <c r="B1040" s="108"/>
      <c r="C1040" s="108"/>
      <c r="D1040" s="108"/>
      <c r="E1040" s="108"/>
      <c r="F1040" s="108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  <c r="AI1040" s="108"/>
      <c r="AJ1040" s="108"/>
      <c r="AK1040" s="108"/>
      <c r="AL1040" s="108"/>
      <c r="AM1040" s="108"/>
    </row>
    <row r="1041">
      <c r="A1041" s="108"/>
      <c r="B1041" s="108"/>
      <c r="C1041" s="108"/>
      <c r="D1041" s="108"/>
      <c r="E1041" s="108"/>
      <c r="F1041" s="108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  <c r="AI1041" s="108"/>
      <c r="AJ1041" s="108"/>
      <c r="AK1041" s="108"/>
      <c r="AL1041" s="108"/>
      <c r="AM1041" s="108"/>
    </row>
    <row r="1042">
      <c r="A1042" s="108"/>
      <c r="B1042" s="108"/>
      <c r="C1042" s="108"/>
      <c r="D1042" s="108"/>
      <c r="E1042" s="108"/>
      <c r="F1042" s="108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  <c r="AI1042" s="108"/>
      <c r="AJ1042" s="108"/>
      <c r="AK1042" s="108"/>
      <c r="AL1042" s="108"/>
      <c r="AM1042" s="108"/>
    </row>
    <row r="1043">
      <c r="A1043" s="108"/>
      <c r="B1043" s="108"/>
      <c r="C1043" s="108"/>
      <c r="D1043" s="108"/>
      <c r="E1043" s="108"/>
      <c r="F1043" s="108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  <c r="AI1043" s="108"/>
      <c r="AJ1043" s="108"/>
      <c r="AK1043" s="108"/>
      <c r="AL1043" s="108"/>
      <c r="AM1043" s="108"/>
    </row>
    <row r="1044">
      <c r="A1044" s="108"/>
      <c r="B1044" s="108"/>
      <c r="C1044" s="108"/>
      <c r="D1044" s="108"/>
      <c r="E1044" s="108"/>
      <c r="F1044" s="108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  <c r="AI1044" s="108"/>
      <c r="AJ1044" s="108"/>
      <c r="AK1044" s="108"/>
      <c r="AL1044" s="108"/>
      <c r="AM1044" s="108"/>
    </row>
    <row r="1045">
      <c r="A1045" s="108"/>
      <c r="B1045" s="108"/>
      <c r="C1045" s="108"/>
      <c r="D1045" s="108"/>
      <c r="E1045" s="108"/>
      <c r="F1045" s="108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  <c r="AI1045" s="108"/>
      <c r="AJ1045" s="108"/>
      <c r="AK1045" s="108"/>
      <c r="AL1045" s="108"/>
      <c r="AM1045" s="108"/>
    </row>
    <row r="1046">
      <c r="A1046" s="108"/>
      <c r="B1046" s="108"/>
      <c r="C1046" s="108"/>
      <c r="D1046" s="108"/>
      <c r="E1046" s="108"/>
      <c r="F1046" s="108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  <c r="AI1046" s="108"/>
      <c r="AJ1046" s="108"/>
      <c r="AK1046" s="108"/>
      <c r="AL1046" s="108"/>
      <c r="AM1046" s="108"/>
    </row>
    <row r="1047">
      <c r="A1047" s="108"/>
      <c r="B1047" s="108"/>
      <c r="C1047" s="108"/>
      <c r="D1047" s="108"/>
      <c r="E1047" s="108"/>
      <c r="F1047" s="108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  <c r="AI1047" s="108"/>
      <c r="AJ1047" s="108"/>
      <c r="AK1047" s="108"/>
      <c r="AL1047" s="108"/>
      <c r="AM1047" s="108"/>
    </row>
    <row r="1048">
      <c r="A1048" s="108"/>
      <c r="B1048" s="108"/>
      <c r="C1048" s="108"/>
      <c r="D1048" s="108"/>
      <c r="E1048" s="108"/>
      <c r="F1048" s="108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  <c r="AI1048" s="108"/>
      <c r="AJ1048" s="108"/>
      <c r="AK1048" s="108"/>
      <c r="AL1048" s="108"/>
      <c r="AM1048" s="108"/>
    </row>
    <row r="1049">
      <c r="A1049" s="108"/>
      <c r="B1049" s="108"/>
      <c r="C1049" s="108"/>
      <c r="D1049" s="108"/>
      <c r="E1049" s="108"/>
      <c r="F1049" s="108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/>
    </row>
    <row r="1050">
      <c r="A1050" s="108"/>
      <c r="B1050" s="108"/>
      <c r="C1050" s="108"/>
      <c r="D1050" s="108"/>
      <c r="E1050" s="108"/>
      <c r="F1050" s="108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  <c r="AI1050" s="108"/>
      <c r="AJ1050" s="108"/>
      <c r="AK1050" s="108"/>
      <c r="AL1050" s="108"/>
      <c r="AM1050" s="108"/>
    </row>
    <row r="1051">
      <c r="A1051" s="108"/>
      <c r="B1051" s="108"/>
      <c r="C1051" s="108"/>
      <c r="D1051" s="108"/>
      <c r="E1051" s="108"/>
      <c r="F1051" s="108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  <c r="AI1051" s="108"/>
      <c r="AJ1051" s="108"/>
      <c r="AK1051" s="108"/>
      <c r="AL1051" s="108"/>
      <c r="AM1051" s="108"/>
    </row>
    <row r="1052">
      <c r="A1052" s="108"/>
      <c r="B1052" s="108"/>
      <c r="C1052" s="108"/>
      <c r="D1052" s="108"/>
      <c r="E1052" s="108"/>
      <c r="F1052" s="108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/>
    </row>
    <row r="1053">
      <c r="A1053" s="108"/>
      <c r="B1053" s="108"/>
      <c r="C1053" s="108"/>
      <c r="D1053" s="108"/>
      <c r="E1053" s="108"/>
      <c r="F1053" s="108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  <c r="AI1053" s="108"/>
      <c r="AJ1053" s="108"/>
      <c r="AK1053" s="108"/>
      <c r="AL1053" s="108"/>
      <c r="AM1053" s="108"/>
    </row>
    <row r="1054">
      <c r="A1054" s="108"/>
      <c r="B1054" s="108"/>
      <c r="C1054" s="108"/>
      <c r="D1054" s="108"/>
      <c r="E1054" s="108"/>
      <c r="F1054" s="108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  <c r="AI1054" s="108"/>
      <c r="AJ1054" s="108"/>
      <c r="AK1054" s="108"/>
      <c r="AL1054" s="108"/>
      <c r="AM1054" s="108"/>
    </row>
    <row r="1055">
      <c r="A1055" s="108"/>
      <c r="B1055" s="108"/>
      <c r="C1055" s="108"/>
      <c r="D1055" s="108"/>
      <c r="E1055" s="108"/>
      <c r="F1055" s="108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  <c r="AI1055" s="108"/>
      <c r="AJ1055" s="108"/>
      <c r="AK1055" s="108"/>
      <c r="AL1055" s="108"/>
      <c r="AM1055" s="108"/>
    </row>
    <row r="1056">
      <c r="A1056" s="108"/>
      <c r="B1056" s="108"/>
      <c r="C1056" s="108"/>
      <c r="D1056" s="108"/>
      <c r="E1056" s="108"/>
      <c r="F1056" s="108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  <c r="AI1056" s="108"/>
      <c r="AJ1056" s="108"/>
      <c r="AK1056" s="108"/>
      <c r="AL1056" s="108"/>
      <c r="AM1056" s="108"/>
    </row>
    <row r="1057">
      <c r="A1057" s="108"/>
      <c r="B1057" s="108"/>
      <c r="C1057" s="108"/>
      <c r="D1057" s="108"/>
      <c r="E1057" s="108"/>
      <c r="F1057" s="108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  <c r="AI1057" s="108"/>
      <c r="AJ1057" s="108"/>
      <c r="AK1057" s="108"/>
      <c r="AL1057" s="108"/>
      <c r="AM1057" s="108"/>
    </row>
    <row r="1058">
      <c r="A1058" s="108"/>
      <c r="B1058" s="108"/>
      <c r="C1058" s="108"/>
      <c r="D1058" s="108"/>
      <c r="E1058" s="108"/>
      <c r="F1058" s="108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  <c r="AI1058" s="108"/>
      <c r="AJ1058" s="108"/>
      <c r="AK1058" s="108"/>
      <c r="AL1058" s="108"/>
      <c r="AM1058" s="108"/>
    </row>
    <row r="1059">
      <c r="A1059" s="108"/>
      <c r="B1059" s="108"/>
      <c r="C1059" s="108"/>
      <c r="D1059" s="108"/>
      <c r="E1059" s="108"/>
      <c r="F1059" s="108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  <c r="AI1059" s="108"/>
      <c r="AJ1059" s="108"/>
      <c r="AK1059" s="108"/>
      <c r="AL1059" s="108"/>
      <c r="AM1059" s="108"/>
    </row>
    <row r="1060">
      <c r="A1060" s="108"/>
      <c r="B1060" s="108"/>
      <c r="C1060" s="108"/>
      <c r="D1060" s="108"/>
      <c r="E1060" s="108"/>
      <c r="F1060" s="108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  <c r="AI1060" s="108"/>
      <c r="AJ1060" s="108"/>
      <c r="AK1060" s="108"/>
      <c r="AL1060" s="108"/>
      <c r="AM1060" s="108"/>
    </row>
    <row r="1061">
      <c r="A1061" s="108"/>
      <c r="B1061" s="108"/>
      <c r="C1061" s="108"/>
      <c r="D1061" s="108"/>
      <c r="E1061" s="108"/>
      <c r="F1061" s="108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  <c r="AI1061" s="108"/>
      <c r="AJ1061" s="108"/>
      <c r="AK1061" s="108"/>
      <c r="AL1061" s="108"/>
      <c r="AM1061" s="108"/>
    </row>
    <row r="1062">
      <c r="A1062" s="108"/>
      <c r="B1062" s="108"/>
      <c r="C1062" s="108"/>
      <c r="D1062" s="108"/>
      <c r="E1062" s="108"/>
      <c r="F1062" s="108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  <c r="AI1062" s="108"/>
      <c r="AJ1062" s="108"/>
      <c r="AK1062" s="108"/>
      <c r="AL1062" s="108"/>
      <c r="AM1062" s="108"/>
    </row>
    <row r="1063">
      <c r="A1063" s="108"/>
      <c r="B1063" s="108"/>
      <c r="C1063" s="108"/>
      <c r="D1063" s="108"/>
      <c r="E1063" s="108"/>
      <c r="F1063" s="108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  <c r="AI1063" s="108"/>
      <c r="AJ1063" s="108"/>
      <c r="AK1063" s="108"/>
      <c r="AL1063" s="108"/>
      <c r="AM1063" s="108"/>
    </row>
    <row r="1064">
      <c r="A1064" s="108"/>
      <c r="B1064" s="108"/>
      <c r="C1064" s="108"/>
      <c r="D1064" s="108"/>
      <c r="E1064" s="108"/>
      <c r="F1064" s="108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  <c r="AI1064" s="108"/>
      <c r="AJ1064" s="108"/>
      <c r="AK1064" s="108"/>
      <c r="AL1064" s="108"/>
      <c r="AM1064" s="108"/>
    </row>
    <row r="1065">
      <c r="A1065" s="108"/>
      <c r="B1065" s="108"/>
      <c r="C1065" s="108"/>
      <c r="D1065" s="108"/>
      <c r="E1065" s="108"/>
      <c r="F1065" s="108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  <c r="AI1065" s="108"/>
      <c r="AJ1065" s="108"/>
      <c r="AK1065" s="108"/>
      <c r="AL1065" s="108"/>
      <c r="AM1065" s="108"/>
    </row>
    <row r="1066">
      <c r="A1066" s="108"/>
      <c r="B1066" s="108"/>
      <c r="C1066" s="108"/>
      <c r="D1066" s="108"/>
      <c r="E1066" s="108"/>
      <c r="F1066" s="108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  <c r="AI1066" s="108"/>
      <c r="AJ1066" s="108"/>
      <c r="AK1066" s="108"/>
      <c r="AL1066" s="108"/>
      <c r="AM1066" s="108"/>
    </row>
    <row r="1067">
      <c r="A1067" s="108"/>
      <c r="B1067" s="108"/>
      <c r="C1067" s="108"/>
      <c r="D1067" s="108"/>
      <c r="E1067" s="108"/>
      <c r="F1067" s="108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  <c r="AI1067" s="108"/>
      <c r="AJ1067" s="108"/>
      <c r="AK1067" s="108"/>
      <c r="AL1067" s="108"/>
      <c r="AM1067" s="108"/>
    </row>
    <row r="1068" ht="17.25" customHeight="1">
      <c r="A1068" s="96"/>
      <c r="B1068" s="76"/>
      <c r="C1068" s="53"/>
      <c r="D1068" s="53"/>
      <c r="E1068" s="53"/>
      <c r="F1068" s="90"/>
      <c r="G1068" s="55"/>
      <c r="H1068" s="64"/>
      <c r="I1068" s="64"/>
      <c r="J1068" s="49"/>
      <c r="K1068" s="43"/>
      <c r="L1068" s="43"/>
      <c r="M1068" s="44"/>
      <c r="N1068" s="44"/>
      <c r="O1068" s="127"/>
      <c r="P1068" s="64"/>
      <c r="Q1068" s="64"/>
      <c r="R1068" s="104"/>
      <c r="S1068" s="49"/>
      <c r="T1068" s="49"/>
      <c r="U1068" s="89"/>
      <c r="V1068" s="47"/>
      <c r="W1068" s="49"/>
      <c r="X1068" s="49"/>
      <c r="Y1068" s="49"/>
      <c r="Z1068" s="49"/>
      <c r="AA1068" s="49"/>
      <c r="AB1068" s="50"/>
      <c r="AC1068" s="50"/>
      <c r="AD1068" s="108"/>
      <c r="AE1068" s="108"/>
      <c r="AF1068" s="108"/>
      <c r="AG1068" s="108"/>
      <c r="AH1068" s="108"/>
      <c r="AI1068" s="108"/>
      <c r="AJ1068" s="108"/>
      <c r="AK1068" s="108"/>
      <c r="AL1068" s="108"/>
      <c r="AM1068" s="108"/>
    </row>
    <row r="1069" ht="17.25" customHeight="1">
      <c r="A1069" s="200"/>
      <c r="B1069" s="90"/>
      <c r="C1069" s="56"/>
      <c r="D1069" s="56"/>
      <c r="E1069" s="56"/>
      <c r="F1069" s="90"/>
      <c r="G1069" s="90"/>
      <c r="H1069" s="64"/>
      <c r="I1069" s="64"/>
      <c r="J1069" s="49"/>
      <c r="K1069" s="44"/>
      <c r="L1069" s="44"/>
      <c r="M1069" s="44"/>
      <c r="N1069" s="44"/>
      <c r="O1069" s="198"/>
      <c r="P1069" s="104"/>
      <c r="Q1069" s="104"/>
      <c r="R1069" s="104"/>
      <c r="S1069" s="49"/>
      <c r="T1069" s="199"/>
      <c r="U1069" s="89"/>
      <c r="V1069" s="47"/>
      <c r="W1069" s="49"/>
      <c r="X1069" s="49"/>
      <c r="Y1069" s="49"/>
      <c r="Z1069" s="50"/>
      <c r="AA1069" s="50"/>
      <c r="AB1069" s="50"/>
      <c r="AC1069" s="50"/>
      <c r="AD1069" s="108"/>
      <c r="AE1069" s="108"/>
      <c r="AF1069" s="108"/>
      <c r="AG1069" s="108"/>
      <c r="AH1069" s="108"/>
      <c r="AI1069" s="108"/>
      <c r="AJ1069" s="108"/>
      <c r="AK1069" s="108"/>
      <c r="AL1069" s="108"/>
      <c r="AM1069" s="108"/>
    </row>
    <row r="1070" ht="17.25" customHeight="1">
      <c r="A1070" s="233"/>
      <c r="B1070" s="183"/>
      <c r="C1070" s="53"/>
      <c r="D1070" s="53"/>
      <c r="E1070" s="53"/>
      <c r="F1070" s="90"/>
      <c r="G1070" s="55"/>
      <c r="H1070" s="64"/>
      <c r="I1070" s="64"/>
      <c r="J1070" s="49"/>
      <c r="K1070" s="43"/>
      <c r="L1070" s="43"/>
      <c r="M1070" s="44"/>
      <c r="N1070" s="44"/>
      <c r="O1070" s="127"/>
      <c r="P1070" s="104"/>
      <c r="Q1070" s="104"/>
      <c r="R1070" s="104"/>
      <c r="S1070" s="49"/>
      <c r="T1070" s="49"/>
      <c r="U1070" s="89"/>
      <c r="V1070" s="47"/>
      <c r="W1070" s="49"/>
      <c r="X1070" s="49"/>
      <c r="Y1070" s="49"/>
      <c r="Z1070" s="49"/>
      <c r="AA1070" s="50"/>
      <c r="AB1070" s="50"/>
      <c r="AC1070" s="50"/>
      <c r="AD1070" s="108"/>
      <c r="AE1070" s="108"/>
      <c r="AF1070" s="108"/>
      <c r="AG1070" s="108"/>
      <c r="AH1070" s="108"/>
      <c r="AI1070" s="108"/>
      <c r="AJ1070" s="108"/>
      <c r="AK1070" s="108"/>
      <c r="AL1070" s="108"/>
      <c r="AM1070" s="108"/>
    </row>
    <row r="1071" ht="17.25" customHeight="1">
      <c r="A1071" s="200"/>
      <c r="B1071" s="183"/>
      <c r="C1071" s="53"/>
      <c r="D1071" s="53"/>
      <c r="E1071" s="53"/>
      <c r="F1071" s="90"/>
      <c r="G1071" s="90"/>
      <c r="H1071" s="64"/>
      <c r="I1071" s="64"/>
      <c r="J1071" s="49"/>
      <c r="K1071" s="49"/>
      <c r="L1071" s="49"/>
      <c r="M1071" s="44"/>
      <c r="N1071" s="44"/>
      <c r="O1071" s="198"/>
      <c r="P1071" s="104"/>
      <c r="Q1071" s="104"/>
      <c r="R1071" s="104"/>
      <c r="S1071" s="49"/>
      <c r="T1071" s="199"/>
      <c r="U1071" s="89"/>
      <c r="V1071" s="47"/>
      <c r="W1071" s="49"/>
      <c r="X1071" s="49"/>
      <c r="Y1071" s="49"/>
      <c r="Z1071" s="50"/>
      <c r="AA1071" s="50"/>
      <c r="AB1071" s="50"/>
      <c r="AC1071" s="50"/>
      <c r="AD1071" s="108"/>
      <c r="AE1071" s="108"/>
      <c r="AF1071" s="108"/>
      <c r="AG1071" s="108"/>
      <c r="AH1071" s="108"/>
      <c r="AI1071" s="108"/>
      <c r="AJ1071" s="108"/>
      <c r="AK1071" s="108"/>
      <c r="AL1071" s="108"/>
      <c r="AM1071" s="108"/>
    </row>
    <row r="1072" ht="17.25" customHeight="1">
      <c r="A1072" s="200"/>
      <c r="B1072" s="183"/>
      <c r="C1072" s="53"/>
      <c r="D1072" s="53"/>
      <c r="E1072" s="53"/>
      <c r="F1072" s="90"/>
      <c r="G1072" s="90"/>
      <c r="H1072" s="64"/>
      <c r="I1072" s="64"/>
      <c r="J1072" s="49"/>
      <c r="K1072" s="49"/>
      <c r="L1072" s="49"/>
      <c r="M1072" s="44"/>
      <c r="N1072" s="44"/>
      <c r="O1072" s="198"/>
      <c r="P1072" s="104"/>
      <c r="Q1072" s="104"/>
      <c r="R1072" s="104"/>
      <c r="S1072" s="49"/>
      <c r="T1072" s="199"/>
      <c r="U1072" s="89"/>
      <c r="V1072" s="47"/>
      <c r="W1072" s="49"/>
      <c r="X1072" s="49"/>
      <c r="Y1072" s="49"/>
      <c r="Z1072" s="50"/>
      <c r="AA1072" s="50"/>
      <c r="AB1072" s="50"/>
      <c r="AC1072" s="50"/>
      <c r="AD1072" s="108"/>
      <c r="AE1072" s="108"/>
      <c r="AF1072" s="108"/>
      <c r="AG1072" s="108"/>
      <c r="AH1072" s="108"/>
      <c r="AI1072" s="108"/>
      <c r="AJ1072" s="108"/>
      <c r="AK1072" s="108"/>
      <c r="AL1072" s="108"/>
      <c r="AM1072" s="108"/>
    </row>
    <row r="1073" ht="17.25" customHeight="1">
      <c r="A1073" s="233"/>
      <c r="B1073" s="183"/>
      <c r="C1073" s="53"/>
      <c r="D1073" s="53"/>
      <c r="E1073" s="53"/>
      <c r="F1073" s="90"/>
      <c r="G1073" s="55"/>
      <c r="H1073" s="64"/>
      <c r="I1073" s="64"/>
      <c r="J1073" s="49"/>
      <c r="K1073" s="43"/>
      <c r="L1073" s="43"/>
      <c r="M1073" s="44"/>
      <c r="N1073" s="44"/>
      <c r="O1073" s="127"/>
      <c r="P1073" s="64"/>
      <c r="Q1073" s="64"/>
      <c r="R1073" s="104"/>
      <c r="S1073" s="234"/>
      <c r="T1073" s="49"/>
      <c r="U1073" s="89"/>
      <c r="V1073" s="47"/>
      <c r="W1073" s="49"/>
      <c r="X1073" s="49"/>
      <c r="Y1073" s="49"/>
      <c r="Z1073" s="49"/>
      <c r="AA1073" s="49"/>
      <c r="AB1073" s="50"/>
      <c r="AC1073" s="50"/>
      <c r="AD1073" s="108"/>
      <c r="AE1073" s="108"/>
      <c r="AF1073" s="108"/>
      <c r="AG1073" s="108"/>
      <c r="AH1073" s="108"/>
      <c r="AI1073" s="108"/>
      <c r="AJ1073" s="108"/>
      <c r="AK1073" s="108"/>
      <c r="AL1073" s="108"/>
      <c r="AM1073" s="108"/>
    </row>
    <row r="1074" ht="17.25" customHeight="1">
      <c r="A1074" s="233"/>
      <c r="B1074" s="183"/>
      <c r="C1074" s="53"/>
      <c r="D1074" s="53"/>
      <c r="E1074" s="53"/>
      <c r="F1074" s="90"/>
      <c r="G1074" s="55"/>
      <c r="H1074" s="64"/>
      <c r="I1074" s="64"/>
      <c r="J1074" s="49"/>
      <c r="K1074" s="43"/>
      <c r="L1074" s="43"/>
      <c r="M1074" s="44"/>
      <c r="N1074" s="44"/>
      <c r="O1074" s="127"/>
      <c r="P1074" s="64"/>
      <c r="Q1074" s="64"/>
      <c r="R1074" s="104"/>
      <c r="S1074" s="202"/>
      <c r="T1074" s="49"/>
      <c r="U1074" s="89"/>
      <c r="V1074" s="47"/>
      <c r="W1074" s="49"/>
      <c r="X1074" s="49"/>
      <c r="Y1074" s="49"/>
      <c r="Z1074" s="49"/>
      <c r="AA1074" s="49"/>
      <c r="AB1074" s="50"/>
      <c r="AC1074" s="50"/>
      <c r="AD1074" s="108"/>
      <c r="AE1074" s="108"/>
      <c r="AF1074" s="108"/>
      <c r="AG1074" s="108"/>
      <c r="AH1074" s="108"/>
      <c r="AI1074" s="108"/>
      <c r="AJ1074" s="108"/>
      <c r="AK1074" s="108"/>
      <c r="AL1074" s="108"/>
      <c r="AM1074" s="108"/>
    </row>
    <row r="1075" ht="17.25" customHeight="1">
      <c r="A1075" s="200"/>
      <c r="B1075" s="47"/>
      <c r="C1075" s="56"/>
      <c r="D1075" s="56"/>
      <c r="E1075" s="56"/>
      <c r="F1075" s="55"/>
      <c r="G1075" s="55"/>
      <c r="H1075" s="64"/>
      <c r="I1075" s="64"/>
      <c r="J1075" s="49"/>
      <c r="K1075" s="43"/>
      <c r="L1075" s="43"/>
      <c r="M1075" s="49"/>
      <c r="N1075" s="49"/>
      <c r="O1075" s="198"/>
      <c r="P1075" s="104"/>
      <c r="Q1075" s="104"/>
      <c r="R1075" s="104"/>
      <c r="S1075" s="183"/>
      <c r="T1075" s="199"/>
      <c r="U1075" s="89"/>
      <c r="V1075" s="47"/>
      <c r="W1075" s="104"/>
      <c r="X1075" s="104"/>
      <c r="Y1075" s="104"/>
      <c r="Z1075" s="50"/>
      <c r="AA1075" s="50"/>
      <c r="AB1075" s="50"/>
      <c r="AC1075" s="50"/>
      <c r="AD1075" s="108"/>
      <c r="AE1075" s="108"/>
      <c r="AF1075" s="108"/>
      <c r="AG1075" s="108"/>
      <c r="AH1075" s="108"/>
      <c r="AI1075" s="108"/>
      <c r="AJ1075" s="108"/>
      <c r="AK1075" s="108"/>
      <c r="AL1075" s="108"/>
      <c r="AM1075" s="108"/>
    </row>
    <row r="1076" ht="17.25" customHeight="1">
      <c r="A1076" s="233"/>
      <c r="B1076" s="183"/>
      <c r="C1076" s="53"/>
      <c r="D1076" s="53"/>
      <c r="E1076" s="53"/>
      <c r="F1076" s="90"/>
      <c r="G1076" s="55"/>
      <c r="H1076" s="64"/>
      <c r="I1076" s="64"/>
      <c r="J1076" s="49"/>
      <c r="K1076" s="43"/>
      <c r="L1076" s="43"/>
      <c r="M1076" s="44"/>
      <c r="N1076" s="44"/>
      <c r="O1076" s="127"/>
      <c r="P1076" s="64"/>
      <c r="Q1076" s="64"/>
      <c r="R1076" s="104"/>
      <c r="S1076" s="202"/>
      <c r="T1076" s="49"/>
      <c r="U1076" s="89"/>
      <c r="V1076" s="47"/>
      <c r="W1076" s="49"/>
      <c r="X1076" s="49"/>
      <c r="Y1076" s="49"/>
      <c r="Z1076" s="49"/>
      <c r="AA1076" s="49"/>
      <c r="AB1076" s="50"/>
      <c r="AC1076" s="50"/>
      <c r="AD1076" s="108"/>
      <c r="AE1076" s="108"/>
      <c r="AF1076" s="108"/>
      <c r="AG1076" s="108"/>
      <c r="AH1076" s="108"/>
      <c r="AI1076" s="108"/>
      <c r="AJ1076" s="108"/>
      <c r="AK1076" s="108"/>
      <c r="AL1076" s="108"/>
      <c r="AM1076" s="108"/>
    </row>
    <row r="1077" ht="17.25" customHeight="1">
      <c r="A1077" s="158"/>
      <c r="B1077" s="47"/>
      <c r="C1077" s="56"/>
      <c r="D1077" s="56"/>
      <c r="E1077" s="56"/>
      <c r="F1077" s="90"/>
      <c r="G1077" s="90"/>
      <c r="H1077" s="64"/>
      <c r="I1077" s="64"/>
      <c r="J1077" s="49"/>
      <c r="K1077" s="44"/>
      <c r="L1077" s="44"/>
      <c r="M1077" s="44"/>
      <c r="N1077" s="44"/>
      <c r="O1077" s="198"/>
      <c r="P1077" s="104"/>
      <c r="Q1077" s="104"/>
      <c r="R1077" s="104"/>
      <c r="S1077" s="183"/>
      <c r="T1077" s="199"/>
      <c r="U1077" s="89"/>
      <c r="V1077" s="47"/>
      <c r="W1077" s="104"/>
      <c r="X1077" s="104"/>
      <c r="Y1077" s="104"/>
      <c r="Z1077" s="50"/>
      <c r="AA1077" s="50"/>
      <c r="AB1077" s="50"/>
      <c r="AC1077" s="50"/>
      <c r="AD1077" s="108"/>
      <c r="AE1077" s="108"/>
      <c r="AF1077" s="108"/>
      <c r="AG1077" s="108"/>
      <c r="AH1077" s="108"/>
      <c r="AI1077" s="108"/>
      <c r="AJ1077" s="108"/>
      <c r="AK1077" s="108"/>
      <c r="AL1077" s="108"/>
      <c r="AM1077" s="108"/>
    </row>
    <row r="1078" ht="17.25" customHeight="1">
      <c r="A1078" s="235"/>
      <c r="B1078" s="236"/>
      <c r="C1078" s="237"/>
      <c r="D1078" s="237"/>
      <c r="E1078" s="237"/>
      <c r="F1078" s="238"/>
      <c r="G1078" s="239"/>
      <c r="H1078" s="240"/>
      <c r="I1078" s="240"/>
      <c r="J1078" s="241"/>
      <c r="K1078" s="242"/>
      <c r="L1078" s="242"/>
      <c r="M1078" s="243"/>
      <c r="N1078" s="243"/>
      <c r="O1078" s="244"/>
      <c r="P1078" s="240"/>
      <c r="Q1078" s="240"/>
      <c r="R1078" s="245"/>
      <c r="S1078" s="246"/>
      <c r="T1078" s="241"/>
      <c r="U1078" s="247"/>
      <c r="V1078" s="248"/>
      <c r="W1078" s="241"/>
      <c r="X1078" s="241"/>
      <c r="Y1078" s="241"/>
      <c r="Z1078" s="241"/>
      <c r="AA1078" s="241"/>
      <c r="AB1078" s="249"/>
      <c r="AC1078" s="249"/>
      <c r="AD1078" s="250"/>
      <c r="AE1078" s="250"/>
      <c r="AF1078" s="250"/>
      <c r="AG1078" s="250"/>
      <c r="AH1078" s="250"/>
      <c r="AI1078" s="250"/>
      <c r="AJ1078" s="250"/>
      <c r="AK1078" s="250"/>
      <c r="AL1078" s="250"/>
      <c r="AM1078" s="250"/>
    </row>
    <row r="1079" ht="17.25" customHeight="1">
      <c r="A1079" s="251"/>
      <c r="B1079" s="76"/>
      <c r="C1079" s="53"/>
      <c r="D1079" s="53"/>
      <c r="E1079" s="53"/>
      <c r="F1079" s="90"/>
      <c r="G1079" s="55"/>
      <c r="H1079" s="64"/>
      <c r="I1079" s="64"/>
      <c r="J1079" s="49"/>
      <c r="K1079" s="43"/>
      <c r="L1079" s="43"/>
      <c r="M1079" s="44"/>
      <c r="N1079" s="44"/>
      <c r="O1079" s="127"/>
      <c r="P1079" s="64"/>
      <c r="Q1079" s="64"/>
      <c r="R1079" s="104"/>
      <c r="S1079" s="49"/>
      <c r="T1079" s="49"/>
      <c r="U1079" s="89"/>
      <c r="V1079" s="47"/>
      <c r="W1079" s="49"/>
      <c r="X1079" s="49"/>
      <c r="Y1079" s="49"/>
      <c r="Z1079" s="49"/>
      <c r="AA1079" s="49"/>
      <c r="AB1079" s="50"/>
      <c r="AC1079" s="50"/>
      <c r="AD1079" s="108"/>
      <c r="AE1079" s="108"/>
      <c r="AF1079" s="108"/>
      <c r="AG1079" s="108"/>
      <c r="AH1079" s="108"/>
      <c r="AI1079" s="108"/>
      <c r="AJ1079" s="108"/>
      <c r="AK1079" s="108"/>
      <c r="AL1079" s="108"/>
      <c r="AM1079" s="108"/>
    </row>
    <row r="1080" ht="17.25" customHeight="1">
      <c r="A1080" s="145"/>
      <c r="B1080" s="76"/>
      <c r="C1080" s="53"/>
      <c r="D1080" s="53"/>
      <c r="E1080" s="53"/>
      <c r="F1080" s="90"/>
      <c r="G1080" s="55"/>
      <c r="H1080" s="64"/>
      <c r="I1080" s="64"/>
      <c r="J1080" s="49"/>
      <c r="K1080" s="43"/>
      <c r="L1080" s="43"/>
      <c r="M1080" s="44"/>
      <c r="N1080" s="44"/>
      <c r="O1080" s="127"/>
      <c r="P1080" s="64"/>
      <c r="Q1080" s="64"/>
      <c r="R1080" s="104"/>
      <c r="S1080" s="49"/>
      <c r="T1080" s="49"/>
      <c r="U1080" s="89"/>
      <c r="V1080" s="47"/>
      <c r="W1080" s="49"/>
      <c r="X1080" s="49"/>
      <c r="Y1080" s="49"/>
      <c r="Z1080" s="49"/>
      <c r="AA1080" s="49"/>
      <c r="AB1080" s="50"/>
      <c r="AC1080" s="50"/>
      <c r="AD1080" s="108"/>
      <c r="AE1080" s="108"/>
      <c r="AF1080" s="108"/>
      <c r="AG1080" s="108"/>
      <c r="AH1080" s="108"/>
      <c r="AI1080" s="108"/>
      <c r="AJ1080" s="108"/>
      <c r="AK1080" s="108"/>
      <c r="AL1080" s="108"/>
      <c r="AM1080" s="108"/>
    </row>
    <row r="1081" ht="17.25" customHeight="1">
      <c r="A1081" s="145"/>
      <c r="B1081" s="76"/>
      <c r="C1081" s="53"/>
      <c r="D1081" s="53"/>
      <c r="E1081" s="53"/>
      <c r="F1081" s="90"/>
      <c r="G1081" s="55"/>
      <c r="H1081" s="64"/>
      <c r="I1081" s="64"/>
      <c r="J1081" s="49"/>
      <c r="K1081" s="43"/>
      <c r="L1081" s="43"/>
      <c r="M1081" s="44"/>
      <c r="N1081" s="44"/>
      <c r="O1081" s="127"/>
      <c r="P1081" s="64"/>
      <c r="Q1081" s="64"/>
      <c r="R1081" s="104"/>
      <c r="S1081" s="49"/>
      <c r="T1081" s="49"/>
      <c r="U1081" s="89"/>
      <c r="V1081" s="47"/>
      <c r="W1081" s="49"/>
      <c r="X1081" s="49"/>
      <c r="Y1081" s="49"/>
      <c r="Z1081" s="49"/>
      <c r="AA1081" s="49"/>
      <c r="AB1081" s="50"/>
      <c r="AC1081" s="50"/>
      <c r="AD1081" s="108"/>
      <c r="AE1081" s="108"/>
      <c r="AF1081" s="108"/>
      <c r="AG1081" s="108"/>
      <c r="AH1081" s="108"/>
      <c r="AI1081" s="108"/>
      <c r="AJ1081" s="108"/>
      <c r="AK1081" s="108"/>
      <c r="AL1081" s="108"/>
      <c r="AM1081" s="108"/>
    </row>
    <row r="1082" ht="17.25" customHeight="1">
      <c r="A1082" s="145"/>
      <c r="B1082" s="104"/>
      <c r="C1082" s="104"/>
      <c r="D1082" s="104"/>
      <c r="E1082" s="104"/>
      <c r="F1082" s="104"/>
      <c r="G1082" s="104"/>
      <c r="H1082" s="104"/>
      <c r="I1082" s="104"/>
      <c r="J1082" s="104"/>
      <c r="K1082" s="104"/>
      <c r="L1082" s="104"/>
      <c r="M1082" s="104"/>
      <c r="N1082" s="104"/>
      <c r="O1082" s="104"/>
      <c r="P1082" s="104"/>
      <c r="Q1082" s="104"/>
      <c r="R1082" s="104"/>
      <c r="S1082" s="104"/>
      <c r="T1082" s="104"/>
      <c r="U1082" s="104"/>
      <c r="V1082" s="104"/>
      <c r="W1082" s="104"/>
      <c r="X1082" s="104"/>
      <c r="Y1082" s="104"/>
      <c r="Z1082" s="104"/>
      <c r="AA1082" s="104"/>
      <c r="AB1082" s="50"/>
      <c r="AC1082" s="50"/>
      <c r="AD1082" s="108"/>
      <c r="AE1082" s="108"/>
      <c r="AF1082" s="108"/>
      <c r="AG1082" s="108"/>
      <c r="AH1082" s="108"/>
      <c r="AI1082" s="108"/>
      <c r="AJ1082" s="108"/>
      <c r="AK1082" s="108"/>
      <c r="AL1082" s="108"/>
      <c r="AM1082" s="108"/>
    </row>
    <row r="1083" ht="17.25" customHeight="1">
      <c r="A1083" s="145"/>
      <c r="B1083" s="76"/>
      <c r="C1083" s="53"/>
      <c r="D1083" s="53"/>
      <c r="E1083" s="53"/>
      <c r="F1083" s="90"/>
      <c r="G1083" s="55"/>
      <c r="H1083" s="64"/>
      <c r="I1083" s="64"/>
      <c r="J1083" s="49"/>
      <c r="K1083" s="43"/>
      <c r="L1083" s="43"/>
      <c r="M1083" s="44"/>
      <c r="N1083" s="44"/>
      <c r="O1083" s="127"/>
      <c r="P1083" s="64"/>
      <c r="Q1083" s="64"/>
      <c r="R1083" s="104"/>
      <c r="S1083" s="49"/>
      <c r="T1083" s="49"/>
      <c r="U1083" s="89"/>
      <c r="V1083" s="47"/>
      <c r="W1083" s="49"/>
      <c r="X1083" s="49"/>
      <c r="Y1083" s="49"/>
      <c r="Z1083" s="49"/>
      <c r="AA1083" s="49"/>
      <c r="AB1083" s="50"/>
      <c r="AC1083" s="50"/>
      <c r="AD1083" s="108"/>
      <c r="AE1083" s="108"/>
      <c r="AF1083" s="108"/>
      <c r="AG1083" s="108"/>
      <c r="AH1083" s="108"/>
      <c r="AI1083" s="108"/>
      <c r="AJ1083" s="108"/>
      <c r="AK1083" s="108"/>
      <c r="AL1083" s="108"/>
      <c r="AM1083" s="108"/>
    </row>
    <row r="1084" ht="17.25" customHeight="1">
      <c r="A1084" s="145"/>
      <c r="B1084" s="140"/>
      <c r="C1084" s="146"/>
      <c r="D1084" s="146"/>
      <c r="E1084" s="146"/>
      <c r="F1084" s="140"/>
      <c r="G1084" s="154"/>
      <c r="H1084" s="147"/>
      <c r="I1084" s="147"/>
      <c r="J1084" s="147"/>
      <c r="K1084" s="132"/>
      <c r="L1084" s="132"/>
      <c r="M1084" s="104"/>
      <c r="N1084" s="104"/>
      <c r="O1084" s="133"/>
      <c r="P1084" s="148"/>
      <c r="Q1084" s="148"/>
      <c r="R1084" s="104"/>
      <c r="S1084" s="149"/>
      <c r="T1084" s="149"/>
      <c r="U1084" s="133"/>
      <c r="V1084" s="133"/>
      <c r="W1084" s="150"/>
      <c r="X1084" s="150"/>
      <c r="Y1084" s="150"/>
      <c r="Z1084" s="150"/>
      <c r="AA1084" s="152"/>
      <c r="AB1084" s="50"/>
      <c r="AC1084" s="50"/>
      <c r="AD1084" s="108"/>
      <c r="AE1084" s="108"/>
      <c r="AF1084" s="108"/>
      <c r="AG1084" s="108"/>
      <c r="AH1084" s="108"/>
      <c r="AI1084" s="108"/>
      <c r="AJ1084" s="108"/>
      <c r="AK1084" s="108"/>
      <c r="AL1084" s="108"/>
      <c r="AM1084" s="108"/>
    </row>
    <row r="1085" ht="17.25" customHeight="1">
      <c r="A1085" s="145"/>
      <c r="B1085" s="140"/>
      <c r="C1085" s="146"/>
      <c r="D1085" s="146"/>
      <c r="E1085" s="146"/>
      <c r="F1085" s="140"/>
      <c r="G1085" s="154"/>
      <c r="H1085" s="147"/>
      <c r="I1085" s="147"/>
      <c r="J1085" s="147"/>
      <c r="K1085" s="132"/>
      <c r="L1085" s="132"/>
      <c r="M1085" s="104"/>
      <c r="N1085" s="104"/>
      <c r="O1085" s="133"/>
      <c r="P1085" s="148"/>
      <c r="Q1085" s="148"/>
      <c r="R1085" s="104"/>
      <c r="S1085" s="149"/>
      <c r="T1085" s="149"/>
      <c r="U1085" s="133"/>
      <c r="V1085" s="133"/>
      <c r="W1085" s="150"/>
      <c r="X1085" s="150"/>
      <c r="Y1085" s="150"/>
      <c r="Z1085" s="150"/>
      <c r="AA1085" s="152"/>
      <c r="AB1085" s="50"/>
      <c r="AC1085" s="50"/>
      <c r="AD1085" s="108"/>
      <c r="AE1085" s="108"/>
      <c r="AF1085" s="108"/>
      <c r="AG1085" s="108"/>
      <c r="AH1085" s="108"/>
      <c r="AI1085" s="108"/>
      <c r="AJ1085" s="108"/>
      <c r="AK1085" s="108"/>
      <c r="AL1085" s="108"/>
      <c r="AM1085" s="108"/>
    </row>
    <row r="1086" ht="17.25" customHeight="1">
      <c r="A1086" s="145"/>
      <c r="B1086" s="140"/>
      <c r="C1086" s="146"/>
      <c r="D1086" s="146"/>
      <c r="E1086" s="146"/>
      <c r="F1086" s="140"/>
      <c r="G1086" s="154"/>
      <c r="H1086" s="147"/>
      <c r="I1086" s="147"/>
      <c r="J1086" s="147"/>
      <c r="K1086" s="132"/>
      <c r="L1086" s="132"/>
      <c r="M1086" s="104"/>
      <c r="N1086" s="104"/>
      <c r="O1086" s="133"/>
      <c r="P1086" s="148"/>
      <c r="Q1086" s="148"/>
      <c r="R1086" s="104"/>
      <c r="S1086" s="149"/>
      <c r="T1086" s="149"/>
      <c r="U1086" s="133"/>
      <c r="V1086" s="133"/>
      <c r="W1086" s="150"/>
      <c r="X1086" s="150"/>
      <c r="Y1086" s="150"/>
      <c r="Z1086" s="150"/>
      <c r="AA1086" s="152"/>
      <c r="AB1086" s="50"/>
      <c r="AC1086" s="50"/>
      <c r="AD1086" s="108"/>
      <c r="AE1086" s="108"/>
      <c r="AF1086" s="108"/>
      <c r="AG1086" s="108"/>
      <c r="AH1086" s="108"/>
      <c r="AI1086" s="108"/>
      <c r="AJ1086" s="108"/>
      <c r="AK1086" s="108"/>
      <c r="AL1086" s="108"/>
      <c r="AM1086" s="108"/>
    </row>
    <row r="1087" ht="17.25" customHeight="1">
      <c r="A1087" s="145"/>
      <c r="B1087" s="140"/>
      <c r="C1087" s="146"/>
      <c r="D1087" s="146"/>
      <c r="E1087" s="146"/>
      <c r="F1087" s="140"/>
      <c r="G1087" s="154"/>
      <c r="H1087" s="147"/>
      <c r="I1087" s="147"/>
      <c r="J1087" s="147"/>
      <c r="K1087" s="132"/>
      <c r="L1087" s="132"/>
      <c r="M1087" s="104"/>
      <c r="N1087" s="104"/>
      <c r="O1087" s="133"/>
      <c r="P1087" s="148"/>
      <c r="Q1087" s="148"/>
      <c r="R1087" s="104"/>
      <c r="S1087" s="149"/>
      <c r="T1087" s="149"/>
      <c r="U1087" s="133"/>
      <c r="V1087" s="133"/>
      <c r="W1087" s="150"/>
      <c r="X1087" s="150"/>
      <c r="Y1087" s="150"/>
      <c r="Z1087" s="150"/>
      <c r="AA1087" s="152"/>
      <c r="AB1087" s="50"/>
      <c r="AC1087" s="50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/>
    </row>
    <row r="1088" ht="17.25" customHeight="1">
      <c r="A1088" s="145"/>
      <c r="B1088" s="140"/>
      <c r="C1088" s="146"/>
      <c r="D1088" s="146"/>
      <c r="E1088" s="146"/>
      <c r="F1088" s="140"/>
      <c r="G1088" s="154"/>
      <c r="H1088" s="147"/>
      <c r="I1088" s="147"/>
      <c r="J1088" s="147"/>
      <c r="K1088" s="132"/>
      <c r="L1088" s="132"/>
      <c r="M1088" s="104"/>
      <c r="N1088" s="104"/>
      <c r="O1088" s="133"/>
      <c r="P1088" s="148"/>
      <c r="Q1088" s="148"/>
      <c r="R1088" s="104"/>
      <c r="S1088" s="149"/>
      <c r="T1088" s="149"/>
      <c r="U1088" s="133"/>
      <c r="V1088" s="133"/>
      <c r="W1088" s="150"/>
      <c r="X1088" s="150"/>
      <c r="Y1088" s="150"/>
      <c r="Z1088" s="150"/>
      <c r="AA1088" s="152"/>
      <c r="AB1088" s="50"/>
      <c r="AC1088" s="50"/>
      <c r="AD1088" s="108"/>
      <c r="AE1088" s="108"/>
      <c r="AF1088" s="108"/>
      <c r="AG1088" s="108"/>
      <c r="AH1088" s="108"/>
      <c r="AI1088" s="108"/>
      <c r="AJ1088" s="108"/>
      <c r="AK1088" s="108"/>
      <c r="AL1088" s="108"/>
      <c r="AM1088" s="108"/>
    </row>
    <row r="1089" ht="17.25" customHeight="1">
      <c r="A1089" s="145"/>
      <c r="B1089" s="140"/>
      <c r="C1089" s="146"/>
      <c r="D1089" s="146"/>
      <c r="E1089" s="146"/>
      <c r="F1089" s="140"/>
      <c r="G1089" s="154"/>
      <c r="H1089" s="147"/>
      <c r="I1089" s="147"/>
      <c r="J1089" s="147"/>
      <c r="K1089" s="132"/>
      <c r="L1089" s="132"/>
      <c r="M1089" s="104"/>
      <c r="N1089" s="104"/>
      <c r="O1089" s="133"/>
      <c r="P1089" s="148"/>
      <c r="Q1089" s="148"/>
      <c r="R1089" s="104"/>
      <c r="S1089" s="149"/>
      <c r="T1089" s="149"/>
      <c r="U1089" s="133"/>
      <c r="V1089" s="133"/>
      <c r="W1089" s="150"/>
      <c r="X1089" s="150"/>
      <c r="Y1089" s="150"/>
      <c r="Z1089" s="150"/>
      <c r="AA1089" s="152"/>
      <c r="AB1089" s="50"/>
      <c r="AC1089" s="50"/>
      <c r="AD1089" s="108"/>
      <c r="AE1089" s="108"/>
      <c r="AF1089" s="108"/>
      <c r="AG1089" s="108"/>
      <c r="AH1089" s="108"/>
      <c r="AI1089" s="108"/>
      <c r="AJ1089" s="108"/>
      <c r="AK1089" s="108"/>
      <c r="AL1089" s="108"/>
      <c r="AM1089" s="108"/>
    </row>
    <row r="1090" ht="17.25" customHeight="1">
      <c r="A1090" s="145"/>
      <c r="B1090" s="140"/>
      <c r="C1090" s="146"/>
      <c r="D1090" s="146"/>
      <c r="E1090" s="146"/>
      <c r="F1090" s="140"/>
      <c r="G1090" s="154"/>
      <c r="H1090" s="147"/>
      <c r="I1090" s="147"/>
      <c r="J1090" s="147"/>
      <c r="K1090" s="132"/>
      <c r="L1090" s="132"/>
      <c r="M1090" s="104"/>
      <c r="N1090" s="104"/>
      <c r="O1090" s="133"/>
      <c r="P1090" s="148"/>
      <c r="Q1090" s="148"/>
      <c r="R1090" s="104"/>
      <c r="S1090" s="149"/>
      <c r="T1090" s="149"/>
      <c r="U1090" s="133"/>
      <c r="V1090" s="133"/>
      <c r="W1090" s="150"/>
      <c r="X1090" s="150"/>
      <c r="Y1090" s="150"/>
      <c r="Z1090" s="150"/>
      <c r="AA1090" s="152"/>
      <c r="AB1090" s="50"/>
      <c r="AC1090" s="50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/>
    </row>
    <row r="1091" ht="17.25" customHeight="1">
      <c r="A1091" s="145"/>
      <c r="B1091" s="140"/>
      <c r="C1091" s="146"/>
      <c r="D1091" s="146"/>
      <c r="E1091" s="146"/>
      <c r="F1091" s="140"/>
      <c r="G1091" s="154"/>
      <c r="H1091" s="147"/>
      <c r="I1091" s="147"/>
      <c r="J1091" s="147"/>
      <c r="K1091" s="132"/>
      <c r="L1091" s="132"/>
      <c r="M1091" s="104"/>
      <c r="N1091" s="104"/>
      <c r="O1091" s="133"/>
      <c r="P1091" s="148"/>
      <c r="Q1091" s="148"/>
      <c r="R1091" s="104"/>
      <c r="S1091" s="149"/>
      <c r="T1091" s="149"/>
      <c r="U1091" s="133"/>
      <c r="V1091" s="133"/>
      <c r="W1091" s="150"/>
      <c r="X1091" s="150"/>
      <c r="Y1091" s="150"/>
      <c r="Z1091" s="150"/>
      <c r="AA1091" s="152"/>
      <c r="AB1091" s="50"/>
      <c r="AC1091" s="50"/>
      <c r="AD1091" s="108"/>
      <c r="AE1091" s="108"/>
      <c r="AF1091" s="108"/>
      <c r="AG1091" s="108"/>
      <c r="AH1091" s="108"/>
      <c r="AI1091" s="108"/>
      <c r="AJ1091" s="108"/>
      <c r="AK1091" s="108"/>
      <c r="AL1091" s="108"/>
      <c r="AM1091" s="108"/>
    </row>
    <row r="1092">
      <c r="A1092" s="104"/>
      <c r="B1092" s="104"/>
      <c r="C1092" s="104"/>
      <c r="D1092" s="104"/>
      <c r="E1092" s="104"/>
      <c r="F1092" s="104"/>
      <c r="G1092" s="104"/>
      <c r="H1092" s="104"/>
      <c r="I1092" s="104"/>
      <c r="J1092" s="104"/>
      <c r="K1092" s="104"/>
      <c r="L1092" s="104"/>
      <c r="M1092" s="104"/>
      <c r="N1092" s="104"/>
      <c r="O1092" s="104"/>
      <c r="P1092" s="104"/>
      <c r="Q1092" s="104"/>
      <c r="R1092" s="104"/>
      <c r="S1092" s="104"/>
      <c r="T1092" s="104"/>
      <c r="U1092" s="104"/>
      <c r="V1092" s="104"/>
      <c r="W1092" s="104"/>
      <c r="X1092" s="104"/>
      <c r="Y1092" s="104"/>
      <c r="Z1092" s="104"/>
      <c r="AA1092" s="104"/>
      <c r="AB1092" s="104"/>
      <c r="AC1092" s="104"/>
      <c r="AD1092" s="104"/>
      <c r="AE1092" s="104"/>
      <c r="AF1092" s="104"/>
      <c r="AG1092" s="104"/>
      <c r="AH1092" s="104"/>
      <c r="AI1092" s="104"/>
      <c r="AJ1092" s="104"/>
      <c r="AK1092" s="104"/>
      <c r="AL1092" s="104"/>
      <c r="AM1092" s="104"/>
    </row>
    <row r="1093">
      <c r="A1093" s="104"/>
      <c r="B1093" s="104"/>
      <c r="C1093" s="104"/>
      <c r="D1093" s="104"/>
      <c r="E1093" s="104"/>
      <c r="F1093" s="104"/>
      <c r="G1093" s="104"/>
      <c r="H1093" s="104"/>
      <c r="I1093" s="104"/>
      <c r="J1093" s="104"/>
      <c r="K1093" s="104"/>
      <c r="L1093" s="104"/>
      <c r="M1093" s="104"/>
      <c r="N1093" s="104"/>
      <c r="O1093" s="104"/>
      <c r="P1093" s="104"/>
      <c r="Q1093" s="104"/>
      <c r="R1093" s="104"/>
      <c r="S1093" s="104"/>
      <c r="T1093" s="104"/>
      <c r="U1093" s="104"/>
      <c r="V1093" s="104"/>
      <c r="W1093" s="104"/>
      <c r="X1093" s="104"/>
      <c r="Y1093" s="104"/>
      <c r="Z1093" s="104"/>
      <c r="AA1093" s="104"/>
      <c r="AB1093" s="104"/>
      <c r="AC1093" s="104"/>
      <c r="AD1093" s="104"/>
      <c r="AE1093" s="104"/>
      <c r="AF1093" s="104"/>
      <c r="AG1093" s="104"/>
      <c r="AH1093" s="104"/>
      <c r="AI1093" s="104"/>
      <c r="AJ1093" s="104"/>
      <c r="AK1093" s="104"/>
      <c r="AL1093" s="104"/>
      <c r="AM1093" s="104"/>
    </row>
    <row r="1094">
      <c r="A1094" s="104"/>
      <c r="B1094" s="104"/>
      <c r="C1094" s="104"/>
      <c r="D1094" s="104"/>
      <c r="E1094" s="104"/>
      <c r="F1094" s="104"/>
      <c r="G1094" s="104"/>
      <c r="H1094" s="104"/>
      <c r="I1094" s="104"/>
      <c r="J1094" s="104"/>
      <c r="K1094" s="104"/>
      <c r="L1094" s="104"/>
      <c r="M1094" s="104"/>
      <c r="N1094" s="104"/>
      <c r="O1094" s="104"/>
      <c r="P1094" s="104"/>
      <c r="Q1094" s="104"/>
      <c r="R1094" s="104"/>
      <c r="S1094" s="104"/>
      <c r="T1094" s="104"/>
      <c r="U1094" s="104"/>
      <c r="V1094" s="104"/>
      <c r="W1094" s="104"/>
      <c r="X1094" s="104"/>
      <c r="Y1094" s="104"/>
      <c r="Z1094" s="104"/>
      <c r="AA1094" s="104"/>
      <c r="AB1094" s="104"/>
      <c r="AC1094" s="104"/>
      <c r="AD1094" s="104"/>
      <c r="AE1094" s="104"/>
      <c r="AF1094" s="104"/>
      <c r="AG1094" s="104"/>
      <c r="AH1094" s="104"/>
      <c r="AI1094" s="104"/>
      <c r="AJ1094" s="104"/>
      <c r="AK1094" s="104"/>
      <c r="AL1094" s="104"/>
      <c r="AM1094" s="104"/>
    </row>
    <row r="1095">
      <c r="A1095" s="104"/>
      <c r="B1095" s="104"/>
      <c r="C1095" s="104"/>
      <c r="D1095" s="104"/>
      <c r="E1095" s="104"/>
      <c r="F1095" s="104"/>
      <c r="G1095" s="104"/>
      <c r="H1095" s="104"/>
      <c r="I1095" s="104"/>
      <c r="J1095" s="104"/>
      <c r="K1095" s="104"/>
      <c r="L1095" s="104"/>
      <c r="M1095" s="104"/>
      <c r="N1095" s="104"/>
      <c r="O1095" s="104"/>
      <c r="P1095" s="104"/>
      <c r="Q1095" s="104"/>
      <c r="R1095" s="104"/>
      <c r="S1095" s="104"/>
      <c r="T1095" s="104"/>
      <c r="U1095" s="104"/>
      <c r="V1095" s="104"/>
      <c r="W1095" s="104"/>
      <c r="X1095" s="104"/>
      <c r="Y1095" s="104"/>
      <c r="Z1095" s="104"/>
      <c r="AA1095" s="104"/>
      <c r="AB1095" s="104"/>
      <c r="AC1095" s="104"/>
      <c r="AD1095" s="104"/>
      <c r="AE1095" s="104"/>
      <c r="AF1095" s="104"/>
      <c r="AG1095" s="104"/>
      <c r="AH1095" s="104"/>
      <c r="AI1095" s="104"/>
      <c r="AJ1095" s="104"/>
      <c r="AK1095" s="104"/>
      <c r="AL1095" s="104"/>
      <c r="AM1095" s="104"/>
    </row>
    <row r="1096">
      <c r="A1096" s="104"/>
      <c r="B1096" s="104"/>
      <c r="C1096" s="104"/>
      <c r="D1096" s="104"/>
      <c r="E1096" s="104"/>
      <c r="F1096" s="104"/>
      <c r="G1096" s="104"/>
      <c r="H1096" s="104"/>
      <c r="I1096" s="104"/>
      <c r="J1096" s="104"/>
      <c r="K1096" s="104"/>
      <c r="L1096" s="104"/>
      <c r="M1096" s="104"/>
      <c r="N1096" s="104"/>
      <c r="O1096" s="104"/>
      <c r="P1096" s="104"/>
      <c r="Q1096" s="104"/>
      <c r="R1096" s="104"/>
      <c r="S1096" s="104"/>
      <c r="T1096" s="104"/>
      <c r="U1096" s="104"/>
      <c r="V1096" s="104"/>
      <c r="W1096" s="104"/>
      <c r="X1096" s="104"/>
      <c r="Y1096" s="104"/>
      <c r="Z1096" s="104"/>
      <c r="AA1096" s="104"/>
      <c r="AB1096" s="104"/>
      <c r="AC1096" s="104"/>
      <c r="AD1096" s="104"/>
      <c r="AE1096" s="104"/>
      <c r="AF1096" s="104"/>
      <c r="AG1096" s="104"/>
      <c r="AH1096" s="104"/>
      <c r="AI1096" s="104"/>
      <c r="AJ1096" s="104"/>
      <c r="AK1096" s="104"/>
      <c r="AL1096" s="104"/>
      <c r="AM1096" s="104"/>
    </row>
    <row r="1097">
      <c r="A1097" s="104"/>
      <c r="B1097" s="104"/>
      <c r="C1097" s="104"/>
      <c r="D1097" s="104"/>
      <c r="E1097" s="104"/>
      <c r="F1097" s="104"/>
      <c r="G1097" s="104"/>
      <c r="H1097" s="104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104"/>
      <c r="T1097" s="104"/>
      <c r="U1097" s="104"/>
      <c r="V1097" s="104"/>
      <c r="W1097" s="104"/>
      <c r="X1097" s="104"/>
      <c r="Y1097" s="104"/>
      <c r="Z1097" s="104"/>
      <c r="AA1097" s="104"/>
      <c r="AB1097" s="104"/>
      <c r="AC1097" s="104"/>
      <c r="AD1097" s="104"/>
      <c r="AE1097" s="104"/>
      <c r="AF1097" s="104"/>
      <c r="AG1097" s="104"/>
      <c r="AH1097" s="104"/>
      <c r="AI1097" s="104"/>
      <c r="AJ1097" s="104"/>
      <c r="AK1097" s="104"/>
      <c r="AL1097" s="104"/>
      <c r="AM1097" s="104"/>
    </row>
    <row r="1098">
      <c r="A1098" s="104"/>
      <c r="B1098" s="104"/>
      <c r="C1098" s="104"/>
      <c r="D1098" s="104"/>
      <c r="E1098" s="104"/>
      <c r="F1098" s="104"/>
      <c r="G1098" s="104"/>
      <c r="H1098" s="104"/>
      <c r="I1098" s="104"/>
      <c r="J1098" s="104"/>
      <c r="K1098" s="104"/>
      <c r="L1098" s="104"/>
      <c r="M1098" s="104"/>
      <c r="N1098" s="104"/>
      <c r="O1098" s="104"/>
      <c r="P1098" s="104"/>
      <c r="Q1098" s="104"/>
      <c r="R1098" s="104"/>
      <c r="S1098" s="104"/>
      <c r="T1098" s="104"/>
      <c r="U1098" s="104"/>
      <c r="V1098" s="104"/>
      <c r="W1098" s="104"/>
      <c r="X1098" s="104"/>
      <c r="Y1098" s="104"/>
      <c r="Z1098" s="104"/>
      <c r="AA1098" s="104"/>
      <c r="AB1098" s="104"/>
      <c r="AC1098" s="104"/>
      <c r="AD1098" s="104"/>
      <c r="AE1098" s="104"/>
      <c r="AF1098" s="104"/>
      <c r="AG1098" s="104"/>
      <c r="AH1098" s="104"/>
      <c r="AI1098" s="104"/>
      <c r="AJ1098" s="104"/>
      <c r="AK1098" s="104"/>
      <c r="AL1098" s="104"/>
      <c r="AM1098" s="104"/>
    </row>
    <row r="1099">
      <c r="A1099" s="104"/>
      <c r="B1099" s="104"/>
      <c r="C1099" s="104"/>
      <c r="D1099" s="104"/>
      <c r="E1099" s="104"/>
      <c r="F1099" s="104"/>
      <c r="G1099" s="104"/>
      <c r="H1099" s="104"/>
      <c r="I1099" s="104"/>
      <c r="J1099" s="104"/>
      <c r="K1099" s="104"/>
      <c r="L1099" s="104"/>
      <c r="M1099" s="104"/>
      <c r="N1099" s="104"/>
      <c r="O1099" s="104"/>
      <c r="P1099" s="104"/>
      <c r="Q1099" s="104"/>
      <c r="R1099" s="104"/>
      <c r="S1099" s="104"/>
      <c r="T1099" s="104"/>
      <c r="U1099" s="104"/>
      <c r="V1099" s="104"/>
      <c r="W1099" s="104"/>
      <c r="X1099" s="104"/>
      <c r="Y1099" s="104"/>
      <c r="Z1099" s="104"/>
      <c r="AA1099" s="104"/>
      <c r="AB1099" s="104"/>
      <c r="AC1099" s="104"/>
      <c r="AD1099" s="104"/>
      <c r="AE1099" s="104"/>
      <c r="AF1099" s="104"/>
      <c r="AG1099" s="104"/>
      <c r="AH1099" s="104"/>
      <c r="AI1099" s="104"/>
      <c r="AJ1099" s="104"/>
      <c r="AK1099" s="104"/>
      <c r="AL1099" s="104"/>
      <c r="AM1099" s="104"/>
    </row>
    <row r="1100">
      <c r="A1100" s="104"/>
      <c r="B1100" s="104"/>
      <c r="C1100" s="104"/>
      <c r="D1100" s="104"/>
      <c r="E1100" s="104"/>
      <c r="F1100" s="104"/>
      <c r="G1100" s="104"/>
      <c r="H1100" s="104"/>
      <c r="I1100" s="104"/>
      <c r="J1100" s="104"/>
      <c r="K1100" s="104"/>
      <c r="L1100" s="104"/>
      <c r="M1100" s="104"/>
      <c r="N1100" s="104"/>
      <c r="O1100" s="104"/>
      <c r="P1100" s="104"/>
      <c r="Q1100" s="104"/>
      <c r="R1100" s="104"/>
      <c r="S1100" s="104"/>
      <c r="T1100" s="104"/>
      <c r="U1100" s="104"/>
      <c r="V1100" s="104"/>
      <c r="W1100" s="104"/>
      <c r="X1100" s="104"/>
      <c r="Y1100" s="104"/>
      <c r="Z1100" s="104"/>
      <c r="AA1100" s="104"/>
      <c r="AB1100" s="104"/>
      <c r="AC1100" s="104"/>
      <c r="AD1100" s="104"/>
      <c r="AE1100" s="104"/>
      <c r="AF1100" s="104"/>
      <c r="AG1100" s="104"/>
      <c r="AH1100" s="104"/>
      <c r="AI1100" s="104"/>
      <c r="AJ1100" s="104"/>
      <c r="AK1100" s="104"/>
      <c r="AL1100" s="104"/>
      <c r="AM1100" s="104"/>
    </row>
    <row r="1101">
      <c r="A1101" s="104"/>
      <c r="B1101" s="104"/>
      <c r="C1101" s="104"/>
      <c r="D1101" s="104"/>
      <c r="E1101" s="104"/>
      <c r="F1101" s="104"/>
      <c r="G1101" s="104"/>
      <c r="H1101" s="104"/>
      <c r="I1101" s="104"/>
      <c r="J1101" s="104"/>
      <c r="K1101" s="104"/>
      <c r="L1101" s="104"/>
      <c r="M1101" s="104"/>
      <c r="N1101" s="104"/>
      <c r="O1101" s="104"/>
      <c r="P1101" s="104"/>
      <c r="Q1101" s="104"/>
      <c r="R1101" s="104"/>
      <c r="S1101" s="104"/>
      <c r="T1101" s="104"/>
      <c r="U1101" s="104"/>
      <c r="V1101" s="104"/>
      <c r="W1101" s="104"/>
      <c r="X1101" s="104"/>
      <c r="Y1101" s="104"/>
      <c r="Z1101" s="104"/>
      <c r="AA1101" s="104"/>
      <c r="AB1101" s="104"/>
      <c r="AC1101" s="104"/>
      <c r="AD1101" s="104"/>
      <c r="AE1101" s="104"/>
      <c r="AF1101" s="104"/>
      <c r="AG1101" s="104"/>
      <c r="AH1101" s="104"/>
      <c r="AI1101" s="104"/>
      <c r="AJ1101" s="104"/>
      <c r="AK1101" s="104"/>
      <c r="AL1101" s="104"/>
      <c r="AM1101" s="104"/>
    </row>
    <row r="1102">
      <c r="A1102" s="104"/>
      <c r="B1102" s="104"/>
      <c r="C1102" s="104"/>
      <c r="D1102" s="104"/>
      <c r="E1102" s="104"/>
      <c r="F1102" s="104"/>
      <c r="G1102" s="104"/>
      <c r="H1102" s="104"/>
      <c r="I1102" s="104"/>
      <c r="J1102" s="104"/>
      <c r="K1102" s="104"/>
      <c r="L1102" s="104"/>
      <c r="M1102" s="104"/>
      <c r="N1102" s="104"/>
      <c r="O1102" s="104"/>
      <c r="P1102" s="104"/>
      <c r="Q1102" s="104"/>
      <c r="R1102" s="104"/>
      <c r="S1102" s="104"/>
      <c r="T1102" s="104"/>
      <c r="U1102" s="104"/>
      <c r="V1102" s="104"/>
      <c r="W1102" s="104"/>
      <c r="X1102" s="104"/>
      <c r="Y1102" s="104"/>
      <c r="Z1102" s="104"/>
      <c r="AA1102" s="104"/>
      <c r="AB1102" s="104"/>
      <c r="AC1102" s="104"/>
      <c r="AD1102" s="104"/>
      <c r="AE1102" s="104"/>
      <c r="AF1102" s="104"/>
      <c r="AG1102" s="104"/>
      <c r="AH1102" s="104"/>
      <c r="AI1102" s="104"/>
      <c r="AJ1102" s="104"/>
      <c r="AK1102" s="104"/>
      <c r="AL1102" s="104"/>
      <c r="AM1102" s="104"/>
    </row>
    <row r="1103">
      <c r="A1103" s="104"/>
      <c r="B1103" s="104"/>
      <c r="C1103" s="104"/>
      <c r="D1103" s="104"/>
      <c r="E1103" s="104"/>
      <c r="F1103" s="104"/>
      <c r="G1103" s="104"/>
      <c r="H1103" s="104"/>
      <c r="I1103" s="104"/>
      <c r="J1103" s="104"/>
      <c r="K1103" s="104"/>
      <c r="L1103" s="104"/>
      <c r="M1103" s="104"/>
      <c r="N1103" s="104"/>
      <c r="O1103" s="104"/>
      <c r="P1103" s="104"/>
      <c r="Q1103" s="104"/>
      <c r="R1103" s="104"/>
      <c r="S1103" s="104"/>
      <c r="T1103" s="104"/>
      <c r="U1103" s="104"/>
      <c r="V1103" s="104"/>
      <c r="W1103" s="104"/>
      <c r="X1103" s="104"/>
      <c r="Y1103" s="104"/>
      <c r="Z1103" s="104"/>
      <c r="AA1103" s="104"/>
      <c r="AB1103" s="104"/>
      <c r="AC1103" s="104"/>
      <c r="AD1103" s="104"/>
      <c r="AE1103" s="104"/>
      <c r="AF1103" s="104"/>
      <c r="AG1103" s="104"/>
      <c r="AH1103" s="104"/>
      <c r="AI1103" s="104"/>
      <c r="AJ1103" s="104"/>
      <c r="AK1103" s="104"/>
      <c r="AL1103" s="104"/>
      <c r="AM1103" s="104"/>
    </row>
    <row r="1104" ht="17.25" customHeight="1">
      <c r="A1104" s="158"/>
      <c r="B1104" s="140"/>
      <c r="C1104" s="146"/>
      <c r="D1104" s="146"/>
      <c r="E1104" s="146"/>
      <c r="F1104" s="140"/>
      <c r="G1104" s="154"/>
      <c r="H1104" s="147"/>
      <c r="I1104" s="147"/>
      <c r="J1104" s="147"/>
      <c r="K1104" s="132"/>
      <c r="L1104" s="132"/>
      <c r="M1104" s="104"/>
      <c r="N1104" s="104"/>
      <c r="O1104" s="133"/>
      <c r="P1104" s="161"/>
      <c r="Q1104" s="161"/>
      <c r="R1104" s="104"/>
      <c r="S1104" s="149"/>
      <c r="T1104" s="149"/>
      <c r="U1104" s="133"/>
      <c r="V1104" s="133"/>
      <c r="W1104" s="150"/>
      <c r="X1104" s="150"/>
      <c r="Y1104" s="150"/>
      <c r="Z1104" s="150"/>
      <c r="AA1104" s="152"/>
      <c r="AB1104" s="50"/>
      <c r="AC1104" s="50"/>
      <c r="AD1104" s="108"/>
      <c r="AE1104" s="108"/>
      <c r="AF1104" s="108"/>
      <c r="AG1104" s="108"/>
      <c r="AH1104" s="108"/>
      <c r="AI1104" s="108"/>
      <c r="AJ1104" s="108"/>
      <c r="AK1104" s="108"/>
      <c r="AL1104" s="108"/>
      <c r="AM1104" s="108"/>
    </row>
    <row r="1105" ht="17.25" customHeight="1">
      <c r="A1105" s="197"/>
      <c r="B1105" s="140"/>
      <c r="C1105" s="146"/>
      <c r="D1105" s="146"/>
      <c r="E1105" s="146"/>
      <c r="F1105" s="140"/>
      <c r="G1105" s="154"/>
      <c r="H1105" s="147"/>
      <c r="I1105" s="147"/>
      <c r="J1105" s="147"/>
      <c r="K1105" s="132"/>
      <c r="L1105" s="132"/>
      <c r="M1105" s="104"/>
      <c r="N1105" s="104"/>
      <c r="O1105" s="133"/>
      <c r="P1105" s="252"/>
      <c r="Q1105" s="252"/>
      <c r="R1105" s="104"/>
      <c r="S1105" s="149"/>
      <c r="T1105" s="149"/>
      <c r="U1105" s="133"/>
      <c r="V1105" s="133"/>
      <c r="W1105" s="150"/>
      <c r="X1105" s="150"/>
      <c r="Y1105" s="150"/>
      <c r="Z1105" s="150"/>
      <c r="AA1105" s="152"/>
      <c r="AB1105" s="204"/>
      <c r="AC1105" s="204"/>
      <c r="AD1105" s="108"/>
      <c r="AE1105" s="108"/>
      <c r="AF1105" s="108"/>
      <c r="AG1105" s="108"/>
      <c r="AH1105" s="108"/>
      <c r="AI1105" s="108"/>
      <c r="AJ1105" s="108"/>
      <c r="AK1105" s="108"/>
      <c r="AL1105" s="108"/>
      <c r="AM1105" s="108"/>
    </row>
    <row r="1106">
      <c r="A1106" s="108"/>
      <c r="B1106" s="108"/>
      <c r="C1106" s="108"/>
      <c r="D1106" s="108"/>
      <c r="E1106" s="108"/>
      <c r="F1106" s="108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  <c r="AI1106" s="108"/>
      <c r="AJ1106" s="108"/>
      <c r="AK1106" s="108"/>
      <c r="AL1106" s="108"/>
      <c r="AM1106" s="108"/>
    </row>
    <row r="1107">
      <c r="A1107" s="108"/>
      <c r="B1107" s="108"/>
      <c r="C1107" s="108"/>
      <c r="D1107" s="108"/>
      <c r="E1107" s="108"/>
      <c r="F1107" s="108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  <c r="AI1107" s="108"/>
      <c r="AJ1107" s="108"/>
      <c r="AK1107" s="108"/>
      <c r="AL1107" s="108"/>
      <c r="AM1107" s="108"/>
    </row>
    <row r="1108">
      <c r="A1108" s="108"/>
      <c r="B1108" s="108"/>
      <c r="C1108" s="108"/>
      <c r="D1108" s="108"/>
      <c r="E1108" s="108"/>
      <c r="F1108" s="108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  <c r="AI1108" s="108"/>
      <c r="AJ1108" s="108"/>
      <c r="AK1108" s="108"/>
      <c r="AL1108" s="108"/>
      <c r="AM1108" s="108"/>
    </row>
    <row r="1109">
      <c r="A1109" s="108"/>
      <c r="B1109" s="108"/>
      <c r="C1109" s="108"/>
      <c r="D1109" s="108"/>
      <c r="E1109" s="108"/>
      <c r="F1109" s="108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  <c r="AI1109" s="108"/>
      <c r="AJ1109" s="108"/>
      <c r="AK1109" s="108"/>
      <c r="AL1109" s="108"/>
      <c r="AM1109" s="108"/>
    </row>
    <row r="1110">
      <c r="A1110" s="108"/>
      <c r="B1110" s="108"/>
      <c r="C1110" s="108"/>
      <c r="D1110" s="108"/>
      <c r="E1110" s="108"/>
      <c r="F1110" s="108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  <c r="AI1110" s="108"/>
      <c r="AJ1110" s="108"/>
      <c r="AK1110" s="108"/>
      <c r="AL1110" s="108"/>
      <c r="AM1110" s="108"/>
    </row>
    <row r="1111">
      <c r="A1111" s="108"/>
      <c r="B1111" s="108"/>
      <c r="C1111" s="108"/>
      <c r="D1111" s="108"/>
      <c r="E1111" s="108"/>
      <c r="F1111" s="108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  <c r="AI1111" s="108"/>
      <c r="AJ1111" s="108"/>
      <c r="AK1111" s="108"/>
      <c r="AL1111" s="108"/>
      <c r="AM1111" s="108"/>
    </row>
    <row r="1112">
      <c r="A1112" s="108"/>
      <c r="B1112" s="108"/>
      <c r="C1112" s="108"/>
      <c r="D1112" s="108"/>
      <c r="E1112" s="108"/>
      <c r="F1112" s="108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  <c r="AI1112" s="108"/>
      <c r="AJ1112" s="108"/>
      <c r="AK1112" s="108"/>
      <c r="AL1112" s="108"/>
      <c r="AM1112" s="108"/>
    </row>
    <row r="1113">
      <c r="A1113" s="108"/>
      <c r="B1113" s="108"/>
      <c r="C1113" s="108"/>
      <c r="D1113" s="108"/>
      <c r="E1113" s="108"/>
      <c r="F1113" s="108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  <c r="AI1113" s="108"/>
      <c r="AJ1113" s="108"/>
      <c r="AK1113" s="108"/>
      <c r="AL1113" s="108"/>
      <c r="AM1113" s="108"/>
    </row>
    <row r="1114">
      <c r="A1114" s="108"/>
      <c r="B1114" s="108"/>
      <c r="C1114" s="108"/>
      <c r="D1114" s="108"/>
      <c r="E1114" s="108"/>
      <c r="F1114" s="108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  <c r="AI1114" s="108"/>
      <c r="AJ1114" s="108"/>
      <c r="AK1114" s="108"/>
      <c r="AL1114" s="108"/>
      <c r="AM1114" s="108"/>
    </row>
    <row r="1115">
      <c r="A1115" s="108"/>
      <c r="B1115" s="108"/>
      <c r="C1115" s="108"/>
      <c r="D1115" s="108"/>
      <c r="E1115" s="108"/>
      <c r="F1115" s="108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  <c r="AI1115" s="108"/>
      <c r="AJ1115" s="108"/>
      <c r="AK1115" s="108"/>
      <c r="AL1115" s="108"/>
      <c r="AM1115" s="108"/>
    </row>
    <row r="1116">
      <c r="A1116" s="108"/>
      <c r="B1116" s="108"/>
      <c r="C1116" s="108"/>
      <c r="D1116" s="108"/>
      <c r="E1116" s="108"/>
      <c r="F1116" s="108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  <c r="AI1116" s="108"/>
      <c r="AJ1116" s="108"/>
      <c r="AK1116" s="108"/>
      <c r="AL1116" s="108"/>
      <c r="AM1116" s="108"/>
    </row>
    <row r="1117">
      <c r="A1117" s="108"/>
      <c r="B1117" s="108"/>
      <c r="C1117" s="108"/>
      <c r="D1117" s="108"/>
      <c r="E1117" s="108"/>
      <c r="F1117" s="108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  <c r="AI1117" s="108"/>
      <c r="AJ1117" s="108"/>
      <c r="AK1117" s="108"/>
      <c r="AL1117" s="108"/>
      <c r="AM1117" s="108"/>
    </row>
    <row r="1118">
      <c r="A1118" s="108"/>
      <c r="B1118" s="108"/>
      <c r="C1118" s="108"/>
      <c r="D1118" s="108"/>
      <c r="E1118" s="108"/>
      <c r="F1118" s="108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  <c r="AI1118" s="108"/>
      <c r="AJ1118" s="108"/>
      <c r="AK1118" s="108"/>
      <c r="AL1118" s="108"/>
      <c r="AM1118" s="108"/>
    </row>
    <row r="1119">
      <c r="A1119" s="108"/>
      <c r="B1119" s="108"/>
      <c r="C1119" s="108"/>
      <c r="D1119" s="108"/>
      <c r="E1119" s="108"/>
      <c r="F1119" s="108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  <c r="AI1119" s="108"/>
      <c r="AJ1119" s="108"/>
      <c r="AK1119" s="108"/>
      <c r="AL1119" s="108"/>
      <c r="AM1119" s="108"/>
    </row>
    <row r="1120">
      <c r="A1120" s="108"/>
      <c r="B1120" s="108"/>
      <c r="C1120" s="108"/>
      <c r="D1120" s="108"/>
      <c r="E1120" s="108"/>
      <c r="F1120" s="108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  <c r="AI1120" s="108"/>
      <c r="AJ1120" s="108"/>
      <c r="AK1120" s="108"/>
      <c r="AL1120" s="108"/>
      <c r="AM1120" s="108"/>
    </row>
    <row r="1121">
      <c r="A1121" s="108"/>
      <c r="B1121" s="108"/>
      <c r="C1121" s="108"/>
      <c r="D1121" s="108"/>
      <c r="E1121" s="108"/>
      <c r="F1121" s="108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  <c r="AI1121" s="108"/>
      <c r="AJ1121" s="108"/>
      <c r="AK1121" s="108"/>
      <c r="AL1121" s="108"/>
      <c r="AM1121" s="108"/>
    </row>
    <row r="1122">
      <c r="A1122" s="108"/>
      <c r="B1122" s="108"/>
      <c r="C1122" s="108"/>
      <c r="D1122" s="108"/>
      <c r="E1122" s="108"/>
      <c r="F1122" s="108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  <c r="AI1122" s="108"/>
      <c r="AJ1122" s="108"/>
      <c r="AK1122" s="108"/>
      <c r="AL1122" s="108"/>
      <c r="AM1122" s="108"/>
    </row>
    <row r="1123">
      <c r="A1123" s="108"/>
      <c r="B1123" s="108"/>
      <c r="C1123" s="108"/>
      <c r="D1123" s="108"/>
      <c r="E1123" s="108"/>
      <c r="F1123" s="108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  <c r="AI1123" s="108"/>
      <c r="AJ1123" s="108"/>
      <c r="AK1123" s="108"/>
      <c r="AL1123" s="108"/>
      <c r="AM1123" s="108"/>
    </row>
    <row r="1124">
      <c r="A1124" s="108"/>
      <c r="B1124" s="108"/>
      <c r="C1124" s="108"/>
      <c r="D1124" s="108"/>
      <c r="E1124" s="108"/>
      <c r="F1124" s="108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  <c r="AI1124" s="108"/>
      <c r="AJ1124" s="108"/>
      <c r="AK1124" s="108"/>
      <c r="AL1124" s="108"/>
      <c r="AM1124" s="108"/>
    </row>
    <row r="1125">
      <c r="A1125" s="108"/>
      <c r="B1125" s="108"/>
      <c r="C1125" s="108"/>
      <c r="D1125" s="108"/>
      <c r="E1125" s="108"/>
      <c r="F1125" s="108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/>
    </row>
    <row r="1126">
      <c r="A1126" s="108"/>
      <c r="B1126" s="108"/>
      <c r="C1126" s="108"/>
      <c r="D1126" s="108"/>
      <c r="E1126" s="108"/>
      <c r="F1126" s="108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  <c r="AI1126" s="108"/>
      <c r="AJ1126" s="108"/>
      <c r="AK1126" s="108"/>
      <c r="AL1126" s="108"/>
      <c r="AM1126" s="108"/>
    </row>
    <row r="1127">
      <c r="A1127" s="108"/>
      <c r="B1127" s="108"/>
      <c r="C1127" s="108"/>
      <c r="D1127" s="108"/>
      <c r="E1127" s="108"/>
      <c r="F1127" s="108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  <c r="AI1127" s="108"/>
      <c r="AJ1127" s="108"/>
      <c r="AK1127" s="108"/>
      <c r="AL1127" s="108"/>
      <c r="AM1127" s="108"/>
    </row>
    <row r="1128">
      <c r="A1128" s="108"/>
      <c r="B1128" s="108"/>
      <c r="C1128" s="108"/>
      <c r="D1128" s="108"/>
      <c r="E1128" s="108"/>
      <c r="F1128" s="108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/>
    </row>
    <row r="1129">
      <c r="A1129" s="108"/>
      <c r="B1129" s="108"/>
      <c r="C1129" s="108"/>
      <c r="D1129" s="108"/>
      <c r="E1129" s="108"/>
      <c r="F1129" s="108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  <c r="AI1129" s="108"/>
      <c r="AJ1129" s="108"/>
      <c r="AK1129" s="108"/>
      <c r="AL1129" s="108"/>
      <c r="AM1129" s="108"/>
    </row>
    <row r="1130">
      <c r="A1130" s="108"/>
      <c r="B1130" s="108"/>
      <c r="C1130" s="108"/>
      <c r="D1130" s="108"/>
      <c r="E1130" s="108"/>
      <c r="F1130" s="108"/>
      <c r="G1130" s="108"/>
      <c r="H1130" s="108"/>
      <c r="I1130" s="108"/>
      <c r="J1130" s="108"/>
      <c r="K1130" s="108"/>
      <c r="L1130" s="108"/>
      <c r="M1130" s="108"/>
      <c r="N1130" s="108"/>
      <c r="O1130" s="108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  <c r="AI1130" s="108"/>
      <c r="AJ1130" s="108"/>
      <c r="AK1130" s="108"/>
      <c r="AL1130" s="108"/>
      <c r="AM1130" s="108"/>
    </row>
    <row r="1131">
      <c r="A1131" s="108"/>
      <c r="B1131" s="108"/>
      <c r="C1131" s="108"/>
      <c r="D1131" s="108"/>
      <c r="E1131" s="108"/>
      <c r="F1131" s="108"/>
      <c r="G1131" s="108"/>
      <c r="H1131" s="108"/>
      <c r="I1131" s="108"/>
      <c r="J1131" s="108"/>
      <c r="K1131" s="108"/>
      <c r="L1131" s="108"/>
      <c r="M1131" s="108"/>
      <c r="N1131" s="108"/>
      <c r="O1131" s="108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  <c r="AI1131" s="108"/>
      <c r="AJ1131" s="108"/>
      <c r="AK1131" s="108"/>
      <c r="AL1131" s="108"/>
      <c r="AM1131" s="108"/>
    </row>
  </sheetData>
  <mergeCells count="6">
    <mergeCell ref="B1:G1"/>
    <mergeCell ref="I1:O1"/>
    <mergeCell ref="S1:U1"/>
    <mergeCell ref="W1:AC1"/>
    <mergeCell ref="B28:I28"/>
    <mergeCell ref="B30:I30"/>
  </mergeCells>
  <conditionalFormatting sqref="F45">
    <cfRule type="cellIs" dxfId="0" priority="1" operator="lessThan">
      <formula>F46</formula>
    </cfRule>
  </conditionalFormatting>
  <conditionalFormatting sqref="G45">
    <cfRule type="cellIs" dxfId="0" priority="2" operator="lessThan">
      <formula>F45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5"/>
    <col customWidth="1" min="2" max="2" width="6.25"/>
    <col customWidth="1" min="3" max="3" width="9.25"/>
    <col customWidth="1" min="4" max="4" width="7.75"/>
    <col customWidth="1" min="5" max="6" width="7.63"/>
    <col customWidth="1" min="7" max="7" width="14.5"/>
    <col customWidth="1" min="8" max="8" width="15.5"/>
    <col customWidth="1" min="9" max="9" width="15.0"/>
    <col customWidth="1" min="10" max="10" width="15.25"/>
    <col customWidth="1" min="11" max="11" width="14.88"/>
    <col customWidth="1" min="12" max="12" width="18.38"/>
    <col customWidth="1" min="13" max="13" width="9.75"/>
    <col customWidth="1" min="14" max="15" width="12.5"/>
    <col customWidth="1" min="16" max="16" width="13.0"/>
    <col customWidth="1" min="17" max="17" width="12.88"/>
    <col customWidth="1" min="18" max="18" width="14.5"/>
    <col customWidth="1" min="19" max="19" width="13.13"/>
    <col customWidth="1" min="20" max="20" width="14.13"/>
  </cols>
  <sheetData>
    <row r="1">
      <c r="A1" s="111"/>
      <c r="B1" s="112"/>
      <c r="C1" s="112"/>
      <c r="D1" s="112"/>
      <c r="E1" s="112"/>
      <c r="F1" s="112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</row>
    <row r="2">
      <c r="A2" s="254"/>
      <c r="B2" s="255"/>
      <c r="C2" s="256" t="s">
        <v>87</v>
      </c>
      <c r="D2" s="255"/>
      <c r="E2" s="255"/>
      <c r="F2" s="255"/>
      <c r="G2" s="255"/>
      <c r="H2" s="255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</row>
    <row r="3">
      <c r="A3" s="111"/>
      <c r="B3" s="112"/>
      <c r="C3" s="112"/>
      <c r="D3" s="112"/>
      <c r="E3" s="112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</row>
    <row r="4">
      <c r="A4" s="111"/>
      <c r="B4" s="112"/>
      <c r="C4" s="112"/>
      <c r="D4" s="112"/>
      <c r="E4" s="112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</row>
    <row r="5">
      <c r="A5" s="111"/>
      <c r="B5" s="112"/>
      <c r="C5" s="112"/>
      <c r="D5" s="112"/>
      <c r="E5" s="112"/>
      <c r="F5" s="112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</row>
    <row r="6">
      <c r="A6" s="257"/>
      <c r="B6" s="258"/>
      <c r="C6" s="258"/>
      <c r="D6" s="258"/>
      <c r="E6" s="258"/>
      <c r="F6" s="258"/>
      <c r="G6" s="259" t="s">
        <v>88</v>
      </c>
      <c r="H6" s="260" t="s">
        <v>89</v>
      </c>
      <c r="I6" s="260" t="s">
        <v>90</v>
      </c>
      <c r="J6" s="260" t="s">
        <v>91</v>
      </c>
      <c r="K6" s="260" t="s">
        <v>92</v>
      </c>
      <c r="L6" s="260" t="s">
        <v>93</v>
      </c>
      <c r="M6" s="260" t="s">
        <v>94</v>
      </c>
      <c r="N6" s="260" t="s">
        <v>95</v>
      </c>
      <c r="O6" s="260" t="s">
        <v>96</v>
      </c>
      <c r="P6" s="260" t="s">
        <v>97</v>
      </c>
      <c r="Q6" s="260" t="s">
        <v>98</v>
      </c>
      <c r="R6" s="260" t="s">
        <v>99</v>
      </c>
      <c r="S6" s="260" t="s">
        <v>100</v>
      </c>
      <c r="T6" s="260" t="s">
        <v>101</v>
      </c>
      <c r="U6" s="259" t="s">
        <v>102</v>
      </c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</row>
    <row r="7" ht="22.5" customHeight="1">
      <c r="A7" s="143" t="s">
        <v>103</v>
      </c>
      <c r="B7" s="262"/>
      <c r="C7" s="262"/>
      <c r="D7" s="262"/>
      <c r="E7" s="262"/>
      <c r="F7" s="262"/>
      <c r="G7" s="263"/>
      <c r="H7" s="264" t="s">
        <v>104</v>
      </c>
      <c r="I7" s="265" t="s">
        <v>105</v>
      </c>
      <c r="J7" s="265" t="s">
        <v>106</v>
      </c>
      <c r="K7" s="264" t="s">
        <v>107</v>
      </c>
      <c r="L7" s="265" t="s">
        <v>108</v>
      </c>
      <c r="M7" s="265" t="s">
        <v>109</v>
      </c>
      <c r="N7" s="265" t="s">
        <v>109</v>
      </c>
      <c r="O7" s="265" t="s">
        <v>110</v>
      </c>
      <c r="P7" s="265" t="s">
        <v>105</v>
      </c>
      <c r="Q7" s="265" t="s">
        <v>105</v>
      </c>
      <c r="R7" s="264" t="s">
        <v>111</v>
      </c>
      <c r="S7" s="265" t="s">
        <v>110</v>
      </c>
      <c r="T7" s="264" t="s">
        <v>112</v>
      </c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</row>
    <row r="8" ht="22.5" customHeight="1">
      <c r="A8" s="143" t="s">
        <v>113</v>
      </c>
      <c r="B8" s="267"/>
      <c r="C8" s="267"/>
      <c r="D8" s="268"/>
      <c r="E8" s="268"/>
      <c r="F8" s="268"/>
      <c r="G8" s="269"/>
      <c r="H8" s="270">
        <v>0.5</v>
      </c>
      <c r="I8" s="270">
        <v>0.2</v>
      </c>
      <c r="J8" s="270">
        <v>2.0</v>
      </c>
      <c r="K8" s="270">
        <v>0.5</v>
      </c>
      <c r="L8" s="270">
        <v>0.1</v>
      </c>
      <c r="M8" s="270">
        <v>0.1</v>
      </c>
      <c r="N8" s="271">
        <v>2.0</v>
      </c>
      <c r="O8" s="270">
        <v>0.5</v>
      </c>
      <c r="P8" s="271">
        <v>1.0</v>
      </c>
      <c r="Q8" s="270">
        <v>0.2</v>
      </c>
      <c r="R8" s="270"/>
      <c r="S8" s="270">
        <v>0.1</v>
      </c>
      <c r="T8" s="270">
        <v>0.2</v>
      </c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</row>
    <row r="9" ht="22.5" customHeight="1">
      <c r="A9" s="143" t="s">
        <v>114</v>
      </c>
      <c r="B9" s="262"/>
      <c r="C9" s="262"/>
      <c r="D9" s="273"/>
      <c r="E9" s="273"/>
      <c r="F9" s="273"/>
      <c r="G9" s="274"/>
      <c r="H9" s="271">
        <v>3.0</v>
      </c>
      <c r="I9" s="271">
        <v>3.0</v>
      </c>
      <c r="J9" s="270">
        <v>8.0</v>
      </c>
      <c r="K9" s="271">
        <v>2.0</v>
      </c>
      <c r="L9" s="270">
        <v>1.0</v>
      </c>
      <c r="M9" s="270">
        <v>0.5</v>
      </c>
      <c r="N9" s="271">
        <v>4.0</v>
      </c>
      <c r="O9" s="271">
        <v>1.0</v>
      </c>
      <c r="P9" s="271">
        <v>2.0</v>
      </c>
      <c r="Q9" s="270">
        <v>0.5</v>
      </c>
      <c r="R9" s="270"/>
      <c r="S9" s="270">
        <v>0.2</v>
      </c>
      <c r="T9" s="270">
        <v>0.5</v>
      </c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</row>
    <row r="10" ht="22.5" customHeight="1">
      <c r="A10" s="143" t="s">
        <v>115</v>
      </c>
      <c r="B10" s="262"/>
      <c r="C10" s="262"/>
      <c r="D10" s="275"/>
      <c r="E10" s="275"/>
      <c r="F10" s="275"/>
      <c r="G10" s="274"/>
      <c r="H10" s="276">
        <f t="shared" ref="H10:Q10" si="1">(H8+H9)/2</f>
        <v>1.75</v>
      </c>
      <c r="I10" s="276">
        <f t="shared" si="1"/>
        <v>1.6</v>
      </c>
      <c r="J10" s="276">
        <f t="shared" si="1"/>
        <v>5</v>
      </c>
      <c r="K10" s="276">
        <f t="shared" si="1"/>
        <v>1.25</v>
      </c>
      <c r="L10" s="276">
        <f t="shared" si="1"/>
        <v>0.55</v>
      </c>
      <c r="M10" s="277">
        <f t="shared" si="1"/>
        <v>0.3</v>
      </c>
      <c r="N10" s="277">
        <f t="shared" si="1"/>
        <v>3</v>
      </c>
      <c r="O10" s="277">
        <f t="shared" si="1"/>
        <v>0.75</v>
      </c>
      <c r="P10" s="277">
        <f t="shared" si="1"/>
        <v>1.5</v>
      </c>
      <c r="Q10" s="277">
        <f t="shared" si="1"/>
        <v>0.35</v>
      </c>
      <c r="R10" s="277"/>
      <c r="S10" s="277">
        <f t="shared" ref="S10:T10" si="2">(S8+S9)/2</f>
        <v>0.15</v>
      </c>
      <c r="T10" s="277">
        <f t="shared" si="2"/>
        <v>0.35</v>
      </c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</row>
    <row r="11" ht="22.5" customHeight="1">
      <c r="A11" s="143" t="s">
        <v>116</v>
      </c>
      <c r="B11" s="262"/>
      <c r="C11" s="262"/>
      <c r="D11" s="273"/>
      <c r="E11" s="273"/>
      <c r="F11" s="273"/>
      <c r="G11" s="278"/>
      <c r="H11" s="273">
        <v>1.0</v>
      </c>
      <c r="I11" s="273">
        <v>1.0</v>
      </c>
      <c r="J11" s="273">
        <v>1.0</v>
      </c>
      <c r="K11" s="273">
        <v>1.0</v>
      </c>
      <c r="L11" s="273">
        <v>1.0</v>
      </c>
      <c r="M11" s="279">
        <v>1.0</v>
      </c>
      <c r="N11" s="280">
        <v>1.0</v>
      </c>
      <c r="O11" s="280">
        <v>1.0</v>
      </c>
      <c r="P11" s="273">
        <v>1.0</v>
      </c>
      <c r="Q11" s="273">
        <v>1.0</v>
      </c>
      <c r="R11" s="279">
        <v>1.0</v>
      </c>
      <c r="S11" s="273">
        <v>2.0</v>
      </c>
      <c r="T11" s="273">
        <v>2.0</v>
      </c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</row>
    <row r="12" ht="22.5" customHeight="1">
      <c r="A12" s="281"/>
      <c r="B12" s="282"/>
      <c r="C12" s="282"/>
      <c r="D12" s="282"/>
      <c r="E12" s="282"/>
      <c r="F12" s="282"/>
      <c r="G12" s="282"/>
      <c r="H12" s="283"/>
      <c r="I12" s="283"/>
      <c r="J12" s="283"/>
      <c r="K12" s="283"/>
      <c r="L12" s="284"/>
      <c r="M12" s="128"/>
      <c r="N12" s="284"/>
      <c r="O12" s="284"/>
      <c r="P12" s="284"/>
      <c r="Q12" s="284"/>
      <c r="R12" s="128"/>
      <c r="S12" s="284"/>
      <c r="T12" s="284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</row>
    <row r="13">
      <c r="A13" s="285"/>
      <c r="B13" s="282"/>
      <c r="C13" s="282"/>
      <c r="D13" s="282"/>
      <c r="E13" s="282"/>
      <c r="F13" s="282"/>
      <c r="G13" s="282"/>
      <c r="H13" s="283"/>
      <c r="I13" s="283"/>
      <c r="J13" s="283"/>
      <c r="K13" s="283"/>
      <c r="L13" s="284"/>
      <c r="M13" s="128"/>
      <c r="N13" s="128"/>
      <c r="O13" s="284"/>
      <c r="P13" s="284"/>
      <c r="Q13" s="284"/>
      <c r="R13" s="128"/>
      <c r="S13" s="284"/>
      <c r="T13" s="284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  <c r="AH13" s="285"/>
    </row>
    <row r="14">
      <c r="A14" s="233" t="s">
        <v>117</v>
      </c>
      <c r="B14" s="286" t="s">
        <v>118</v>
      </c>
      <c r="C14" s="287" t="s">
        <v>119</v>
      </c>
      <c r="D14" s="287" t="s">
        <v>120</v>
      </c>
      <c r="E14" s="287" t="s">
        <v>121</v>
      </c>
      <c r="F14" s="287" t="s">
        <v>122</v>
      </c>
      <c r="G14" s="288"/>
      <c r="H14" s="289"/>
      <c r="I14" s="289"/>
      <c r="J14" s="289"/>
      <c r="K14" s="289"/>
      <c r="L14" s="266"/>
      <c r="M14" s="266"/>
      <c r="N14" s="263"/>
      <c r="O14" s="266"/>
      <c r="P14" s="266"/>
      <c r="Q14" s="266"/>
      <c r="R14" s="263"/>
      <c r="S14" s="266"/>
      <c r="T14" s="266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285"/>
    </row>
    <row r="15">
      <c r="A15" s="143" t="s">
        <v>123</v>
      </c>
      <c r="B15" s="290"/>
      <c r="C15" s="291"/>
      <c r="D15" s="292"/>
      <c r="E15" s="292"/>
      <c r="F15" s="293"/>
      <c r="G15" s="28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  <c r="AH15" s="285"/>
    </row>
    <row r="16">
      <c r="A16" s="143" t="s">
        <v>124</v>
      </c>
      <c r="B16" s="290">
        <v>1.0</v>
      </c>
      <c r="C16" s="291">
        <v>40000.0</v>
      </c>
      <c r="D16" s="292">
        <f t="shared" ref="D16:D19" si="3">SUM(G16:T16)</f>
        <v>0</v>
      </c>
      <c r="E16" s="292">
        <f t="shared" ref="E16:E19" si="4">22*4</f>
        <v>88</v>
      </c>
      <c r="F16" s="293" t="str">
        <f t="shared" ref="F16:F19" si="5">IFERROR(B16*E16/D16)</f>
        <v/>
      </c>
      <c r="G16" s="28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</row>
    <row r="17">
      <c r="A17" s="143" t="s">
        <v>125</v>
      </c>
      <c r="B17" s="290">
        <v>1.0</v>
      </c>
      <c r="C17" s="291">
        <v>20000.0</v>
      </c>
      <c r="D17" s="294">
        <f t="shared" si="3"/>
        <v>6.2</v>
      </c>
      <c r="E17" s="292">
        <f t="shared" si="4"/>
        <v>88</v>
      </c>
      <c r="F17" s="295">
        <f t="shared" si="5"/>
        <v>14.19354839</v>
      </c>
      <c r="G17" s="288"/>
      <c r="H17" s="296">
        <f>H10</f>
        <v>1.75</v>
      </c>
      <c r="I17" s="268"/>
      <c r="J17" s="268"/>
      <c r="K17" s="268"/>
      <c r="L17" s="268">
        <f t="shared" ref="L17:M17" si="6">L10*L11</f>
        <v>0.55</v>
      </c>
      <c r="M17" s="268">
        <f t="shared" si="6"/>
        <v>0.3</v>
      </c>
      <c r="N17" s="268"/>
      <c r="O17" s="268">
        <f>O10*O11</f>
        <v>0.75</v>
      </c>
      <c r="P17" s="268">
        <f t="shared" ref="P17:Q17" si="7">P10</f>
        <v>1.5</v>
      </c>
      <c r="Q17" s="268">
        <f t="shared" si="7"/>
        <v>0.35</v>
      </c>
      <c r="R17" s="268"/>
      <c r="S17" s="268">
        <f t="shared" ref="S17:T17" si="8">S10*S11</f>
        <v>0.3</v>
      </c>
      <c r="T17" s="268">
        <f t="shared" si="8"/>
        <v>0.7</v>
      </c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</row>
    <row r="18">
      <c r="A18" s="143" t="s">
        <v>126</v>
      </c>
      <c r="B18" s="290">
        <v>1.0</v>
      </c>
      <c r="C18" s="291">
        <v>40000.0</v>
      </c>
      <c r="D18" s="297">
        <f t="shared" si="3"/>
        <v>9.25</v>
      </c>
      <c r="E18" s="292">
        <f t="shared" si="4"/>
        <v>88</v>
      </c>
      <c r="F18" s="298">
        <f t="shared" si="5"/>
        <v>9.513513514</v>
      </c>
      <c r="G18" s="288"/>
      <c r="H18" s="268"/>
      <c r="I18" s="268"/>
      <c r="J18" s="268">
        <f t="shared" ref="J18:K18" si="9">J10*J11</f>
        <v>5</v>
      </c>
      <c r="K18" s="268">
        <f t="shared" si="9"/>
        <v>1.25</v>
      </c>
      <c r="L18" s="268"/>
      <c r="M18" s="268"/>
      <c r="N18" s="268">
        <f>N10*N11</f>
        <v>3</v>
      </c>
      <c r="O18" s="268"/>
      <c r="P18" s="268"/>
      <c r="Q18" s="268"/>
      <c r="R18" s="268"/>
      <c r="S18" s="268"/>
      <c r="T18" s="268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</row>
    <row r="19">
      <c r="A19" s="143" t="s">
        <v>127</v>
      </c>
      <c r="B19" s="290">
        <v>1.0</v>
      </c>
      <c r="C19" s="291">
        <v>40000.0</v>
      </c>
      <c r="D19" s="294">
        <f t="shared" si="3"/>
        <v>1.6</v>
      </c>
      <c r="E19" s="292">
        <f t="shared" si="4"/>
        <v>88</v>
      </c>
      <c r="F19" s="295">
        <f t="shared" si="5"/>
        <v>55</v>
      </c>
      <c r="G19" s="288"/>
      <c r="H19" s="268"/>
      <c r="I19" s="299">
        <f>I10*I11</f>
        <v>1.6</v>
      </c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</row>
    <row r="20">
      <c r="A20" s="233" t="s">
        <v>128</v>
      </c>
      <c r="B20" s="290">
        <f>SUM(B16:B19)</f>
        <v>4</v>
      </c>
      <c r="C20" s="300">
        <f>B16*C16+B17*C17+B18*C18+B19*C19</f>
        <v>140000</v>
      </c>
      <c r="D20" s="301"/>
      <c r="E20" s="293"/>
      <c r="F20" s="293"/>
      <c r="G20" s="288"/>
      <c r="H20" s="289"/>
      <c r="I20" s="289"/>
      <c r="J20" s="289"/>
      <c r="K20" s="289"/>
      <c r="L20" s="266"/>
      <c r="M20" s="266"/>
      <c r="N20" s="266"/>
      <c r="O20" s="266"/>
      <c r="P20" s="266"/>
      <c r="Q20" s="266"/>
      <c r="R20" s="266"/>
      <c r="S20" s="266"/>
      <c r="T20" s="266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  <c r="AH20" s="285"/>
    </row>
    <row r="21">
      <c r="A21" s="302"/>
      <c r="B21" s="302"/>
      <c r="C21" s="302"/>
      <c r="D21" s="302"/>
      <c r="E21" s="302"/>
      <c r="F21" s="302"/>
      <c r="G21" s="288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6"/>
      <c r="T21" s="266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</row>
    <row r="22">
      <c r="A22" s="303" t="s">
        <v>129</v>
      </c>
      <c r="B22" s="291"/>
      <c r="C22" s="304">
        <f>C20/F22</f>
        <v>14715.90909</v>
      </c>
      <c r="D22" s="302"/>
      <c r="E22" s="293"/>
      <c r="F22" s="305">
        <f>MIN(F16:F20)</f>
        <v>9.513513514</v>
      </c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</row>
    <row r="23">
      <c r="A23" s="253"/>
      <c r="B23" s="306"/>
      <c r="C23" s="306"/>
      <c r="H23" s="307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</row>
    <row r="24">
      <c r="A24" s="253"/>
      <c r="B24" s="306"/>
      <c r="C24" s="306"/>
      <c r="H24" s="307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</row>
    <row r="25">
      <c r="A25" s="253"/>
      <c r="B25" s="306"/>
      <c r="H25" s="307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</row>
    <row r="26">
      <c r="A26" s="253"/>
      <c r="B26" s="112"/>
      <c r="C26" s="308" t="s">
        <v>130</v>
      </c>
      <c r="D26" s="112"/>
      <c r="E26" s="112"/>
      <c r="F26" s="112"/>
      <c r="G26" s="112"/>
      <c r="H26" s="112"/>
      <c r="I26" s="112"/>
      <c r="J26" s="112"/>
      <c r="K26" s="112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</row>
    <row r="27">
      <c r="A27" s="253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</row>
    <row r="28">
      <c r="A28" s="253"/>
      <c r="B28" s="112"/>
      <c r="C28" s="112"/>
      <c r="D28" s="112"/>
      <c r="E28" s="112"/>
      <c r="F28" s="112"/>
      <c r="G28" s="309"/>
      <c r="H28" s="112"/>
      <c r="I28" s="112"/>
      <c r="J28" s="112"/>
      <c r="K28" s="112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</row>
    <row r="29">
      <c r="A29" s="261"/>
      <c r="B29" s="258"/>
      <c r="C29" s="258"/>
      <c r="D29" s="258"/>
      <c r="E29" s="258"/>
      <c r="F29" s="258"/>
      <c r="G29" s="259" t="s">
        <v>88</v>
      </c>
      <c r="H29" s="260" t="s">
        <v>89</v>
      </c>
      <c r="I29" s="260" t="s">
        <v>90</v>
      </c>
      <c r="J29" s="260" t="s">
        <v>91</v>
      </c>
      <c r="K29" s="260" t="s">
        <v>92</v>
      </c>
      <c r="L29" s="260" t="s">
        <v>93</v>
      </c>
      <c r="M29" s="260" t="s">
        <v>94</v>
      </c>
      <c r="N29" s="260" t="s">
        <v>95</v>
      </c>
      <c r="O29" s="260" t="s">
        <v>96</v>
      </c>
      <c r="P29" s="260" t="s">
        <v>97</v>
      </c>
      <c r="Q29" s="260" t="s">
        <v>98</v>
      </c>
      <c r="R29" s="260" t="s">
        <v>99</v>
      </c>
      <c r="S29" s="260" t="s">
        <v>131</v>
      </c>
      <c r="T29" s="260" t="s">
        <v>101</v>
      </c>
      <c r="U29" s="259" t="s">
        <v>102</v>
      </c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</row>
    <row r="30" ht="22.5" customHeight="1">
      <c r="A30" s="266" t="s">
        <v>132</v>
      </c>
      <c r="B30" s="262"/>
      <c r="C30" s="262"/>
      <c r="D30" s="262"/>
      <c r="E30" s="262"/>
      <c r="F30" s="262"/>
      <c r="G30" s="310"/>
      <c r="H30" s="264" t="s">
        <v>104</v>
      </c>
      <c r="I30" s="265" t="s">
        <v>105</v>
      </c>
      <c r="J30" s="265" t="s">
        <v>106</v>
      </c>
      <c r="K30" s="264" t="s">
        <v>107</v>
      </c>
      <c r="L30" s="265" t="s">
        <v>108</v>
      </c>
      <c r="M30" s="265" t="s">
        <v>109</v>
      </c>
      <c r="N30" s="265" t="s">
        <v>109</v>
      </c>
      <c r="O30" s="265" t="s">
        <v>110</v>
      </c>
      <c r="P30" s="265" t="s">
        <v>105</v>
      </c>
      <c r="Q30" s="265" t="s">
        <v>105</v>
      </c>
      <c r="R30" s="264" t="s">
        <v>111</v>
      </c>
      <c r="S30" s="265" t="s">
        <v>110</v>
      </c>
      <c r="T30" s="264" t="s">
        <v>112</v>
      </c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</row>
    <row r="31" ht="22.5" customHeight="1">
      <c r="A31" s="311" t="s">
        <v>113</v>
      </c>
      <c r="B31" s="267"/>
      <c r="C31" s="267"/>
      <c r="D31" s="268"/>
      <c r="E31" s="268"/>
      <c r="F31" s="268"/>
      <c r="G31" s="312"/>
      <c r="H31" s="313">
        <v>0.5</v>
      </c>
      <c r="I31" s="313">
        <v>0.2</v>
      </c>
      <c r="J31" s="313">
        <v>1.0</v>
      </c>
      <c r="K31" s="313">
        <v>0.5</v>
      </c>
      <c r="L31" s="313">
        <v>0.1</v>
      </c>
      <c r="M31" s="313">
        <v>0.1</v>
      </c>
      <c r="N31" s="314">
        <v>0.5</v>
      </c>
      <c r="O31" s="313">
        <v>0.5</v>
      </c>
      <c r="P31" s="314">
        <v>1.0</v>
      </c>
      <c r="Q31" s="313">
        <v>0.2</v>
      </c>
      <c r="R31" s="313"/>
      <c r="S31" s="313">
        <v>0.1</v>
      </c>
      <c r="T31" s="313">
        <v>0.2</v>
      </c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</row>
    <row r="32" ht="22.5" customHeight="1">
      <c r="A32" s="315" t="s">
        <v>114</v>
      </c>
      <c r="B32" s="262"/>
      <c r="C32" s="262"/>
      <c r="D32" s="273"/>
      <c r="E32" s="273"/>
      <c r="F32" s="273"/>
      <c r="G32" s="316"/>
      <c r="H32" s="314">
        <v>3.0</v>
      </c>
      <c r="I32" s="317">
        <v>2.0</v>
      </c>
      <c r="J32" s="318">
        <v>4.0</v>
      </c>
      <c r="K32" s="314">
        <v>2.0</v>
      </c>
      <c r="L32" s="313">
        <v>1.0</v>
      </c>
      <c r="M32" s="313">
        <v>0.5</v>
      </c>
      <c r="N32" s="319">
        <v>2.0</v>
      </c>
      <c r="O32" s="314">
        <v>1.0</v>
      </c>
      <c r="P32" s="314">
        <v>2.0</v>
      </c>
      <c r="Q32" s="313">
        <v>0.5</v>
      </c>
      <c r="R32" s="313"/>
      <c r="S32" s="313">
        <v>0.2</v>
      </c>
      <c r="T32" s="313">
        <v>0.5</v>
      </c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</row>
    <row r="33" ht="22.5" customHeight="1">
      <c r="A33" s="315" t="s">
        <v>115</v>
      </c>
      <c r="B33" s="262"/>
      <c r="C33" s="262"/>
      <c r="D33" s="275"/>
      <c r="E33" s="275"/>
      <c r="F33" s="275"/>
      <c r="G33" s="316"/>
      <c r="H33" s="320">
        <f t="shared" ref="H33:Q33" si="10">(H31+H32)/2</f>
        <v>1.75</v>
      </c>
      <c r="I33" s="321">
        <f t="shared" si="10"/>
        <v>1.1</v>
      </c>
      <c r="J33" s="322">
        <f t="shared" si="10"/>
        <v>2.5</v>
      </c>
      <c r="K33" s="320">
        <f t="shared" si="10"/>
        <v>1.25</v>
      </c>
      <c r="L33" s="323">
        <f t="shared" si="10"/>
        <v>0.55</v>
      </c>
      <c r="M33" s="324">
        <f t="shared" si="10"/>
        <v>0.3</v>
      </c>
      <c r="N33" s="322">
        <f t="shared" si="10"/>
        <v>1.25</v>
      </c>
      <c r="O33" s="324">
        <f t="shared" si="10"/>
        <v>0.75</v>
      </c>
      <c r="P33" s="320">
        <f t="shared" si="10"/>
        <v>1.5</v>
      </c>
      <c r="Q33" s="324">
        <f t="shared" si="10"/>
        <v>0.35</v>
      </c>
      <c r="R33" s="324"/>
      <c r="S33" s="324">
        <f t="shared" ref="S33:T33" si="11">(S31+S32)/2</f>
        <v>0.15</v>
      </c>
      <c r="T33" s="324">
        <f t="shared" si="11"/>
        <v>0.35</v>
      </c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</row>
    <row r="34" ht="22.5" customHeight="1">
      <c r="A34" s="266" t="s">
        <v>116</v>
      </c>
      <c r="B34" s="262"/>
      <c r="C34" s="262"/>
      <c r="D34" s="273"/>
      <c r="E34" s="273"/>
      <c r="F34" s="273"/>
      <c r="G34" s="310"/>
      <c r="H34" s="325">
        <v>1.0</v>
      </c>
      <c r="I34" s="273">
        <v>0.0</v>
      </c>
      <c r="J34" s="326">
        <v>1.0</v>
      </c>
      <c r="K34" s="327">
        <v>1.0</v>
      </c>
      <c r="L34" s="325"/>
      <c r="M34" s="104"/>
      <c r="N34" s="328">
        <v>0.0</v>
      </c>
      <c r="O34" s="328">
        <v>0.0</v>
      </c>
      <c r="P34" s="104"/>
      <c r="Q34" s="104"/>
      <c r="R34" s="104"/>
      <c r="S34" s="328">
        <v>0.0</v>
      </c>
      <c r="T34" s="328">
        <v>0.0</v>
      </c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</row>
    <row r="35" ht="22.5" customHeight="1">
      <c r="A35" s="143"/>
      <c r="B35" s="282"/>
      <c r="C35" s="282"/>
      <c r="D35" s="282"/>
      <c r="E35" s="282"/>
      <c r="F35" s="282"/>
      <c r="G35" s="282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</row>
    <row r="36">
      <c r="A36" s="285"/>
      <c r="B36" s="282"/>
      <c r="C36" s="282"/>
      <c r="D36" s="282"/>
      <c r="E36" s="282"/>
      <c r="F36" s="282"/>
      <c r="G36" s="282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  <c r="AH36" s="285"/>
    </row>
    <row r="37">
      <c r="A37" s="233" t="s">
        <v>117</v>
      </c>
      <c r="B37" s="286" t="s">
        <v>118</v>
      </c>
      <c r="C37" s="286" t="s">
        <v>119</v>
      </c>
      <c r="D37" s="287" t="s">
        <v>120</v>
      </c>
      <c r="E37" s="286" t="s">
        <v>121</v>
      </c>
      <c r="F37" s="286" t="s">
        <v>122</v>
      </c>
      <c r="G37" s="169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281"/>
      <c r="V37" s="281"/>
      <c r="W37" s="281"/>
      <c r="X37" s="281"/>
      <c r="Y37" s="281"/>
      <c r="Z37" s="281"/>
      <c r="AA37" s="281"/>
      <c r="AB37" s="281"/>
      <c r="AC37" s="281"/>
      <c r="AD37" s="281"/>
      <c r="AE37" s="281"/>
      <c r="AF37" s="281"/>
      <c r="AG37" s="281"/>
      <c r="AH37" s="281"/>
    </row>
    <row r="38">
      <c r="A38" s="143" t="s">
        <v>133</v>
      </c>
      <c r="B38" s="290"/>
      <c r="C38" s="291"/>
      <c r="D38" s="292"/>
      <c r="E38" s="292"/>
      <c r="F38" s="293"/>
      <c r="G38" s="310"/>
      <c r="H38" s="329"/>
      <c r="I38" s="316"/>
      <c r="J38" s="316"/>
      <c r="K38" s="316"/>
      <c r="N38" s="316"/>
      <c r="O38" s="316"/>
      <c r="P38" s="329"/>
      <c r="Q38" s="329"/>
      <c r="R38" s="329"/>
      <c r="S38" s="329"/>
      <c r="T38" s="329"/>
      <c r="U38" s="281"/>
      <c r="V38" s="281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</row>
    <row r="39">
      <c r="A39" s="143" t="s">
        <v>124</v>
      </c>
      <c r="B39" s="290">
        <v>1.0</v>
      </c>
      <c r="C39" s="291">
        <v>40000.0</v>
      </c>
      <c r="D39" s="292">
        <f t="shared" ref="D39:D42" si="13">SUM(G39:T39)</f>
        <v>2.25</v>
      </c>
      <c r="E39" s="292">
        <f t="shared" ref="E39:E42" si="14">22*4</f>
        <v>88</v>
      </c>
      <c r="F39" s="293">
        <f t="shared" ref="F39:F42" si="15">IFERROR(B39*E39/D39)</f>
        <v>39.11111111</v>
      </c>
      <c r="G39" s="310"/>
      <c r="H39" s="330">
        <f>H33</f>
        <v>1.75</v>
      </c>
      <c r="I39" s="316"/>
      <c r="J39" s="316"/>
      <c r="K39" s="316"/>
      <c r="N39" s="316"/>
      <c r="O39" s="316"/>
      <c r="P39" s="329"/>
      <c r="Q39" s="329"/>
      <c r="R39" s="329"/>
      <c r="S39" s="331">
        <f t="shared" ref="S39:T39" si="12">S33</f>
        <v>0.15</v>
      </c>
      <c r="T39" s="331">
        <f t="shared" si="12"/>
        <v>0.35</v>
      </c>
      <c r="U39" s="281"/>
      <c r="V39" s="281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</row>
    <row r="40">
      <c r="A40" s="143" t="s">
        <v>125</v>
      </c>
      <c r="B40" s="332">
        <v>2.0</v>
      </c>
      <c r="C40" s="291">
        <v>20000.0</v>
      </c>
      <c r="D40" s="294">
        <f t="shared" si="13"/>
        <v>3.95</v>
      </c>
      <c r="E40" s="292">
        <f t="shared" si="14"/>
        <v>88</v>
      </c>
      <c r="F40" s="333">
        <f t="shared" si="15"/>
        <v>44.55696203</v>
      </c>
      <c r="G40" s="310"/>
      <c r="H40" s="310"/>
      <c r="I40" s="334">
        <f>I33*I34</f>
        <v>0</v>
      </c>
      <c r="J40" s="316"/>
      <c r="K40" s="334">
        <f>K33*K34</f>
        <v>1.25</v>
      </c>
      <c r="L40" s="330">
        <f t="shared" ref="L40:M40" si="16">L33</f>
        <v>0.55</v>
      </c>
      <c r="M40" s="330">
        <f t="shared" si="16"/>
        <v>0.3</v>
      </c>
      <c r="N40" s="316"/>
      <c r="O40" s="335"/>
      <c r="P40" s="334">
        <f t="shared" ref="P40:Q40" si="17">P33</f>
        <v>1.5</v>
      </c>
      <c r="Q40" s="330">
        <f t="shared" si="17"/>
        <v>0.35</v>
      </c>
      <c r="R40" s="329"/>
      <c r="U40" s="281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</row>
    <row r="41">
      <c r="A41" s="143" t="s">
        <v>126</v>
      </c>
      <c r="B41" s="332">
        <v>2.0</v>
      </c>
      <c r="C41" s="291">
        <v>60000.0</v>
      </c>
      <c r="D41" s="294">
        <f t="shared" si="13"/>
        <v>3.25</v>
      </c>
      <c r="E41" s="292">
        <f t="shared" si="14"/>
        <v>88</v>
      </c>
      <c r="F41" s="293">
        <f t="shared" si="15"/>
        <v>54.15384615</v>
      </c>
      <c r="G41" s="310"/>
      <c r="H41" s="316"/>
      <c r="I41" s="316"/>
      <c r="J41" s="334">
        <f>J33*J34</f>
        <v>2.5</v>
      </c>
      <c r="K41" s="335"/>
      <c r="N41" s="334">
        <f>N33*N34</f>
        <v>0</v>
      </c>
      <c r="O41" s="334">
        <f>O33</f>
        <v>0.75</v>
      </c>
      <c r="R41" s="329"/>
      <c r="S41" s="330"/>
      <c r="T41" s="329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</row>
    <row r="42">
      <c r="A42" s="143" t="s">
        <v>127</v>
      </c>
      <c r="B42" s="290">
        <v>1.0</v>
      </c>
      <c r="C42" s="291">
        <v>250000.0</v>
      </c>
      <c r="D42" s="292">
        <f t="shared" si="13"/>
        <v>0</v>
      </c>
      <c r="E42" s="292">
        <f t="shared" si="14"/>
        <v>88</v>
      </c>
      <c r="F42" s="293" t="str">
        <f t="shared" si="15"/>
        <v/>
      </c>
      <c r="G42" s="310"/>
      <c r="H42" s="316"/>
      <c r="I42" s="310"/>
      <c r="J42" s="316"/>
      <c r="K42" s="316"/>
      <c r="L42" s="335"/>
      <c r="M42" s="335"/>
      <c r="N42" s="316"/>
      <c r="O42" s="316"/>
      <c r="P42" s="329"/>
      <c r="R42" s="329"/>
      <c r="S42" s="329"/>
      <c r="T42" s="329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</row>
    <row r="43">
      <c r="A43" s="233" t="s">
        <v>134</v>
      </c>
      <c r="B43" s="286">
        <v>0.0</v>
      </c>
      <c r="C43" s="336">
        <v>80000.0</v>
      </c>
      <c r="D43" s="301"/>
      <c r="E43" s="293"/>
      <c r="F43" s="293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</row>
    <row r="44">
      <c r="A44" s="233" t="s">
        <v>128</v>
      </c>
      <c r="B44" s="337">
        <f>SUM(B39:B43)</f>
        <v>6</v>
      </c>
      <c r="C44" s="336">
        <f>C42*B39+C41*B41+C39*B42+C40*B40+B43*C43</f>
        <v>450000</v>
      </c>
      <c r="D44" s="301"/>
      <c r="E44" s="293"/>
      <c r="F44" s="293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</row>
    <row r="45">
      <c r="A45" s="169"/>
      <c r="B45" s="169"/>
      <c r="C45" s="169"/>
      <c r="D45" s="169"/>
      <c r="E45" s="169"/>
      <c r="F45" s="169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266"/>
      <c r="T45" s="266"/>
      <c r="U45" s="281"/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</row>
    <row r="46">
      <c r="A46" s="303" t="s">
        <v>129</v>
      </c>
      <c r="B46" s="291"/>
      <c r="C46" s="304">
        <f>C44/F46</f>
        <v>16436.68831</v>
      </c>
      <c r="D46" s="169"/>
      <c r="E46" s="293"/>
      <c r="F46" s="305">
        <f>MIN(F39:F41)*70%</f>
        <v>27.37777778</v>
      </c>
      <c r="G46" s="310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</row>
    <row r="47">
      <c r="A47" s="253"/>
      <c r="B47" s="338"/>
      <c r="C47" s="338"/>
      <c r="D47" s="338"/>
      <c r="E47" s="338"/>
      <c r="F47" s="339"/>
      <c r="G47" s="338"/>
      <c r="H47" s="112"/>
      <c r="I47" s="112"/>
      <c r="J47" s="112"/>
      <c r="K47" s="112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</row>
    <row r="48">
      <c r="A48" s="253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</row>
    <row r="49">
      <c r="A49" s="253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</row>
    <row r="50">
      <c r="A50" s="253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</row>
    <row r="51">
      <c r="A51" s="253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</row>
    <row r="52">
      <c r="A52" s="253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</row>
    <row r="53">
      <c r="A53" s="253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</row>
    <row r="54">
      <c r="A54" s="253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</row>
    <row r="55">
      <c r="A55" s="253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</row>
    <row r="56">
      <c r="A56" s="253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</row>
    <row r="57">
      <c r="A57" s="253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</row>
    <row r="58">
      <c r="A58" s="253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</row>
    <row r="59">
      <c r="A59" s="253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</row>
    <row r="60">
      <c r="A60" s="253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</row>
    <row r="61">
      <c r="A61" s="253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</row>
    <row r="62">
      <c r="A62" s="340" t="s">
        <v>135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</row>
    <row r="63">
      <c r="A63" s="341" t="s">
        <v>136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</row>
    <row r="64">
      <c r="A64" s="341" t="s">
        <v>137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</row>
    <row r="65">
      <c r="A65" s="341" t="s">
        <v>138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</row>
    <row r="66">
      <c r="A66" s="253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</row>
    <row r="67">
      <c r="A67" s="253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</row>
    <row r="68">
      <c r="A68" s="340" t="s">
        <v>139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</row>
    <row r="69">
      <c r="A69" s="341" t="s">
        <v>140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</row>
    <row r="70">
      <c r="A70" s="253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</row>
    <row r="71">
      <c r="A71" s="253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</row>
    <row r="72">
      <c r="A72" s="253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</row>
    <row r="73">
      <c r="A73" s="253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</row>
    <row r="74">
      <c r="A74" s="253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</row>
    <row r="75">
      <c r="A75" s="253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</row>
    <row r="76">
      <c r="A76" s="253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</row>
    <row r="77">
      <c r="A77" s="253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</row>
    <row r="78">
      <c r="A78" s="253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</row>
    <row r="79">
      <c r="A79" s="253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</row>
    <row r="80">
      <c r="A80" s="253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</row>
    <row r="81">
      <c r="A81" s="253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</row>
    <row r="82">
      <c r="A82" s="253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</row>
    <row r="83">
      <c r="A83" s="253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</row>
    <row r="84">
      <c r="A84" s="253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</row>
    <row r="85">
      <c r="A85" s="253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</row>
    <row r="86">
      <c r="A86" s="253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</row>
    <row r="87">
      <c r="A87" s="253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</row>
    <row r="88">
      <c r="A88" s="253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</row>
    <row r="89">
      <c r="A89" s="253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</row>
    <row r="90">
      <c r="A90" s="253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</row>
    <row r="91">
      <c r="A91" s="253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</row>
    <row r="92">
      <c r="A92" s="253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</row>
    <row r="93">
      <c r="A93" s="253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</row>
    <row r="94">
      <c r="A94" s="253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</row>
    <row r="95">
      <c r="A95" s="253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</row>
    <row r="96">
      <c r="A96" s="253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</row>
    <row r="97">
      <c r="A97" s="253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</row>
    <row r="98">
      <c r="A98" s="253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</row>
    <row r="99">
      <c r="A99" s="253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</row>
    <row r="100">
      <c r="A100" s="253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</row>
    <row r="101">
      <c r="A101" s="253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</row>
    <row r="102">
      <c r="A102" s="253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</row>
    <row r="103">
      <c r="A103" s="253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</row>
    <row r="104">
      <c r="A104" s="253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</row>
    <row r="105">
      <c r="A105" s="253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</row>
    <row r="106">
      <c r="A106" s="253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</row>
    <row r="107">
      <c r="A107" s="253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</row>
    <row r="108">
      <c r="A108" s="253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</row>
    <row r="109">
      <c r="A109" s="253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</row>
    <row r="110">
      <c r="A110" s="253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</row>
    <row r="111">
      <c r="A111" s="253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</row>
    <row r="112">
      <c r="A112" s="253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</row>
    <row r="113">
      <c r="A113" s="253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</row>
    <row r="114">
      <c r="A114" s="253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</row>
    <row r="115">
      <c r="A115" s="253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</row>
    <row r="116">
      <c r="A116" s="253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</row>
    <row r="117">
      <c r="A117" s="253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</row>
    <row r="118">
      <c r="A118" s="253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</row>
    <row r="119">
      <c r="A119" s="253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</row>
    <row r="120">
      <c r="A120" s="253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</row>
    <row r="121">
      <c r="A121" s="253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</row>
    <row r="122">
      <c r="A122" s="253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</row>
    <row r="123">
      <c r="A123" s="253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</row>
    <row r="124">
      <c r="A124" s="253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</row>
    <row r="125">
      <c r="A125" s="253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</row>
    <row r="126">
      <c r="A126" s="253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</row>
    <row r="127">
      <c r="A127" s="253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</row>
    <row r="128">
      <c r="A128" s="253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</row>
    <row r="129">
      <c r="A129" s="253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</row>
    <row r="130">
      <c r="A130" s="253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</row>
    <row r="131">
      <c r="A131" s="253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</row>
    <row r="132">
      <c r="A132" s="253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</row>
    <row r="133">
      <c r="A133" s="253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</row>
    <row r="134">
      <c r="A134" s="253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  <c r="AG134" s="253"/>
      <c r="AH134" s="253"/>
    </row>
    <row r="135">
      <c r="A135" s="253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</row>
    <row r="136">
      <c r="A136" s="253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</row>
    <row r="137">
      <c r="A137" s="253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  <c r="AG137" s="253"/>
      <c r="AH137" s="253"/>
    </row>
    <row r="138">
      <c r="A138" s="253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  <c r="AG138" s="253"/>
      <c r="AH138" s="253"/>
    </row>
    <row r="139">
      <c r="A139" s="253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</row>
    <row r="140">
      <c r="A140" s="253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  <c r="AG140" s="253"/>
      <c r="AH140" s="253"/>
    </row>
    <row r="141">
      <c r="A141" s="253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</row>
    <row r="142">
      <c r="A142" s="253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</row>
    <row r="143">
      <c r="A143" s="253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</row>
    <row r="144">
      <c r="A144" s="253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53"/>
      <c r="AC144" s="253"/>
      <c r="AD144" s="253"/>
      <c r="AE144" s="253"/>
      <c r="AF144" s="253"/>
      <c r="AG144" s="253"/>
      <c r="AH144" s="253"/>
    </row>
    <row r="145">
      <c r="A145" s="253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</row>
    <row r="146">
      <c r="A146" s="253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</row>
    <row r="147">
      <c r="A147" s="253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</row>
    <row r="148">
      <c r="A148" s="253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</row>
    <row r="149">
      <c r="A149" s="253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</row>
    <row r="150">
      <c r="A150" s="253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  <c r="AA150" s="253"/>
      <c r="AB150" s="253"/>
      <c r="AC150" s="253"/>
      <c r="AD150" s="253"/>
      <c r="AE150" s="253"/>
      <c r="AF150" s="253"/>
      <c r="AG150" s="253"/>
      <c r="AH150" s="253"/>
    </row>
    <row r="151">
      <c r="A151" s="253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</row>
    <row r="152">
      <c r="A152" s="253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  <c r="AA152" s="253"/>
      <c r="AB152" s="253"/>
      <c r="AC152" s="253"/>
      <c r="AD152" s="253"/>
      <c r="AE152" s="253"/>
      <c r="AF152" s="253"/>
      <c r="AG152" s="253"/>
      <c r="AH152" s="253"/>
    </row>
    <row r="153">
      <c r="A153" s="253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</row>
    <row r="154">
      <c r="A154" s="253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  <c r="AA154" s="253"/>
      <c r="AB154" s="253"/>
      <c r="AC154" s="253"/>
      <c r="AD154" s="253"/>
      <c r="AE154" s="253"/>
      <c r="AF154" s="253"/>
      <c r="AG154" s="253"/>
      <c r="AH154" s="253"/>
    </row>
    <row r="155">
      <c r="A155" s="253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</row>
    <row r="156">
      <c r="A156" s="253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  <c r="AA156" s="253"/>
      <c r="AB156" s="253"/>
      <c r="AC156" s="253"/>
      <c r="AD156" s="253"/>
      <c r="AE156" s="253"/>
      <c r="AF156" s="253"/>
      <c r="AG156" s="253"/>
      <c r="AH156" s="253"/>
    </row>
    <row r="157">
      <c r="A157" s="253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</row>
    <row r="158">
      <c r="A158" s="253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  <c r="AA158" s="253"/>
      <c r="AB158" s="253"/>
      <c r="AC158" s="253"/>
      <c r="AD158" s="253"/>
      <c r="AE158" s="253"/>
      <c r="AF158" s="253"/>
      <c r="AG158" s="253"/>
      <c r="AH158" s="253"/>
    </row>
    <row r="159">
      <c r="A159" s="253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</row>
    <row r="160">
      <c r="A160" s="253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  <c r="AD160" s="253"/>
      <c r="AE160" s="253"/>
      <c r="AF160" s="253"/>
      <c r="AG160" s="253"/>
      <c r="AH160" s="253"/>
    </row>
    <row r="161">
      <c r="A161" s="253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</row>
    <row r="162">
      <c r="A162" s="253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  <c r="AA162" s="253"/>
      <c r="AB162" s="253"/>
      <c r="AC162" s="253"/>
      <c r="AD162" s="253"/>
      <c r="AE162" s="253"/>
      <c r="AF162" s="253"/>
      <c r="AG162" s="253"/>
      <c r="AH162" s="253"/>
    </row>
    <row r="163">
      <c r="A163" s="253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E163" s="253"/>
      <c r="AF163" s="253"/>
      <c r="AG163" s="253"/>
      <c r="AH163" s="253"/>
    </row>
    <row r="164">
      <c r="A164" s="253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</row>
    <row r="165">
      <c r="A165" s="253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E165" s="253"/>
      <c r="AF165" s="253"/>
      <c r="AG165" s="253"/>
      <c r="AH165" s="253"/>
    </row>
    <row r="166">
      <c r="A166" s="253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  <c r="AA166" s="253"/>
      <c r="AB166" s="253"/>
      <c r="AC166" s="253"/>
      <c r="AD166" s="253"/>
      <c r="AE166" s="253"/>
      <c r="AF166" s="253"/>
      <c r="AG166" s="253"/>
      <c r="AH166" s="253"/>
    </row>
    <row r="167">
      <c r="A167" s="253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  <c r="AA167" s="253"/>
      <c r="AB167" s="253"/>
      <c r="AC167" s="253"/>
      <c r="AD167" s="253"/>
      <c r="AE167" s="253"/>
      <c r="AF167" s="253"/>
      <c r="AG167" s="253"/>
      <c r="AH167" s="253"/>
    </row>
    <row r="168">
      <c r="A168" s="253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  <c r="AA168" s="253"/>
      <c r="AB168" s="253"/>
      <c r="AC168" s="253"/>
      <c r="AD168" s="253"/>
      <c r="AE168" s="253"/>
      <c r="AF168" s="253"/>
      <c r="AG168" s="253"/>
      <c r="AH168" s="253"/>
    </row>
    <row r="169">
      <c r="A169" s="253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  <c r="AD169" s="253"/>
      <c r="AE169" s="253"/>
      <c r="AF169" s="253"/>
      <c r="AG169" s="253"/>
      <c r="AH169" s="253"/>
    </row>
    <row r="170">
      <c r="A170" s="253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  <c r="AD170" s="253"/>
      <c r="AE170" s="253"/>
      <c r="AF170" s="253"/>
      <c r="AG170" s="253"/>
      <c r="AH170" s="253"/>
    </row>
    <row r="171">
      <c r="A171" s="253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  <c r="AD171" s="253"/>
      <c r="AE171" s="253"/>
      <c r="AF171" s="253"/>
      <c r="AG171" s="253"/>
      <c r="AH171" s="253"/>
    </row>
    <row r="172">
      <c r="A172" s="253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  <c r="AA172" s="253"/>
      <c r="AB172" s="253"/>
      <c r="AC172" s="253"/>
      <c r="AD172" s="253"/>
      <c r="AE172" s="253"/>
      <c r="AF172" s="253"/>
      <c r="AG172" s="253"/>
      <c r="AH172" s="253"/>
    </row>
    <row r="173">
      <c r="A173" s="253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</row>
    <row r="174">
      <c r="A174" s="253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  <c r="AD174" s="253"/>
      <c r="AE174" s="253"/>
      <c r="AF174" s="253"/>
      <c r="AG174" s="253"/>
      <c r="AH174" s="253"/>
    </row>
    <row r="175">
      <c r="A175" s="253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  <c r="AA175" s="253"/>
      <c r="AB175" s="253"/>
      <c r="AC175" s="253"/>
      <c r="AD175" s="253"/>
      <c r="AE175" s="253"/>
      <c r="AF175" s="253"/>
      <c r="AG175" s="253"/>
      <c r="AH175" s="253"/>
    </row>
    <row r="176">
      <c r="A176" s="253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  <c r="AA176" s="253"/>
      <c r="AB176" s="253"/>
      <c r="AC176" s="253"/>
      <c r="AD176" s="253"/>
      <c r="AE176" s="253"/>
      <c r="AF176" s="253"/>
      <c r="AG176" s="253"/>
      <c r="AH176" s="253"/>
    </row>
    <row r="177">
      <c r="A177" s="253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  <c r="AA177" s="253"/>
      <c r="AB177" s="253"/>
      <c r="AC177" s="253"/>
      <c r="AD177" s="253"/>
      <c r="AE177" s="253"/>
      <c r="AF177" s="253"/>
      <c r="AG177" s="253"/>
      <c r="AH177" s="253"/>
    </row>
    <row r="178">
      <c r="A178" s="253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  <c r="AA178" s="253"/>
      <c r="AB178" s="253"/>
      <c r="AC178" s="253"/>
      <c r="AD178" s="253"/>
      <c r="AE178" s="253"/>
      <c r="AF178" s="253"/>
      <c r="AG178" s="253"/>
      <c r="AH178" s="253"/>
    </row>
    <row r="179">
      <c r="A179" s="253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E179" s="253"/>
      <c r="AF179" s="253"/>
      <c r="AG179" s="253"/>
      <c r="AH179" s="253"/>
    </row>
    <row r="180">
      <c r="A180" s="253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  <c r="AA180" s="253"/>
      <c r="AB180" s="253"/>
      <c r="AC180" s="253"/>
      <c r="AD180" s="253"/>
      <c r="AE180" s="253"/>
      <c r="AF180" s="253"/>
      <c r="AG180" s="253"/>
      <c r="AH180" s="253"/>
    </row>
    <row r="181">
      <c r="A181" s="253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E181" s="253"/>
      <c r="AF181" s="253"/>
      <c r="AG181" s="253"/>
      <c r="AH181" s="253"/>
    </row>
    <row r="182">
      <c r="A182" s="253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  <c r="AA182" s="253"/>
      <c r="AB182" s="253"/>
      <c r="AC182" s="253"/>
      <c r="AD182" s="253"/>
      <c r="AE182" s="253"/>
      <c r="AF182" s="253"/>
      <c r="AG182" s="253"/>
      <c r="AH182" s="253"/>
    </row>
    <row r="183">
      <c r="A183" s="253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  <c r="AA183" s="253"/>
      <c r="AB183" s="253"/>
      <c r="AC183" s="253"/>
      <c r="AD183" s="253"/>
      <c r="AE183" s="253"/>
      <c r="AF183" s="253"/>
      <c r="AG183" s="253"/>
      <c r="AH183" s="253"/>
    </row>
    <row r="184">
      <c r="A184" s="253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  <c r="AA184" s="253"/>
      <c r="AB184" s="253"/>
      <c r="AC184" s="253"/>
      <c r="AD184" s="253"/>
      <c r="AE184" s="253"/>
      <c r="AF184" s="253"/>
      <c r="AG184" s="253"/>
      <c r="AH184" s="253"/>
    </row>
    <row r="185">
      <c r="A185" s="253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  <c r="AA185" s="253"/>
      <c r="AB185" s="253"/>
      <c r="AC185" s="253"/>
      <c r="AD185" s="253"/>
      <c r="AE185" s="253"/>
      <c r="AF185" s="253"/>
      <c r="AG185" s="253"/>
      <c r="AH185" s="253"/>
    </row>
    <row r="186">
      <c r="A186" s="253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  <c r="AA186" s="253"/>
      <c r="AB186" s="253"/>
      <c r="AC186" s="253"/>
      <c r="AD186" s="253"/>
      <c r="AE186" s="253"/>
      <c r="AF186" s="253"/>
      <c r="AG186" s="253"/>
      <c r="AH186" s="253"/>
    </row>
    <row r="187">
      <c r="A187" s="253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</row>
    <row r="188">
      <c r="A188" s="253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  <c r="AA188" s="253"/>
      <c r="AB188" s="253"/>
      <c r="AC188" s="253"/>
      <c r="AD188" s="253"/>
      <c r="AE188" s="253"/>
      <c r="AF188" s="253"/>
      <c r="AG188" s="253"/>
      <c r="AH188" s="253"/>
    </row>
    <row r="189">
      <c r="A189" s="253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  <c r="AD189" s="253"/>
      <c r="AE189" s="253"/>
      <c r="AF189" s="253"/>
      <c r="AG189" s="253"/>
      <c r="AH189" s="253"/>
    </row>
    <row r="190">
      <c r="A190" s="253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  <c r="AA190" s="253"/>
      <c r="AB190" s="253"/>
      <c r="AC190" s="253"/>
      <c r="AD190" s="253"/>
      <c r="AE190" s="253"/>
      <c r="AF190" s="253"/>
      <c r="AG190" s="253"/>
      <c r="AH190" s="253"/>
    </row>
    <row r="191">
      <c r="A191" s="253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  <c r="AB191" s="253"/>
      <c r="AC191" s="253"/>
      <c r="AD191" s="253"/>
      <c r="AE191" s="253"/>
      <c r="AF191" s="253"/>
      <c r="AG191" s="253"/>
      <c r="AH191" s="253"/>
    </row>
    <row r="192">
      <c r="A192" s="253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  <c r="AD192" s="253"/>
      <c r="AE192" s="253"/>
      <c r="AF192" s="253"/>
      <c r="AG192" s="253"/>
      <c r="AH192" s="253"/>
    </row>
    <row r="193">
      <c r="A193" s="253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  <c r="AA193" s="253"/>
      <c r="AB193" s="253"/>
      <c r="AC193" s="253"/>
      <c r="AD193" s="253"/>
      <c r="AE193" s="253"/>
      <c r="AF193" s="253"/>
      <c r="AG193" s="253"/>
      <c r="AH193" s="253"/>
    </row>
    <row r="194">
      <c r="A194" s="253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  <c r="AA194" s="253"/>
      <c r="AB194" s="253"/>
      <c r="AC194" s="253"/>
      <c r="AD194" s="253"/>
      <c r="AE194" s="253"/>
      <c r="AF194" s="253"/>
      <c r="AG194" s="253"/>
      <c r="AH194" s="253"/>
    </row>
    <row r="195">
      <c r="A195" s="253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  <c r="AA195" s="253"/>
      <c r="AB195" s="253"/>
      <c r="AC195" s="253"/>
      <c r="AD195" s="253"/>
      <c r="AE195" s="253"/>
      <c r="AF195" s="253"/>
      <c r="AG195" s="253"/>
      <c r="AH195" s="253"/>
    </row>
    <row r="196">
      <c r="A196" s="253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  <c r="AD196" s="253"/>
      <c r="AE196" s="253"/>
      <c r="AF196" s="253"/>
      <c r="AG196" s="253"/>
      <c r="AH196" s="253"/>
    </row>
    <row r="197">
      <c r="A197" s="253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  <c r="AA197" s="253"/>
      <c r="AB197" s="253"/>
      <c r="AC197" s="253"/>
      <c r="AD197" s="253"/>
      <c r="AE197" s="253"/>
      <c r="AF197" s="253"/>
      <c r="AG197" s="253"/>
      <c r="AH197" s="253"/>
    </row>
    <row r="198">
      <c r="A198" s="253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  <c r="AA198" s="253"/>
      <c r="AB198" s="253"/>
      <c r="AC198" s="253"/>
      <c r="AD198" s="253"/>
      <c r="AE198" s="253"/>
      <c r="AF198" s="253"/>
      <c r="AG198" s="253"/>
      <c r="AH198" s="253"/>
    </row>
    <row r="199">
      <c r="A199" s="253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  <c r="AA199" s="253"/>
      <c r="AB199" s="253"/>
      <c r="AC199" s="253"/>
      <c r="AD199" s="253"/>
      <c r="AE199" s="253"/>
      <c r="AF199" s="253"/>
      <c r="AG199" s="253"/>
      <c r="AH199" s="253"/>
    </row>
    <row r="200">
      <c r="A200" s="253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  <c r="AA200" s="253"/>
      <c r="AB200" s="253"/>
      <c r="AC200" s="253"/>
      <c r="AD200" s="253"/>
      <c r="AE200" s="253"/>
      <c r="AF200" s="253"/>
      <c r="AG200" s="253"/>
      <c r="AH200" s="253"/>
    </row>
    <row r="201">
      <c r="A201" s="253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  <c r="Y201" s="253"/>
      <c r="Z201" s="253"/>
      <c r="AA201" s="253"/>
      <c r="AB201" s="253"/>
      <c r="AC201" s="253"/>
      <c r="AD201" s="253"/>
      <c r="AE201" s="253"/>
      <c r="AF201" s="253"/>
      <c r="AG201" s="253"/>
      <c r="AH201" s="253"/>
    </row>
    <row r="202">
      <c r="A202" s="253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  <c r="Y202" s="253"/>
      <c r="Z202" s="253"/>
      <c r="AA202" s="253"/>
      <c r="AB202" s="253"/>
      <c r="AC202" s="253"/>
      <c r="AD202" s="253"/>
      <c r="AE202" s="253"/>
      <c r="AF202" s="253"/>
      <c r="AG202" s="253"/>
      <c r="AH202" s="253"/>
    </row>
    <row r="203">
      <c r="A203" s="253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  <c r="AD203" s="253"/>
      <c r="AE203" s="253"/>
      <c r="AF203" s="253"/>
      <c r="AG203" s="253"/>
      <c r="AH203" s="253"/>
    </row>
    <row r="204">
      <c r="A204" s="253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  <c r="Y204" s="253"/>
      <c r="Z204" s="253"/>
      <c r="AA204" s="253"/>
      <c r="AB204" s="253"/>
      <c r="AC204" s="253"/>
      <c r="AD204" s="253"/>
      <c r="AE204" s="253"/>
      <c r="AF204" s="253"/>
      <c r="AG204" s="253"/>
      <c r="AH204" s="253"/>
    </row>
    <row r="205">
      <c r="A205" s="253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  <c r="AD205" s="253"/>
      <c r="AE205" s="253"/>
      <c r="AF205" s="253"/>
      <c r="AG205" s="253"/>
      <c r="AH205" s="253"/>
    </row>
    <row r="206">
      <c r="A206" s="253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  <c r="Y206" s="253"/>
      <c r="Z206" s="253"/>
      <c r="AA206" s="253"/>
      <c r="AB206" s="253"/>
      <c r="AC206" s="253"/>
      <c r="AD206" s="253"/>
      <c r="AE206" s="253"/>
      <c r="AF206" s="253"/>
      <c r="AG206" s="253"/>
      <c r="AH206" s="253"/>
    </row>
    <row r="207">
      <c r="A207" s="253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  <c r="AD207" s="253"/>
      <c r="AE207" s="253"/>
      <c r="AF207" s="253"/>
      <c r="AG207" s="253"/>
      <c r="AH207" s="253"/>
    </row>
    <row r="208">
      <c r="A208" s="253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  <c r="Y208" s="253"/>
      <c r="Z208" s="253"/>
      <c r="AA208" s="253"/>
      <c r="AB208" s="253"/>
      <c r="AC208" s="253"/>
      <c r="AD208" s="253"/>
      <c r="AE208" s="253"/>
      <c r="AF208" s="253"/>
      <c r="AG208" s="253"/>
      <c r="AH208" s="253"/>
    </row>
    <row r="209">
      <c r="A209" s="253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  <c r="AD209" s="253"/>
      <c r="AE209" s="253"/>
      <c r="AF209" s="253"/>
      <c r="AG209" s="253"/>
      <c r="AH209" s="253"/>
    </row>
    <row r="210">
      <c r="A210" s="253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  <c r="Y210" s="253"/>
      <c r="Z210" s="253"/>
      <c r="AA210" s="253"/>
      <c r="AB210" s="253"/>
      <c r="AC210" s="253"/>
      <c r="AD210" s="253"/>
      <c r="AE210" s="253"/>
      <c r="AF210" s="253"/>
      <c r="AG210" s="253"/>
      <c r="AH210" s="253"/>
    </row>
    <row r="211">
      <c r="A211" s="253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253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  <c r="AD211" s="253"/>
      <c r="AE211" s="253"/>
      <c r="AF211" s="253"/>
      <c r="AG211" s="253"/>
      <c r="AH211" s="253"/>
    </row>
    <row r="212">
      <c r="A212" s="253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253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  <c r="X212" s="253"/>
      <c r="Y212" s="253"/>
      <c r="Z212" s="253"/>
      <c r="AA212" s="253"/>
      <c r="AB212" s="253"/>
      <c r="AC212" s="253"/>
      <c r="AD212" s="253"/>
      <c r="AE212" s="253"/>
      <c r="AF212" s="253"/>
      <c r="AG212" s="253"/>
      <c r="AH212" s="253"/>
    </row>
    <row r="213">
      <c r="A213" s="253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253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  <c r="AD213" s="253"/>
      <c r="AE213" s="253"/>
      <c r="AF213" s="253"/>
      <c r="AG213" s="253"/>
      <c r="AH213" s="253"/>
    </row>
    <row r="214">
      <c r="A214" s="253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253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  <c r="AA214" s="253"/>
      <c r="AB214" s="253"/>
      <c r="AC214" s="253"/>
      <c r="AD214" s="253"/>
      <c r="AE214" s="253"/>
      <c r="AF214" s="253"/>
      <c r="AG214" s="253"/>
      <c r="AH214" s="253"/>
    </row>
    <row r="215">
      <c r="A215" s="253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253"/>
      <c r="M215" s="253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</row>
    <row r="216">
      <c r="A216" s="253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253"/>
      <c r="M216" s="253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  <c r="X216" s="253"/>
      <c r="Y216" s="253"/>
      <c r="Z216" s="253"/>
      <c r="AA216" s="253"/>
      <c r="AB216" s="253"/>
      <c r="AC216" s="253"/>
      <c r="AD216" s="253"/>
      <c r="AE216" s="253"/>
      <c r="AF216" s="253"/>
      <c r="AG216" s="253"/>
      <c r="AH216" s="253"/>
    </row>
    <row r="217">
      <c r="A217" s="253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253"/>
      <c r="M217" s="253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  <c r="AD217" s="253"/>
      <c r="AE217" s="253"/>
      <c r="AF217" s="253"/>
      <c r="AG217" s="253"/>
      <c r="AH217" s="253"/>
    </row>
    <row r="218">
      <c r="A218" s="253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253"/>
      <c r="M218" s="253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  <c r="X218" s="253"/>
      <c r="Y218" s="253"/>
      <c r="Z218" s="253"/>
      <c r="AA218" s="253"/>
      <c r="AB218" s="253"/>
      <c r="AC218" s="253"/>
      <c r="AD218" s="253"/>
      <c r="AE218" s="253"/>
      <c r="AF218" s="253"/>
      <c r="AG218" s="253"/>
      <c r="AH218" s="253"/>
    </row>
    <row r="219">
      <c r="A219" s="253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253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  <c r="AD219" s="253"/>
      <c r="AE219" s="253"/>
      <c r="AF219" s="253"/>
      <c r="AG219" s="253"/>
      <c r="AH219" s="253"/>
    </row>
    <row r="220">
      <c r="A220" s="253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253"/>
      <c r="M220" s="253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  <c r="X220" s="253"/>
      <c r="Y220" s="253"/>
      <c r="Z220" s="253"/>
      <c r="AA220" s="253"/>
      <c r="AB220" s="253"/>
      <c r="AC220" s="253"/>
      <c r="AD220" s="253"/>
      <c r="AE220" s="253"/>
      <c r="AF220" s="253"/>
      <c r="AG220" s="253"/>
      <c r="AH220" s="253"/>
    </row>
    <row r="221">
      <c r="A221" s="253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253"/>
      <c r="M221" s="253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  <c r="AD221" s="253"/>
      <c r="AE221" s="253"/>
      <c r="AF221" s="253"/>
      <c r="AG221" s="253"/>
      <c r="AH221" s="253"/>
    </row>
    <row r="222">
      <c r="A222" s="253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253"/>
      <c r="M222" s="253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  <c r="X222" s="253"/>
      <c r="Y222" s="253"/>
      <c r="Z222" s="253"/>
      <c r="AA222" s="253"/>
      <c r="AB222" s="253"/>
      <c r="AC222" s="253"/>
      <c r="AD222" s="253"/>
      <c r="AE222" s="253"/>
      <c r="AF222" s="253"/>
      <c r="AG222" s="253"/>
      <c r="AH222" s="253"/>
    </row>
    <row r="223">
      <c r="A223" s="253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253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  <c r="AD223" s="253"/>
      <c r="AE223" s="253"/>
      <c r="AF223" s="253"/>
      <c r="AG223" s="253"/>
      <c r="AH223" s="253"/>
    </row>
    <row r="224">
      <c r="A224" s="253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253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  <c r="X224" s="253"/>
      <c r="Y224" s="253"/>
      <c r="Z224" s="253"/>
      <c r="AA224" s="253"/>
      <c r="AB224" s="253"/>
      <c r="AC224" s="253"/>
      <c r="AD224" s="253"/>
      <c r="AE224" s="253"/>
      <c r="AF224" s="253"/>
      <c r="AG224" s="253"/>
      <c r="AH224" s="253"/>
    </row>
    <row r="225">
      <c r="A225" s="253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253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  <c r="AD225" s="253"/>
      <c r="AE225" s="253"/>
      <c r="AF225" s="253"/>
      <c r="AG225" s="253"/>
      <c r="AH225" s="253"/>
    </row>
    <row r="226">
      <c r="A226" s="253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253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  <c r="X226" s="253"/>
      <c r="Y226" s="253"/>
      <c r="Z226" s="253"/>
      <c r="AA226" s="253"/>
      <c r="AB226" s="253"/>
      <c r="AC226" s="253"/>
      <c r="AD226" s="253"/>
      <c r="AE226" s="253"/>
      <c r="AF226" s="253"/>
      <c r="AG226" s="253"/>
      <c r="AH226" s="253"/>
    </row>
    <row r="227">
      <c r="A227" s="253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  <c r="AG227" s="253"/>
      <c r="AH227" s="253"/>
    </row>
    <row r="228">
      <c r="A228" s="253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  <c r="AD228" s="253"/>
      <c r="AE228" s="253"/>
      <c r="AF228" s="253"/>
      <c r="AG228" s="253"/>
      <c r="AH228" s="253"/>
    </row>
    <row r="229">
      <c r="A229" s="253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  <c r="AG229" s="253"/>
      <c r="AH229" s="253"/>
    </row>
    <row r="230">
      <c r="A230" s="253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253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  <c r="AA230" s="253"/>
      <c r="AB230" s="253"/>
      <c r="AC230" s="253"/>
      <c r="AD230" s="253"/>
      <c r="AE230" s="253"/>
      <c r="AF230" s="253"/>
      <c r="AG230" s="253"/>
      <c r="AH230" s="253"/>
    </row>
    <row r="231">
      <c r="A231" s="253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253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  <c r="AD231" s="253"/>
      <c r="AE231" s="253"/>
      <c r="AF231" s="253"/>
      <c r="AG231" s="253"/>
      <c r="AH231" s="253"/>
    </row>
    <row r="232">
      <c r="A232" s="253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  <c r="AD232" s="253"/>
      <c r="AE232" s="253"/>
      <c r="AF232" s="253"/>
      <c r="AG232" s="253"/>
      <c r="AH232" s="253"/>
    </row>
    <row r="233">
      <c r="A233" s="253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  <c r="AE233" s="253"/>
      <c r="AF233" s="253"/>
      <c r="AG233" s="253"/>
      <c r="AH233" s="253"/>
    </row>
    <row r="234">
      <c r="A234" s="253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  <c r="AD234" s="253"/>
      <c r="AE234" s="253"/>
      <c r="AF234" s="253"/>
      <c r="AG234" s="253"/>
      <c r="AH234" s="253"/>
    </row>
    <row r="235">
      <c r="A235" s="253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  <c r="AD235" s="253"/>
      <c r="AE235" s="253"/>
      <c r="AF235" s="253"/>
      <c r="AG235" s="253"/>
      <c r="AH235" s="253"/>
    </row>
    <row r="236">
      <c r="A236" s="253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  <c r="AD236" s="253"/>
      <c r="AE236" s="253"/>
      <c r="AF236" s="253"/>
      <c r="AG236" s="253"/>
      <c r="AH236" s="253"/>
    </row>
    <row r="237">
      <c r="A237" s="253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  <c r="AD237" s="253"/>
      <c r="AE237" s="253"/>
      <c r="AF237" s="253"/>
      <c r="AG237" s="253"/>
      <c r="AH237" s="253"/>
    </row>
    <row r="238">
      <c r="A238" s="253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  <c r="X238" s="253"/>
      <c r="Y238" s="253"/>
      <c r="Z238" s="253"/>
      <c r="AA238" s="253"/>
      <c r="AB238" s="253"/>
      <c r="AC238" s="253"/>
      <c r="AD238" s="253"/>
      <c r="AE238" s="253"/>
      <c r="AF238" s="253"/>
      <c r="AG238" s="253"/>
      <c r="AH238" s="253"/>
    </row>
    <row r="239">
      <c r="A239" s="253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  <c r="AD239" s="253"/>
      <c r="AE239" s="253"/>
      <c r="AF239" s="253"/>
      <c r="AG239" s="253"/>
      <c r="AH239" s="253"/>
    </row>
    <row r="240">
      <c r="A240" s="253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  <c r="AD240" s="253"/>
      <c r="AE240" s="253"/>
      <c r="AF240" s="253"/>
      <c r="AG240" s="253"/>
      <c r="AH240" s="253"/>
    </row>
    <row r="241">
      <c r="A241" s="253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253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  <c r="AD241" s="253"/>
      <c r="AE241" s="253"/>
      <c r="AF241" s="253"/>
      <c r="AG241" s="253"/>
      <c r="AH241" s="253"/>
    </row>
    <row r="242">
      <c r="A242" s="253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  <c r="Y242" s="253"/>
      <c r="Z242" s="253"/>
      <c r="AA242" s="253"/>
      <c r="AB242" s="253"/>
      <c r="AC242" s="253"/>
      <c r="AD242" s="253"/>
      <c r="AE242" s="253"/>
      <c r="AF242" s="253"/>
      <c r="AG242" s="253"/>
      <c r="AH242" s="253"/>
    </row>
    <row r="243">
      <c r="A243" s="253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  <c r="AD243" s="253"/>
      <c r="AE243" s="253"/>
      <c r="AF243" s="253"/>
      <c r="AG243" s="253"/>
      <c r="AH243" s="253"/>
    </row>
    <row r="244">
      <c r="A244" s="253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  <c r="X244" s="253"/>
      <c r="Y244" s="253"/>
      <c r="Z244" s="253"/>
      <c r="AA244" s="253"/>
      <c r="AB244" s="253"/>
      <c r="AC244" s="253"/>
      <c r="AD244" s="253"/>
      <c r="AE244" s="253"/>
      <c r="AF244" s="253"/>
      <c r="AG244" s="253"/>
      <c r="AH244" s="253"/>
    </row>
    <row r="245">
      <c r="A245" s="253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  <c r="AD245" s="253"/>
      <c r="AE245" s="253"/>
      <c r="AF245" s="253"/>
      <c r="AG245" s="253"/>
      <c r="AH245" s="253"/>
    </row>
    <row r="246">
      <c r="A246" s="253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253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  <c r="X246" s="253"/>
      <c r="Y246" s="253"/>
      <c r="Z246" s="253"/>
      <c r="AA246" s="253"/>
      <c r="AB246" s="253"/>
      <c r="AC246" s="253"/>
      <c r="AD246" s="253"/>
      <c r="AE246" s="253"/>
      <c r="AF246" s="253"/>
      <c r="AG246" s="253"/>
      <c r="AH246" s="253"/>
    </row>
    <row r="247">
      <c r="A247" s="253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253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  <c r="AD247" s="253"/>
      <c r="AE247" s="253"/>
      <c r="AF247" s="253"/>
      <c r="AG247" s="253"/>
      <c r="AH247" s="253"/>
    </row>
    <row r="248">
      <c r="A248" s="253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253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  <c r="X248" s="253"/>
      <c r="Y248" s="253"/>
      <c r="Z248" s="253"/>
      <c r="AA248" s="253"/>
      <c r="AB248" s="253"/>
      <c r="AC248" s="253"/>
      <c r="AD248" s="253"/>
      <c r="AE248" s="253"/>
      <c r="AF248" s="253"/>
      <c r="AG248" s="253"/>
      <c r="AH248" s="253"/>
    </row>
    <row r="249">
      <c r="A249" s="253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</row>
    <row r="250">
      <c r="A250" s="253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253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  <c r="X250" s="253"/>
      <c r="Y250" s="253"/>
      <c r="Z250" s="253"/>
      <c r="AA250" s="253"/>
      <c r="AB250" s="253"/>
      <c r="AC250" s="253"/>
      <c r="AD250" s="253"/>
      <c r="AE250" s="253"/>
      <c r="AF250" s="253"/>
      <c r="AG250" s="253"/>
      <c r="AH250" s="253"/>
    </row>
    <row r="251">
      <c r="A251" s="253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253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  <c r="AD251" s="253"/>
      <c r="AE251" s="253"/>
      <c r="AF251" s="253"/>
      <c r="AG251" s="253"/>
      <c r="AH251" s="253"/>
    </row>
    <row r="252">
      <c r="A252" s="253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253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  <c r="X252" s="253"/>
      <c r="Y252" s="253"/>
      <c r="Z252" s="253"/>
      <c r="AA252" s="253"/>
      <c r="AB252" s="253"/>
      <c r="AC252" s="253"/>
      <c r="AD252" s="253"/>
      <c r="AE252" s="253"/>
      <c r="AF252" s="253"/>
      <c r="AG252" s="253"/>
      <c r="AH252" s="253"/>
    </row>
    <row r="253">
      <c r="A253" s="253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  <c r="AD253" s="253"/>
      <c r="AE253" s="253"/>
      <c r="AF253" s="253"/>
      <c r="AG253" s="253"/>
      <c r="AH253" s="253"/>
    </row>
    <row r="254">
      <c r="A254" s="253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253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  <c r="X254" s="253"/>
      <c r="Y254" s="253"/>
      <c r="Z254" s="253"/>
      <c r="AA254" s="253"/>
      <c r="AB254" s="253"/>
      <c r="AC254" s="253"/>
      <c r="AD254" s="253"/>
      <c r="AE254" s="253"/>
      <c r="AF254" s="253"/>
      <c r="AG254" s="253"/>
      <c r="AH254" s="253"/>
    </row>
    <row r="255">
      <c r="A255" s="253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253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  <c r="AD255" s="253"/>
      <c r="AE255" s="253"/>
      <c r="AF255" s="253"/>
      <c r="AG255" s="253"/>
      <c r="AH255" s="253"/>
    </row>
    <row r="256">
      <c r="A256" s="253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</row>
    <row r="257">
      <c r="A257" s="253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  <c r="AD257" s="253"/>
      <c r="AE257" s="253"/>
      <c r="AF257" s="253"/>
      <c r="AG257" s="253"/>
      <c r="AH257" s="253"/>
    </row>
    <row r="258">
      <c r="A258" s="253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  <c r="AA258" s="253"/>
      <c r="AB258" s="253"/>
      <c r="AC258" s="253"/>
      <c r="AD258" s="253"/>
      <c r="AE258" s="253"/>
      <c r="AF258" s="253"/>
      <c r="AG258" s="253"/>
      <c r="AH258" s="253"/>
    </row>
    <row r="259">
      <c r="A259" s="253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  <c r="AD259" s="253"/>
      <c r="AE259" s="253"/>
      <c r="AF259" s="253"/>
      <c r="AG259" s="253"/>
      <c r="AH259" s="253"/>
    </row>
    <row r="260">
      <c r="A260" s="253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  <c r="AA260" s="253"/>
      <c r="AB260" s="253"/>
      <c r="AC260" s="253"/>
      <c r="AD260" s="253"/>
      <c r="AE260" s="253"/>
      <c r="AF260" s="253"/>
      <c r="AG260" s="253"/>
      <c r="AH260" s="253"/>
    </row>
    <row r="261">
      <c r="A261" s="253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  <c r="AD261" s="253"/>
      <c r="AE261" s="253"/>
      <c r="AF261" s="253"/>
      <c r="AG261" s="253"/>
      <c r="AH261" s="253"/>
    </row>
    <row r="262">
      <c r="A262" s="253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  <c r="AD262" s="253"/>
      <c r="AE262" s="253"/>
      <c r="AF262" s="253"/>
      <c r="AG262" s="253"/>
      <c r="AH262" s="253"/>
    </row>
    <row r="263">
      <c r="A263" s="253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  <c r="AG263" s="253"/>
      <c r="AH263" s="253"/>
    </row>
    <row r="264">
      <c r="A264" s="253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  <c r="AD264" s="253"/>
      <c r="AE264" s="253"/>
      <c r="AF264" s="253"/>
      <c r="AG264" s="253"/>
      <c r="AH264" s="253"/>
    </row>
    <row r="265">
      <c r="A265" s="253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  <c r="AG265" s="253"/>
      <c r="AH265" s="253"/>
    </row>
    <row r="266">
      <c r="A266" s="253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  <c r="AD266" s="253"/>
      <c r="AE266" s="253"/>
      <c r="AF266" s="253"/>
      <c r="AG266" s="253"/>
      <c r="AH266" s="253"/>
    </row>
    <row r="267">
      <c r="A267" s="253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  <c r="AG267" s="253"/>
      <c r="AH267" s="253"/>
    </row>
    <row r="268">
      <c r="A268" s="253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  <c r="AD268" s="253"/>
      <c r="AE268" s="253"/>
      <c r="AF268" s="253"/>
      <c r="AG268" s="253"/>
      <c r="AH268" s="253"/>
    </row>
    <row r="269">
      <c r="A269" s="253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  <c r="AG269" s="253"/>
      <c r="AH269" s="253"/>
    </row>
    <row r="270">
      <c r="A270" s="253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  <c r="AD270" s="253"/>
      <c r="AE270" s="253"/>
      <c r="AF270" s="253"/>
      <c r="AG270" s="253"/>
      <c r="AH270" s="253"/>
    </row>
    <row r="271">
      <c r="A271" s="253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  <c r="AG271" s="253"/>
      <c r="AH271" s="253"/>
    </row>
    <row r="272">
      <c r="A272" s="253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  <c r="AD272" s="253"/>
      <c r="AE272" s="253"/>
      <c r="AF272" s="253"/>
      <c r="AG272" s="253"/>
      <c r="AH272" s="253"/>
    </row>
    <row r="273">
      <c r="A273" s="253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  <c r="AD273" s="253"/>
      <c r="AE273" s="253"/>
      <c r="AF273" s="253"/>
      <c r="AG273" s="253"/>
      <c r="AH273" s="253"/>
    </row>
    <row r="274">
      <c r="A274" s="253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  <c r="AD274" s="253"/>
      <c r="AE274" s="253"/>
      <c r="AF274" s="253"/>
      <c r="AG274" s="253"/>
      <c r="AH274" s="253"/>
    </row>
    <row r="275">
      <c r="A275" s="253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  <c r="AG275" s="253"/>
      <c r="AH275" s="253"/>
    </row>
    <row r="276">
      <c r="A276" s="253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  <c r="AD276" s="253"/>
      <c r="AE276" s="253"/>
      <c r="AF276" s="253"/>
      <c r="AG276" s="253"/>
      <c r="AH276" s="253"/>
    </row>
    <row r="277">
      <c r="A277" s="253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  <c r="AG277" s="253"/>
      <c r="AH277" s="253"/>
    </row>
    <row r="278">
      <c r="A278" s="253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  <c r="AD278" s="253"/>
      <c r="AE278" s="253"/>
      <c r="AF278" s="253"/>
      <c r="AG278" s="253"/>
      <c r="AH278" s="253"/>
    </row>
    <row r="279">
      <c r="A279" s="253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  <c r="AG279" s="253"/>
      <c r="AH279" s="253"/>
    </row>
    <row r="280">
      <c r="A280" s="253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  <c r="AG280" s="253"/>
      <c r="AH280" s="253"/>
    </row>
    <row r="281">
      <c r="A281" s="253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  <c r="AG281" s="253"/>
      <c r="AH281" s="253"/>
    </row>
    <row r="282">
      <c r="A282" s="253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  <c r="AD282" s="253"/>
      <c r="AE282" s="253"/>
      <c r="AF282" s="253"/>
      <c r="AG282" s="253"/>
      <c r="AH282" s="253"/>
    </row>
    <row r="283">
      <c r="A283" s="253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  <c r="AG283" s="253"/>
      <c r="AH283" s="253"/>
    </row>
    <row r="284">
      <c r="A284" s="253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  <c r="AD284" s="253"/>
      <c r="AE284" s="253"/>
      <c r="AF284" s="253"/>
      <c r="AG284" s="253"/>
      <c r="AH284" s="253"/>
    </row>
    <row r="285">
      <c r="A285" s="253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  <c r="AG285" s="253"/>
      <c r="AH285" s="253"/>
    </row>
    <row r="286">
      <c r="A286" s="253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  <c r="AD286" s="253"/>
      <c r="AE286" s="253"/>
      <c r="AF286" s="253"/>
      <c r="AG286" s="253"/>
      <c r="AH286" s="253"/>
    </row>
    <row r="287">
      <c r="A287" s="253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  <c r="AG287" s="253"/>
      <c r="AH287" s="253"/>
    </row>
    <row r="288">
      <c r="A288" s="253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  <c r="AD288" s="253"/>
      <c r="AE288" s="253"/>
      <c r="AF288" s="253"/>
      <c r="AG288" s="253"/>
      <c r="AH288" s="253"/>
    </row>
    <row r="289">
      <c r="A289" s="253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  <c r="AG289" s="253"/>
      <c r="AH289" s="253"/>
    </row>
    <row r="290">
      <c r="A290" s="253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  <c r="AD290" s="253"/>
      <c r="AE290" s="253"/>
      <c r="AF290" s="253"/>
      <c r="AG290" s="253"/>
      <c r="AH290" s="253"/>
    </row>
    <row r="291">
      <c r="A291" s="253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  <c r="AG291" s="253"/>
      <c r="AH291" s="253"/>
    </row>
    <row r="292">
      <c r="A292" s="253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  <c r="AD292" s="253"/>
      <c r="AE292" s="253"/>
      <c r="AF292" s="253"/>
      <c r="AG292" s="253"/>
      <c r="AH292" s="253"/>
    </row>
    <row r="293">
      <c r="A293" s="253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  <c r="AG293" s="253"/>
      <c r="AH293" s="253"/>
    </row>
    <row r="294">
      <c r="A294" s="253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  <c r="AD294" s="253"/>
      <c r="AE294" s="253"/>
      <c r="AF294" s="253"/>
      <c r="AG294" s="253"/>
      <c r="AH294" s="253"/>
    </row>
    <row r="295">
      <c r="A295" s="253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  <c r="AG295" s="253"/>
      <c r="AH295" s="253"/>
    </row>
    <row r="296">
      <c r="A296" s="253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  <c r="AD296" s="253"/>
      <c r="AE296" s="253"/>
      <c r="AF296" s="253"/>
      <c r="AG296" s="253"/>
      <c r="AH296" s="253"/>
    </row>
    <row r="297">
      <c r="A297" s="253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  <c r="AG297" s="253"/>
      <c r="AH297" s="253"/>
    </row>
    <row r="298">
      <c r="A298" s="253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  <c r="AD298" s="253"/>
      <c r="AE298" s="253"/>
      <c r="AF298" s="253"/>
      <c r="AG298" s="253"/>
      <c r="AH298" s="253"/>
    </row>
    <row r="299">
      <c r="A299" s="253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  <c r="AG299" s="253"/>
      <c r="AH299" s="253"/>
    </row>
    <row r="300">
      <c r="A300" s="253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  <c r="AD300" s="253"/>
      <c r="AE300" s="253"/>
      <c r="AF300" s="253"/>
      <c r="AG300" s="253"/>
      <c r="AH300" s="253"/>
    </row>
    <row r="301">
      <c r="A301" s="253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  <c r="AG301" s="253"/>
      <c r="AH301" s="253"/>
    </row>
    <row r="302">
      <c r="A302" s="253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  <c r="AD302" s="253"/>
      <c r="AE302" s="253"/>
      <c r="AF302" s="253"/>
      <c r="AG302" s="253"/>
      <c r="AH302" s="253"/>
    </row>
    <row r="303">
      <c r="A303" s="253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  <c r="AG303" s="253"/>
      <c r="AH303" s="253"/>
    </row>
    <row r="304">
      <c r="A304" s="253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  <c r="AD304" s="253"/>
      <c r="AE304" s="253"/>
      <c r="AF304" s="253"/>
      <c r="AG304" s="253"/>
      <c r="AH304" s="253"/>
    </row>
    <row r="305">
      <c r="A305" s="253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  <c r="AG305" s="253"/>
      <c r="AH305" s="253"/>
    </row>
    <row r="306">
      <c r="A306" s="253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  <c r="AD306" s="253"/>
      <c r="AE306" s="253"/>
      <c r="AF306" s="253"/>
      <c r="AG306" s="253"/>
      <c r="AH306" s="253"/>
    </row>
    <row r="307">
      <c r="A307" s="253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</row>
    <row r="308">
      <c r="A308" s="253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  <c r="AG308" s="253"/>
      <c r="AH308" s="253"/>
    </row>
    <row r="309">
      <c r="A309" s="253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  <c r="AG309" s="253"/>
      <c r="AH309" s="253"/>
    </row>
    <row r="310">
      <c r="A310" s="253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  <c r="AD310" s="253"/>
      <c r="AE310" s="253"/>
      <c r="AF310" s="253"/>
      <c r="AG310" s="253"/>
      <c r="AH310" s="253"/>
    </row>
    <row r="311">
      <c r="A311" s="253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  <c r="AG311" s="253"/>
      <c r="AH311" s="253"/>
    </row>
    <row r="312">
      <c r="A312" s="253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  <c r="AD312" s="253"/>
      <c r="AE312" s="253"/>
      <c r="AF312" s="253"/>
      <c r="AG312" s="253"/>
      <c r="AH312" s="253"/>
    </row>
    <row r="313">
      <c r="A313" s="253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  <c r="AG313" s="253"/>
      <c r="AH313" s="253"/>
    </row>
    <row r="314">
      <c r="A314" s="253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  <c r="AD314" s="253"/>
      <c r="AE314" s="253"/>
      <c r="AF314" s="253"/>
      <c r="AG314" s="253"/>
      <c r="AH314" s="253"/>
    </row>
    <row r="315">
      <c r="A315" s="253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</row>
    <row r="316">
      <c r="A316" s="253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3"/>
      <c r="AG316" s="253"/>
      <c r="AH316" s="253"/>
    </row>
    <row r="317">
      <c r="A317" s="253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  <c r="AG317" s="253"/>
      <c r="AH317" s="253"/>
    </row>
    <row r="318">
      <c r="A318" s="253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3"/>
      <c r="AG318" s="253"/>
      <c r="AH318" s="253"/>
    </row>
    <row r="319">
      <c r="A319" s="253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  <c r="AG319" s="253"/>
      <c r="AH319" s="253"/>
    </row>
    <row r="320">
      <c r="A320" s="253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3"/>
      <c r="AG320" s="253"/>
      <c r="AH320" s="253"/>
    </row>
    <row r="321">
      <c r="A321" s="253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  <c r="AG321" s="253"/>
      <c r="AH321" s="253"/>
    </row>
    <row r="322">
      <c r="A322" s="253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</row>
    <row r="323">
      <c r="A323" s="253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  <c r="AG323" s="253"/>
      <c r="AH323" s="253"/>
    </row>
    <row r="324">
      <c r="A324" s="253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3"/>
      <c r="AG324" s="253"/>
      <c r="AH324" s="253"/>
    </row>
    <row r="325">
      <c r="A325" s="253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  <c r="AG325" s="253"/>
      <c r="AH325" s="253"/>
    </row>
    <row r="326">
      <c r="A326" s="253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3"/>
      <c r="AG326" s="253"/>
      <c r="AH326" s="253"/>
    </row>
    <row r="327">
      <c r="A327" s="253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  <c r="AG327" s="253"/>
      <c r="AH327" s="253"/>
    </row>
    <row r="328">
      <c r="A328" s="253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3"/>
      <c r="AG328" s="253"/>
      <c r="AH328" s="253"/>
    </row>
    <row r="329">
      <c r="A329" s="253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  <c r="AG329" s="253"/>
      <c r="AH329" s="253"/>
    </row>
    <row r="330">
      <c r="A330" s="253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3"/>
      <c r="AG330" s="253"/>
      <c r="AH330" s="253"/>
    </row>
    <row r="331">
      <c r="A331" s="253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  <c r="AG331" s="253"/>
      <c r="AH331" s="253"/>
    </row>
    <row r="332">
      <c r="A332" s="253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  <c r="AD332" s="253"/>
      <c r="AE332" s="253"/>
      <c r="AF332" s="253"/>
      <c r="AG332" s="253"/>
      <c r="AH332" s="253"/>
    </row>
    <row r="333">
      <c r="A333" s="253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  <c r="AG333" s="253"/>
      <c r="AH333" s="253"/>
    </row>
    <row r="334">
      <c r="A334" s="253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  <c r="AD334" s="253"/>
      <c r="AE334" s="253"/>
      <c r="AF334" s="253"/>
      <c r="AG334" s="253"/>
      <c r="AH334" s="253"/>
    </row>
    <row r="335">
      <c r="A335" s="253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  <c r="AG335" s="253"/>
      <c r="AH335" s="253"/>
    </row>
    <row r="336">
      <c r="A336" s="253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  <c r="AD336" s="253"/>
      <c r="AE336" s="253"/>
      <c r="AF336" s="253"/>
      <c r="AG336" s="253"/>
      <c r="AH336" s="253"/>
    </row>
    <row r="337">
      <c r="A337" s="253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  <c r="AG337" s="253"/>
      <c r="AH337" s="253"/>
    </row>
    <row r="338">
      <c r="A338" s="253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  <c r="AD338" s="253"/>
      <c r="AE338" s="253"/>
      <c r="AF338" s="253"/>
      <c r="AG338" s="253"/>
      <c r="AH338" s="253"/>
    </row>
    <row r="339">
      <c r="A339" s="253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  <c r="AG339" s="253"/>
      <c r="AH339" s="253"/>
    </row>
    <row r="340">
      <c r="A340" s="253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  <c r="AD340" s="253"/>
      <c r="AE340" s="253"/>
      <c r="AF340" s="253"/>
      <c r="AG340" s="253"/>
      <c r="AH340" s="253"/>
    </row>
    <row r="341">
      <c r="A341" s="253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  <c r="AG341" s="253"/>
      <c r="AH341" s="253"/>
    </row>
    <row r="342">
      <c r="A342" s="253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  <c r="AG342" s="253"/>
      <c r="AH342" s="253"/>
    </row>
    <row r="343">
      <c r="A343" s="253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  <c r="AG343" s="253"/>
      <c r="AH343" s="253"/>
    </row>
    <row r="344">
      <c r="A344" s="253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  <c r="AD344" s="253"/>
      <c r="AE344" s="253"/>
      <c r="AF344" s="253"/>
      <c r="AG344" s="253"/>
      <c r="AH344" s="253"/>
    </row>
    <row r="345">
      <c r="A345" s="253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  <c r="AG345" s="253"/>
      <c r="AH345" s="253"/>
    </row>
    <row r="346">
      <c r="A346" s="253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  <c r="AD346" s="253"/>
      <c r="AE346" s="253"/>
      <c r="AF346" s="253"/>
      <c r="AG346" s="253"/>
      <c r="AH346" s="253"/>
    </row>
    <row r="347">
      <c r="A347" s="253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  <c r="AG347" s="253"/>
      <c r="AH347" s="253"/>
    </row>
    <row r="348">
      <c r="A348" s="253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  <c r="AD348" s="253"/>
      <c r="AE348" s="253"/>
      <c r="AF348" s="253"/>
      <c r="AG348" s="253"/>
      <c r="AH348" s="253"/>
    </row>
    <row r="349">
      <c r="A349" s="253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  <c r="AG349" s="253"/>
      <c r="AH349" s="253"/>
    </row>
    <row r="350">
      <c r="A350" s="253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  <c r="AD350" s="253"/>
      <c r="AE350" s="253"/>
      <c r="AF350" s="253"/>
      <c r="AG350" s="253"/>
      <c r="AH350" s="253"/>
    </row>
    <row r="351">
      <c r="A351" s="253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  <c r="AG351" s="253"/>
      <c r="AH351" s="253"/>
    </row>
    <row r="352">
      <c r="A352" s="253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  <c r="AD352" s="253"/>
      <c r="AE352" s="253"/>
      <c r="AF352" s="253"/>
      <c r="AG352" s="253"/>
      <c r="AH352" s="253"/>
    </row>
    <row r="353">
      <c r="A353" s="253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  <c r="AG353" s="253"/>
      <c r="AH353" s="253"/>
    </row>
    <row r="354">
      <c r="A354" s="253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  <c r="AD354" s="253"/>
      <c r="AE354" s="253"/>
      <c r="AF354" s="253"/>
      <c r="AG354" s="253"/>
      <c r="AH354" s="253"/>
    </row>
    <row r="355">
      <c r="A355" s="253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  <c r="AG355" s="253"/>
      <c r="AH355" s="253"/>
    </row>
    <row r="356">
      <c r="A356" s="253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  <c r="AD356" s="253"/>
      <c r="AE356" s="253"/>
      <c r="AF356" s="253"/>
      <c r="AG356" s="253"/>
      <c r="AH356" s="253"/>
    </row>
    <row r="357">
      <c r="A357" s="253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  <c r="AG357" s="253"/>
      <c r="AH357" s="253"/>
    </row>
    <row r="358">
      <c r="A358" s="253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  <c r="AD358" s="253"/>
      <c r="AE358" s="253"/>
      <c r="AF358" s="253"/>
      <c r="AG358" s="253"/>
      <c r="AH358" s="253"/>
    </row>
    <row r="359">
      <c r="A359" s="253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  <c r="AG359" s="253"/>
      <c r="AH359" s="253"/>
    </row>
    <row r="360">
      <c r="A360" s="253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  <c r="AD360" s="253"/>
      <c r="AE360" s="253"/>
      <c r="AF360" s="253"/>
      <c r="AG360" s="253"/>
      <c r="AH360" s="253"/>
    </row>
    <row r="361">
      <c r="A361" s="253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  <c r="AG361" s="253"/>
      <c r="AH361" s="253"/>
    </row>
    <row r="362">
      <c r="A362" s="253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  <c r="AD362" s="253"/>
      <c r="AE362" s="253"/>
      <c r="AF362" s="253"/>
      <c r="AG362" s="253"/>
      <c r="AH362" s="253"/>
    </row>
    <row r="363">
      <c r="A363" s="253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  <c r="AG363" s="253"/>
      <c r="AH363" s="253"/>
    </row>
    <row r="364">
      <c r="A364" s="253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  <c r="AD364" s="253"/>
      <c r="AE364" s="253"/>
      <c r="AF364" s="253"/>
      <c r="AG364" s="253"/>
      <c r="AH364" s="253"/>
    </row>
    <row r="365">
      <c r="A365" s="253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  <c r="AG365" s="253"/>
      <c r="AH365" s="253"/>
    </row>
    <row r="366">
      <c r="A366" s="253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  <c r="AD366" s="253"/>
      <c r="AE366" s="253"/>
      <c r="AF366" s="253"/>
      <c r="AG366" s="253"/>
      <c r="AH366" s="253"/>
    </row>
    <row r="367">
      <c r="A367" s="253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</row>
    <row r="368">
      <c r="A368" s="253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  <c r="AA368" s="253"/>
      <c r="AB368" s="253"/>
      <c r="AC368" s="253"/>
      <c r="AD368" s="253"/>
      <c r="AE368" s="253"/>
      <c r="AF368" s="253"/>
      <c r="AG368" s="253"/>
      <c r="AH368" s="253"/>
    </row>
    <row r="369">
      <c r="A369" s="253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  <c r="AD369" s="253"/>
      <c r="AE369" s="253"/>
      <c r="AF369" s="253"/>
      <c r="AG369" s="253"/>
      <c r="AH369" s="253"/>
    </row>
    <row r="370">
      <c r="A370" s="253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  <c r="AA370" s="253"/>
      <c r="AB370" s="253"/>
      <c r="AC370" s="253"/>
      <c r="AD370" s="253"/>
      <c r="AE370" s="253"/>
      <c r="AF370" s="253"/>
      <c r="AG370" s="253"/>
      <c r="AH370" s="253"/>
    </row>
    <row r="371">
      <c r="A371" s="253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  <c r="AD371" s="253"/>
      <c r="AE371" s="253"/>
      <c r="AF371" s="253"/>
      <c r="AG371" s="253"/>
      <c r="AH371" s="253"/>
    </row>
    <row r="372">
      <c r="A372" s="253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  <c r="AA372" s="253"/>
      <c r="AB372" s="253"/>
      <c r="AC372" s="253"/>
      <c r="AD372" s="253"/>
      <c r="AE372" s="253"/>
      <c r="AF372" s="253"/>
      <c r="AG372" s="253"/>
      <c r="AH372" s="253"/>
    </row>
    <row r="373">
      <c r="A373" s="253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  <c r="AD373" s="253"/>
      <c r="AE373" s="253"/>
      <c r="AF373" s="253"/>
      <c r="AG373" s="253"/>
      <c r="AH373" s="253"/>
    </row>
    <row r="374">
      <c r="A374" s="253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  <c r="AA374" s="253"/>
      <c r="AB374" s="253"/>
      <c r="AC374" s="253"/>
      <c r="AD374" s="253"/>
      <c r="AE374" s="253"/>
      <c r="AF374" s="253"/>
      <c r="AG374" s="253"/>
      <c r="AH374" s="253"/>
    </row>
    <row r="375">
      <c r="A375" s="253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  <c r="AD375" s="253"/>
      <c r="AE375" s="253"/>
      <c r="AF375" s="253"/>
      <c r="AG375" s="253"/>
      <c r="AH375" s="253"/>
    </row>
    <row r="376">
      <c r="A376" s="253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53"/>
      <c r="AG376" s="253"/>
      <c r="AH376" s="253"/>
    </row>
    <row r="377">
      <c r="A377" s="253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53"/>
      <c r="AG377" s="253"/>
      <c r="AH377" s="253"/>
    </row>
    <row r="378">
      <c r="A378" s="253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53"/>
      <c r="AG378" s="253"/>
      <c r="AH378" s="253"/>
    </row>
    <row r="379">
      <c r="A379" s="253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53"/>
      <c r="AG379" s="253"/>
      <c r="AH379" s="253"/>
    </row>
    <row r="380">
      <c r="A380" s="253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53"/>
      <c r="AG380" s="253"/>
      <c r="AH380" s="253"/>
    </row>
    <row r="381">
      <c r="A381" s="253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53"/>
      <c r="AG381" s="253"/>
      <c r="AH381" s="253"/>
    </row>
    <row r="382">
      <c r="A382" s="253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53"/>
      <c r="AG382" s="253"/>
      <c r="AH382" s="253"/>
    </row>
    <row r="383">
      <c r="A383" s="253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53"/>
      <c r="AG383" s="253"/>
      <c r="AH383" s="253"/>
    </row>
    <row r="384">
      <c r="A384" s="253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53"/>
      <c r="AG384" s="253"/>
      <c r="AH384" s="253"/>
    </row>
    <row r="385">
      <c r="A385" s="253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  <c r="AD385" s="253"/>
      <c r="AE385" s="253"/>
      <c r="AF385" s="253"/>
      <c r="AG385" s="253"/>
      <c r="AH385" s="253"/>
    </row>
    <row r="386">
      <c r="A386" s="253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  <c r="AA386" s="253"/>
      <c r="AB386" s="253"/>
      <c r="AC386" s="253"/>
      <c r="AD386" s="253"/>
      <c r="AE386" s="253"/>
      <c r="AF386" s="253"/>
      <c r="AG386" s="253"/>
      <c r="AH386" s="253"/>
    </row>
    <row r="387">
      <c r="A387" s="253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  <c r="AA387" s="253"/>
      <c r="AB387" s="253"/>
      <c r="AC387" s="253"/>
      <c r="AD387" s="253"/>
      <c r="AE387" s="253"/>
      <c r="AF387" s="253"/>
      <c r="AG387" s="253"/>
      <c r="AH387" s="253"/>
    </row>
    <row r="388">
      <c r="A388" s="253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  <c r="AA388" s="253"/>
      <c r="AB388" s="253"/>
      <c r="AC388" s="253"/>
      <c r="AD388" s="253"/>
      <c r="AE388" s="253"/>
      <c r="AF388" s="253"/>
      <c r="AG388" s="253"/>
      <c r="AH388" s="253"/>
    </row>
    <row r="389">
      <c r="A389" s="253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  <c r="AD389" s="253"/>
      <c r="AE389" s="253"/>
      <c r="AF389" s="253"/>
      <c r="AG389" s="253"/>
      <c r="AH389" s="253"/>
    </row>
    <row r="390">
      <c r="A390" s="253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  <c r="AA390" s="253"/>
      <c r="AB390" s="253"/>
      <c r="AC390" s="253"/>
      <c r="AD390" s="253"/>
      <c r="AE390" s="253"/>
      <c r="AF390" s="253"/>
      <c r="AG390" s="253"/>
      <c r="AH390" s="253"/>
    </row>
    <row r="391">
      <c r="A391" s="253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  <c r="AD391" s="253"/>
      <c r="AE391" s="253"/>
      <c r="AF391" s="253"/>
      <c r="AG391" s="253"/>
      <c r="AH391" s="253"/>
    </row>
    <row r="392">
      <c r="A392" s="253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  <c r="AA392" s="253"/>
      <c r="AB392" s="253"/>
      <c r="AC392" s="253"/>
      <c r="AD392" s="253"/>
      <c r="AE392" s="253"/>
      <c r="AF392" s="253"/>
      <c r="AG392" s="253"/>
      <c r="AH392" s="253"/>
    </row>
    <row r="393">
      <c r="A393" s="253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  <c r="AD393" s="253"/>
      <c r="AE393" s="253"/>
      <c r="AF393" s="253"/>
      <c r="AG393" s="253"/>
      <c r="AH393" s="253"/>
    </row>
    <row r="394">
      <c r="A394" s="253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  <c r="AA394" s="253"/>
      <c r="AB394" s="253"/>
      <c r="AC394" s="253"/>
      <c r="AD394" s="253"/>
      <c r="AE394" s="253"/>
      <c r="AF394" s="253"/>
      <c r="AG394" s="253"/>
      <c r="AH394" s="253"/>
    </row>
    <row r="395">
      <c r="A395" s="253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  <c r="AD395" s="253"/>
      <c r="AE395" s="253"/>
      <c r="AF395" s="253"/>
      <c r="AG395" s="253"/>
      <c r="AH395" s="253"/>
    </row>
    <row r="396">
      <c r="A396" s="253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  <c r="AA396" s="253"/>
      <c r="AB396" s="253"/>
      <c r="AC396" s="253"/>
      <c r="AD396" s="253"/>
      <c r="AE396" s="253"/>
      <c r="AF396" s="253"/>
      <c r="AG396" s="253"/>
      <c r="AH396" s="253"/>
    </row>
    <row r="397">
      <c r="A397" s="253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  <c r="AD397" s="253"/>
      <c r="AE397" s="253"/>
      <c r="AF397" s="253"/>
      <c r="AG397" s="253"/>
      <c r="AH397" s="253"/>
    </row>
    <row r="398">
      <c r="A398" s="253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  <c r="AA398" s="253"/>
      <c r="AB398" s="253"/>
      <c r="AC398" s="253"/>
      <c r="AD398" s="253"/>
      <c r="AE398" s="253"/>
      <c r="AF398" s="253"/>
      <c r="AG398" s="253"/>
      <c r="AH398" s="253"/>
    </row>
    <row r="399">
      <c r="A399" s="253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  <c r="AD399" s="253"/>
      <c r="AE399" s="253"/>
      <c r="AF399" s="253"/>
      <c r="AG399" s="253"/>
      <c r="AH399" s="253"/>
    </row>
    <row r="400">
      <c r="A400" s="253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  <c r="AA400" s="253"/>
      <c r="AB400" s="253"/>
      <c r="AC400" s="253"/>
      <c r="AD400" s="253"/>
      <c r="AE400" s="253"/>
      <c r="AF400" s="253"/>
      <c r="AG400" s="253"/>
      <c r="AH400" s="253"/>
    </row>
    <row r="401">
      <c r="A401" s="253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  <c r="AD401" s="253"/>
      <c r="AE401" s="253"/>
      <c r="AF401" s="253"/>
      <c r="AG401" s="253"/>
      <c r="AH401" s="253"/>
    </row>
    <row r="402">
      <c r="A402" s="253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  <c r="AA402" s="253"/>
      <c r="AB402" s="253"/>
      <c r="AC402" s="253"/>
      <c r="AD402" s="253"/>
      <c r="AE402" s="253"/>
      <c r="AF402" s="253"/>
      <c r="AG402" s="253"/>
      <c r="AH402" s="253"/>
    </row>
    <row r="403">
      <c r="A403" s="253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  <c r="AD403" s="253"/>
      <c r="AE403" s="253"/>
      <c r="AF403" s="253"/>
      <c r="AG403" s="253"/>
      <c r="AH403" s="253"/>
    </row>
    <row r="404">
      <c r="A404" s="253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  <c r="AD404" s="253"/>
      <c r="AE404" s="253"/>
      <c r="AF404" s="253"/>
      <c r="AG404" s="253"/>
      <c r="AH404" s="253"/>
    </row>
    <row r="405">
      <c r="A405" s="253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  <c r="AD405" s="253"/>
      <c r="AE405" s="253"/>
      <c r="AF405" s="253"/>
      <c r="AG405" s="253"/>
      <c r="AH405" s="253"/>
    </row>
    <row r="406">
      <c r="A406" s="253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  <c r="AA406" s="253"/>
      <c r="AB406" s="253"/>
      <c r="AC406" s="253"/>
      <c r="AD406" s="253"/>
      <c r="AE406" s="253"/>
      <c r="AF406" s="253"/>
      <c r="AG406" s="253"/>
      <c r="AH406" s="253"/>
    </row>
    <row r="407">
      <c r="A407" s="253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  <c r="AD407" s="253"/>
      <c r="AE407" s="253"/>
      <c r="AF407" s="253"/>
      <c r="AG407" s="253"/>
      <c r="AH407" s="253"/>
    </row>
    <row r="408">
      <c r="A408" s="253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  <c r="AA408" s="253"/>
      <c r="AB408" s="253"/>
      <c r="AC408" s="253"/>
      <c r="AD408" s="253"/>
      <c r="AE408" s="253"/>
      <c r="AF408" s="253"/>
      <c r="AG408" s="253"/>
      <c r="AH408" s="253"/>
    </row>
    <row r="409">
      <c r="A409" s="253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  <c r="AD409" s="253"/>
      <c r="AE409" s="253"/>
      <c r="AF409" s="253"/>
      <c r="AG409" s="253"/>
      <c r="AH409" s="253"/>
    </row>
    <row r="410">
      <c r="A410" s="253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  <c r="AA410" s="253"/>
      <c r="AB410" s="253"/>
      <c r="AC410" s="253"/>
      <c r="AD410" s="253"/>
      <c r="AE410" s="253"/>
      <c r="AF410" s="253"/>
      <c r="AG410" s="253"/>
      <c r="AH410" s="253"/>
    </row>
    <row r="411">
      <c r="A411" s="253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  <c r="AD411" s="253"/>
      <c r="AE411" s="253"/>
      <c r="AF411" s="253"/>
      <c r="AG411" s="253"/>
      <c r="AH411" s="253"/>
    </row>
    <row r="412">
      <c r="A412" s="253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  <c r="AA412" s="253"/>
      <c r="AB412" s="253"/>
      <c r="AC412" s="253"/>
      <c r="AD412" s="253"/>
      <c r="AE412" s="253"/>
      <c r="AF412" s="253"/>
      <c r="AG412" s="253"/>
      <c r="AH412" s="253"/>
    </row>
    <row r="413">
      <c r="A413" s="253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  <c r="AD413" s="253"/>
      <c r="AE413" s="253"/>
      <c r="AF413" s="253"/>
      <c r="AG413" s="253"/>
      <c r="AH413" s="253"/>
    </row>
    <row r="414">
      <c r="A414" s="253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  <c r="AA414" s="253"/>
      <c r="AB414" s="253"/>
      <c r="AC414" s="253"/>
      <c r="AD414" s="253"/>
      <c r="AE414" s="253"/>
      <c r="AF414" s="253"/>
      <c r="AG414" s="253"/>
      <c r="AH414" s="253"/>
    </row>
    <row r="415">
      <c r="A415" s="253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  <c r="AD415" s="253"/>
      <c r="AE415" s="253"/>
      <c r="AF415" s="253"/>
      <c r="AG415" s="253"/>
      <c r="AH415" s="253"/>
    </row>
    <row r="416">
      <c r="A416" s="253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  <c r="AA416" s="253"/>
      <c r="AB416" s="253"/>
      <c r="AC416" s="253"/>
      <c r="AD416" s="253"/>
      <c r="AE416" s="253"/>
      <c r="AF416" s="253"/>
      <c r="AG416" s="253"/>
      <c r="AH416" s="253"/>
    </row>
    <row r="417">
      <c r="A417" s="253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  <c r="AA417" s="253"/>
      <c r="AB417" s="253"/>
      <c r="AC417" s="253"/>
      <c r="AD417" s="253"/>
      <c r="AE417" s="253"/>
      <c r="AF417" s="253"/>
      <c r="AG417" s="253"/>
      <c r="AH417" s="253"/>
    </row>
    <row r="418">
      <c r="A418" s="253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  <c r="AA418" s="253"/>
      <c r="AB418" s="253"/>
      <c r="AC418" s="253"/>
      <c r="AD418" s="253"/>
      <c r="AE418" s="253"/>
      <c r="AF418" s="253"/>
      <c r="AG418" s="253"/>
      <c r="AH418" s="253"/>
    </row>
    <row r="419">
      <c r="A419" s="253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  <c r="AA419" s="253"/>
      <c r="AB419" s="253"/>
      <c r="AC419" s="253"/>
      <c r="AD419" s="253"/>
      <c r="AE419" s="253"/>
      <c r="AF419" s="253"/>
      <c r="AG419" s="253"/>
      <c r="AH419" s="253"/>
    </row>
    <row r="420">
      <c r="A420" s="253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  <c r="AA420" s="253"/>
      <c r="AB420" s="253"/>
      <c r="AC420" s="253"/>
      <c r="AD420" s="253"/>
      <c r="AE420" s="253"/>
      <c r="AF420" s="253"/>
      <c r="AG420" s="253"/>
      <c r="AH420" s="253"/>
    </row>
    <row r="421">
      <c r="A421" s="253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  <c r="AA421" s="253"/>
      <c r="AB421" s="253"/>
      <c r="AC421" s="253"/>
      <c r="AD421" s="253"/>
      <c r="AE421" s="253"/>
      <c r="AF421" s="253"/>
      <c r="AG421" s="253"/>
      <c r="AH421" s="253"/>
    </row>
    <row r="422">
      <c r="A422" s="253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  <c r="AA422" s="253"/>
      <c r="AB422" s="253"/>
      <c r="AC422" s="253"/>
      <c r="AD422" s="253"/>
      <c r="AE422" s="253"/>
      <c r="AF422" s="253"/>
      <c r="AG422" s="253"/>
      <c r="AH422" s="253"/>
    </row>
    <row r="423">
      <c r="A423" s="253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  <c r="AA423" s="253"/>
      <c r="AB423" s="253"/>
      <c r="AC423" s="253"/>
      <c r="AD423" s="253"/>
      <c r="AE423" s="253"/>
      <c r="AF423" s="253"/>
      <c r="AG423" s="253"/>
      <c r="AH423" s="253"/>
    </row>
    <row r="424">
      <c r="A424" s="253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  <c r="AA424" s="253"/>
      <c r="AB424" s="253"/>
      <c r="AC424" s="253"/>
      <c r="AD424" s="253"/>
      <c r="AE424" s="253"/>
      <c r="AF424" s="253"/>
      <c r="AG424" s="253"/>
      <c r="AH424" s="253"/>
    </row>
    <row r="425">
      <c r="A425" s="253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  <c r="AA425" s="253"/>
      <c r="AB425" s="253"/>
      <c r="AC425" s="253"/>
      <c r="AD425" s="253"/>
      <c r="AE425" s="253"/>
      <c r="AF425" s="253"/>
      <c r="AG425" s="253"/>
      <c r="AH425" s="253"/>
    </row>
    <row r="426">
      <c r="A426" s="253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  <c r="AA426" s="253"/>
      <c r="AB426" s="253"/>
      <c r="AC426" s="253"/>
      <c r="AD426" s="253"/>
      <c r="AE426" s="253"/>
      <c r="AF426" s="253"/>
      <c r="AG426" s="253"/>
      <c r="AH426" s="253"/>
    </row>
    <row r="427">
      <c r="A427" s="253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  <c r="AA427" s="253"/>
      <c r="AB427" s="253"/>
      <c r="AC427" s="253"/>
      <c r="AD427" s="253"/>
      <c r="AE427" s="253"/>
      <c r="AF427" s="253"/>
      <c r="AG427" s="253"/>
      <c r="AH427" s="253"/>
    </row>
    <row r="428">
      <c r="A428" s="253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  <c r="AA428" s="253"/>
      <c r="AB428" s="253"/>
      <c r="AC428" s="253"/>
      <c r="AD428" s="253"/>
      <c r="AE428" s="253"/>
      <c r="AF428" s="253"/>
      <c r="AG428" s="253"/>
      <c r="AH428" s="253"/>
    </row>
    <row r="429">
      <c r="A429" s="253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  <c r="AA429" s="253"/>
      <c r="AB429" s="253"/>
      <c r="AC429" s="253"/>
      <c r="AD429" s="253"/>
      <c r="AE429" s="253"/>
      <c r="AF429" s="253"/>
      <c r="AG429" s="253"/>
      <c r="AH429" s="253"/>
    </row>
    <row r="430">
      <c r="A430" s="253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  <c r="AA430" s="253"/>
      <c r="AB430" s="253"/>
      <c r="AC430" s="253"/>
      <c r="AD430" s="253"/>
      <c r="AE430" s="253"/>
      <c r="AF430" s="253"/>
      <c r="AG430" s="253"/>
      <c r="AH430" s="253"/>
    </row>
    <row r="431">
      <c r="A431" s="253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  <c r="AA431" s="253"/>
      <c r="AB431" s="253"/>
      <c r="AC431" s="253"/>
      <c r="AD431" s="253"/>
      <c r="AE431" s="253"/>
      <c r="AF431" s="253"/>
      <c r="AG431" s="253"/>
      <c r="AH431" s="253"/>
    </row>
    <row r="432">
      <c r="A432" s="253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  <c r="AB432" s="253"/>
      <c r="AC432" s="253"/>
      <c r="AD432" s="253"/>
      <c r="AE432" s="253"/>
      <c r="AF432" s="253"/>
      <c r="AG432" s="253"/>
      <c r="AH432" s="253"/>
    </row>
    <row r="433">
      <c r="A433" s="253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  <c r="AA433" s="253"/>
      <c r="AB433" s="253"/>
      <c r="AC433" s="253"/>
      <c r="AD433" s="253"/>
      <c r="AE433" s="253"/>
      <c r="AF433" s="253"/>
      <c r="AG433" s="253"/>
      <c r="AH433" s="253"/>
    </row>
    <row r="434">
      <c r="A434" s="253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  <c r="AA434" s="253"/>
      <c r="AB434" s="253"/>
      <c r="AC434" s="253"/>
      <c r="AD434" s="253"/>
      <c r="AE434" s="253"/>
      <c r="AF434" s="253"/>
      <c r="AG434" s="253"/>
      <c r="AH434" s="253"/>
    </row>
    <row r="435">
      <c r="A435" s="253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  <c r="AA435" s="253"/>
      <c r="AB435" s="253"/>
      <c r="AC435" s="253"/>
      <c r="AD435" s="253"/>
      <c r="AE435" s="253"/>
      <c r="AF435" s="253"/>
      <c r="AG435" s="253"/>
      <c r="AH435" s="253"/>
    </row>
    <row r="436">
      <c r="A436" s="253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  <c r="AA436" s="253"/>
      <c r="AB436" s="253"/>
      <c r="AC436" s="253"/>
      <c r="AD436" s="253"/>
      <c r="AE436" s="253"/>
      <c r="AF436" s="253"/>
      <c r="AG436" s="253"/>
      <c r="AH436" s="253"/>
    </row>
    <row r="437">
      <c r="A437" s="253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  <c r="AA437" s="253"/>
      <c r="AB437" s="253"/>
      <c r="AC437" s="253"/>
      <c r="AD437" s="253"/>
      <c r="AE437" s="253"/>
      <c r="AF437" s="253"/>
      <c r="AG437" s="253"/>
      <c r="AH437" s="253"/>
    </row>
    <row r="438">
      <c r="A438" s="253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  <c r="AA438" s="253"/>
      <c r="AB438" s="253"/>
      <c r="AC438" s="253"/>
      <c r="AD438" s="253"/>
      <c r="AE438" s="253"/>
      <c r="AF438" s="253"/>
      <c r="AG438" s="253"/>
      <c r="AH438" s="253"/>
    </row>
    <row r="439">
      <c r="A439" s="253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  <c r="AA439" s="253"/>
      <c r="AB439" s="253"/>
      <c r="AC439" s="253"/>
      <c r="AD439" s="253"/>
      <c r="AE439" s="253"/>
      <c r="AF439" s="253"/>
      <c r="AG439" s="253"/>
      <c r="AH439" s="253"/>
    </row>
    <row r="440">
      <c r="A440" s="253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  <c r="AA440" s="253"/>
      <c r="AB440" s="253"/>
      <c r="AC440" s="253"/>
      <c r="AD440" s="253"/>
      <c r="AE440" s="253"/>
      <c r="AF440" s="253"/>
      <c r="AG440" s="253"/>
      <c r="AH440" s="253"/>
    </row>
    <row r="441">
      <c r="A441" s="253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  <c r="AA441" s="253"/>
      <c r="AB441" s="253"/>
      <c r="AC441" s="253"/>
      <c r="AD441" s="253"/>
      <c r="AE441" s="253"/>
      <c r="AF441" s="253"/>
      <c r="AG441" s="253"/>
      <c r="AH441" s="253"/>
    </row>
    <row r="442">
      <c r="A442" s="253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  <c r="AA442" s="253"/>
      <c r="AB442" s="253"/>
      <c r="AC442" s="253"/>
      <c r="AD442" s="253"/>
      <c r="AE442" s="253"/>
      <c r="AF442" s="253"/>
      <c r="AG442" s="253"/>
      <c r="AH442" s="253"/>
    </row>
    <row r="443">
      <c r="A443" s="253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  <c r="AA443" s="253"/>
      <c r="AB443" s="253"/>
      <c r="AC443" s="253"/>
      <c r="AD443" s="253"/>
      <c r="AE443" s="253"/>
      <c r="AF443" s="253"/>
      <c r="AG443" s="253"/>
      <c r="AH443" s="253"/>
    </row>
    <row r="444">
      <c r="A444" s="253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  <c r="AA444" s="253"/>
      <c r="AB444" s="253"/>
      <c r="AC444" s="253"/>
      <c r="AD444" s="253"/>
      <c r="AE444" s="253"/>
      <c r="AF444" s="253"/>
      <c r="AG444" s="253"/>
      <c r="AH444" s="253"/>
    </row>
    <row r="445">
      <c r="A445" s="253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  <c r="AA445" s="253"/>
      <c r="AB445" s="253"/>
      <c r="AC445" s="253"/>
      <c r="AD445" s="253"/>
      <c r="AE445" s="253"/>
      <c r="AF445" s="253"/>
      <c r="AG445" s="253"/>
      <c r="AH445" s="253"/>
    </row>
    <row r="446">
      <c r="A446" s="253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  <c r="AA446" s="253"/>
      <c r="AB446" s="253"/>
      <c r="AC446" s="253"/>
      <c r="AD446" s="253"/>
      <c r="AE446" s="253"/>
      <c r="AF446" s="253"/>
      <c r="AG446" s="253"/>
      <c r="AH446" s="253"/>
    </row>
    <row r="447">
      <c r="A447" s="253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  <c r="AA447" s="253"/>
      <c r="AB447" s="253"/>
      <c r="AC447" s="253"/>
      <c r="AD447" s="253"/>
      <c r="AE447" s="253"/>
      <c r="AF447" s="253"/>
      <c r="AG447" s="253"/>
      <c r="AH447" s="253"/>
    </row>
    <row r="448">
      <c r="A448" s="253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  <c r="AA448" s="253"/>
      <c r="AB448" s="253"/>
      <c r="AC448" s="253"/>
      <c r="AD448" s="253"/>
      <c r="AE448" s="253"/>
      <c r="AF448" s="253"/>
      <c r="AG448" s="253"/>
      <c r="AH448" s="253"/>
    </row>
    <row r="449">
      <c r="A449" s="253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  <c r="AA449" s="253"/>
      <c r="AB449" s="253"/>
      <c r="AC449" s="253"/>
      <c r="AD449" s="253"/>
      <c r="AE449" s="253"/>
      <c r="AF449" s="253"/>
      <c r="AG449" s="253"/>
      <c r="AH449" s="253"/>
    </row>
    <row r="450">
      <c r="A450" s="253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  <c r="AA450" s="253"/>
      <c r="AB450" s="253"/>
      <c r="AC450" s="253"/>
      <c r="AD450" s="253"/>
      <c r="AE450" s="253"/>
      <c r="AF450" s="253"/>
      <c r="AG450" s="253"/>
      <c r="AH450" s="253"/>
    </row>
    <row r="451">
      <c r="A451" s="253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  <c r="AA451" s="253"/>
      <c r="AB451" s="253"/>
      <c r="AC451" s="253"/>
      <c r="AD451" s="253"/>
      <c r="AE451" s="253"/>
      <c r="AF451" s="253"/>
      <c r="AG451" s="253"/>
      <c r="AH451" s="253"/>
    </row>
    <row r="452">
      <c r="A452" s="253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  <c r="AA452" s="253"/>
      <c r="AB452" s="253"/>
      <c r="AC452" s="253"/>
      <c r="AD452" s="253"/>
      <c r="AE452" s="253"/>
      <c r="AF452" s="253"/>
      <c r="AG452" s="253"/>
      <c r="AH452" s="253"/>
    </row>
    <row r="453">
      <c r="A453" s="253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  <c r="AA453" s="253"/>
      <c r="AB453" s="253"/>
      <c r="AC453" s="253"/>
      <c r="AD453" s="253"/>
      <c r="AE453" s="253"/>
      <c r="AF453" s="253"/>
      <c r="AG453" s="253"/>
      <c r="AH453" s="253"/>
    </row>
    <row r="454">
      <c r="A454" s="253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  <c r="AA454" s="253"/>
      <c r="AB454" s="253"/>
      <c r="AC454" s="253"/>
      <c r="AD454" s="253"/>
      <c r="AE454" s="253"/>
      <c r="AF454" s="253"/>
      <c r="AG454" s="253"/>
      <c r="AH454" s="253"/>
    </row>
    <row r="455">
      <c r="A455" s="253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  <c r="AA455" s="253"/>
      <c r="AB455" s="253"/>
      <c r="AC455" s="253"/>
      <c r="AD455" s="253"/>
      <c r="AE455" s="253"/>
      <c r="AF455" s="253"/>
      <c r="AG455" s="253"/>
      <c r="AH455" s="253"/>
    </row>
    <row r="456">
      <c r="A456" s="253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  <c r="AA456" s="253"/>
      <c r="AB456" s="253"/>
      <c r="AC456" s="253"/>
      <c r="AD456" s="253"/>
      <c r="AE456" s="253"/>
      <c r="AF456" s="253"/>
      <c r="AG456" s="253"/>
      <c r="AH456" s="253"/>
    </row>
    <row r="457">
      <c r="A457" s="253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  <c r="AA457" s="253"/>
      <c r="AB457" s="253"/>
      <c r="AC457" s="253"/>
      <c r="AD457" s="253"/>
      <c r="AE457" s="253"/>
      <c r="AF457" s="253"/>
      <c r="AG457" s="253"/>
      <c r="AH457" s="253"/>
    </row>
    <row r="458">
      <c r="A458" s="253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  <c r="AA458" s="253"/>
      <c r="AB458" s="253"/>
      <c r="AC458" s="253"/>
      <c r="AD458" s="253"/>
      <c r="AE458" s="253"/>
      <c r="AF458" s="253"/>
      <c r="AG458" s="253"/>
      <c r="AH458" s="253"/>
    </row>
    <row r="459">
      <c r="A459" s="253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  <c r="AA459" s="253"/>
      <c r="AB459" s="253"/>
      <c r="AC459" s="253"/>
      <c r="AD459" s="253"/>
      <c r="AE459" s="253"/>
      <c r="AF459" s="253"/>
      <c r="AG459" s="253"/>
      <c r="AH459" s="253"/>
    </row>
    <row r="460">
      <c r="A460" s="253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  <c r="AA460" s="253"/>
      <c r="AB460" s="253"/>
      <c r="AC460" s="253"/>
      <c r="AD460" s="253"/>
      <c r="AE460" s="253"/>
      <c r="AF460" s="253"/>
      <c r="AG460" s="253"/>
      <c r="AH460" s="253"/>
    </row>
    <row r="461">
      <c r="A461" s="253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  <c r="AA461" s="253"/>
      <c r="AB461" s="253"/>
      <c r="AC461" s="253"/>
      <c r="AD461" s="253"/>
      <c r="AE461" s="253"/>
      <c r="AF461" s="253"/>
      <c r="AG461" s="253"/>
      <c r="AH461" s="253"/>
    </row>
    <row r="462">
      <c r="A462" s="253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  <c r="AA462" s="253"/>
      <c r="AB462" s="253"/>
      <c r="AC462" s="253"/>
      <c r="AD462" s="253"/>
      <c r="AE462" s="253"/>
      <c r="AF462" s="253"/>
      <c r="AG462" s="253"/>
      <c r="AH462" s="253"/>
    </row>
    <row r="463">
      <c r="A463" s="253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  <c r="AA463" s="253"/>
      <c r="AB463" s="253"/>
      <c r="AC463" s="253"/>
      <c r="AD463" s="253"/>
      <c r="AE463" s="253"/>
      <c r="AF463" s="253"/>
      <c r="AG463" s="253"/>
      <c r="AH463" s="253"/>
    </row>
    <row r="464">
      <c r="A464" s="253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  <c r="AA464" s="253"/>
      <c r="AB464" s="253"/>
      <c r="AC464" s="253"/>
      <c r="AD464" s="253"/>
      <c r="AE464" s="253"/>
      <c r="AF464" s="253"/>
      <c r="AG464" s="253"/>
      <c r="AH464" s="253"/>
    </row>
    <row r="465">
      <c r="A465" s="253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  <c r="AA465" s="253"/>
      <c r="AB465" s="253"/>
      <c r="AC465" s="253"/>
      <c r="AD465" s="253"/>
      <c r="AE465" s="253"/>
      <c r="AF465" s="253"/>
      <c r="AG465" s="253"/>
      <c r="AH465" s="253"/>
    </row>
    <row r="466">
      <c r="A466" s="253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  <c r="AA466" s="253"/>
      <c r="AB466" s="253"/>
      <c r="AC466" s="253"/>
      <c r="AD466" s="253"/>
      <c r="AE466" s="253"/>
      <c r="AF466" s="253"/>
      <c r="AG466" s="253"/>
      <c r="AH466" s="253"/>
    </row>
    <row r="467">
      <c r="A467" s="253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  <c r="AA467" s="253"/>
      <c r="AB467" s="253"/>
      <c r="AC467" s="253"/>
      <c r="AD467" s="253"/>
      <c r="AE467" s="253"/>
      <c r="AF467" s="253"/>
      <c r="AG467" s="253"/>
      <c r="AH467" s="253"/>
    </row>
    <row r="468">
      <c r="A468" s="253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  <c r="AA468" s="253"/>
      <c r="AB468" s="253"/>
      <c r="AC468" s="253"/>
      <c r="AD468" s="253"/>
      <c r="AE468" s="253"/>
      <c r="AF468" s="253"/>
      <c r="AG468" s="253"/>
      <c r="AH468" s="253"/>
    </row>
    <row r="469">
      <c r="A469" s="253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  <c r="AA469" s="253"/>
      <c r="AB469" s="253"/>
      <c r="AC469" s="253"/>
      <c r="AD469" s="253"/>
      <c r="AE469" s="253"/>
      <c r="AF469" s="253"/>
      <c r="AG469" s="253"/>
      <c r="AH469" s="253"/>
    </row>
    <row r="470">
      <c r="A470" s="253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  <c r="AA470" s="253"/>
      <c r="AB470" s="253"/>
      <c r="AC470" s="253"/>
      <c r="AD470" s="253"/>
      <c r="AE470" s="253"/>
      <c r="AF470" s="253"/>
      <c r="AG470" s="253"/>
      <c r="AH470" s="253"/>
    </row>
    <row r="471">
      <c r="A471" s="253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  <c r="AB471" s="253"/>
      <c r="AC471" s="253"/>
      <c r="AD471" s="253"/>
      <c r="AE471" s="253"/>
      <c r="AF471" s="253"/>
      <c r="AG471" s="253"/>
      <c r="AH471" s="253"/>
    </row>
    <row r="472">
      <c r="A472" s="253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  <c r="AA472" s="253"/>
      <c r="AB472" s="253"/>
      <c r="AC472" s="253"/>
      <c r="AD472" s="253"/>
      <c r="AE472" s="253"/>
      <c r="AF472" s="253"/>
      <c r="AG472" s="253"/>
      <c r="AH472" s="253"/>
    </row>
    <row r="473">
      <c r="A473" s="253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  <c r="AA473" s="253"/>
      <c r="AB473" s="253"/>
      <c r="AC473" s="253"/>
      <c r="AD473" s="253"/>
      <c r="AE473" s="253"/>
      <c r="AF473" s="253"/>
      <c r="AG473" s="253"/>
      <c r="AH473" s="253"/>
    </row>
    <row r="474">
      <c r="A474" s="253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  <c r="AA474" s="253"/>
      <c r="AB474" s="253"/>
      <c r="AC474" s="253"/>
      <c r="AD474" s="253"/>
      <c r="AE474" s="253"/>
      <c r="AF474" s="253"/>
      <c r="AG474" s="253"/>
      <c r="AH474" s="253"/>
    </row>
    <row r="475">
      <c r="A475" s="253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  <c r="AA475" s="253"/>
      <c r="AB475" s="253"/>
      <c r="AC475" s="253"/>
      <c r="AD475" s="253"/>
      <c r="AE475" s="253"/>
      <c r="AF475" s="253"/>
      <c r="AG475" s="253"/>
      <c r="AH475" s="253"/>
    </row>
    <row r="476">
      <c r="A476" s="253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  <c r="AA476" s="253"/>
      <c r="AB476" s="253"/>
      <c r="AC476" s="253"/>
      <c r="AD476" s="253"/>
      <c r="AE476" s="253"/>
      <c r="AF476" s="253"/>
      <c r="AG476" s="253"/>
      <c r="AH476" s="253"/>
    </row>
    <row r="477">
      <c r="A477" s="253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  <c r="AA477" s="253"/>
      <c r="AB477" s="253"/>
      <c r="AC477" s="253"/>
      <c r="AD477" s="253"/>
      <c r="AE477" s="253"/>
      <c r="AF477" s="253"/>
      <c r="AG477" s="253"/>
      <c r="AH477" s="253"/>
    </row>
    <row r="478">
      <c r="A478" s="253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3"/>
      <c r="AB478" s="253"/>
      <c r="AC478" s="253"/>
      <c r="AD478" s="253"/>
      <c r="AE478" s="253"/>
      <c r="AF478" s="253"/>
      <c r="AG478" s="253"/>
      <c r="AH478" s="253"/>
    </row>
    <row r="479">
      <c r="A479" s="253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  <c r="AA479" s="253"/>
      <c r="AB479" s="253"/>
      <c r="AC479" s="253"/>
      <c r="AD479" s="253"/>
      <c r="AE479" s="253"/>
      <c r="AF479" s="253"/>
      <c r="AG479" s="253"/>
      <c r="AH479" s="253"/>
    </row>
    <row r="480">
      <c r="A480" s="253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  <c r="AA480" s="253"/>
      <c r="AB480" s="253"/>
      <c r="AC480" s="253"/>
      <c r="AD480" s="253"/>
      <c r="AE480" s="253"/>
      <c r="AF480" s="253"/>
      <c r="AG480" s="253"/>
      <c r="AH480" s="253"/>
    </row>
    <row r="481">
      <c r="A481" s="253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  <c r="AA481" s="253"/>
      <c r="AB481" s="253"/>
      <c r="AC481" s="253"/>
      <c r="AD481" s="253"/>
      <c r="AE481" s="253"/>
      <c r="AF481" s="253"/>
      <c r="AG481" s="253"/>
      <c r="AH481" s="253"/>
    </row>
    <row r="482">
      <c r="A482" s="253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  <c r="AA482" s="253"/>
      <c r="AB482" s="253"/>
      <c r="AC482" s="253"/>
      <c r="AD482" s="253"/>
      <c r="AE482" s="253"/>
      <c r="AF482" s="253"/>
      <c r="AG482" s="253"/>
      <c r="AH482" s="253"/>
    </row>
    <row r="483">
      <c r="A483" s="253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  <c r="AA483" s="253"/>
      <c r="AB483" s="253"/>
      <c r="AC483" s="253"/>
      <c r="AD483" s="253"/>
      <c r="AE483" s="253"/>
      <c r="AF483" s="253"/>
      <c r="AG483" s="253"/>
      <c r="AH483" s="253"/>
    </row>
    <row r="484">
      <c r="A484" s="253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  <c r="AA484" s="253"/>
      <c r="AB484" s="253"/>
      <c r="AC484" s="253"/>
      <c r="AD484" s="253"/>
      <c r="AE484" s="253"/>
      <c r="AF484" s="253"/>
      <c r="AG484" s="253"/>
      <c r="AH484" s="253"/>
    </row>
    <row r="485">
      <c r="A485" s="253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  <c r="AA485" s="253"/>
      <c r="AB485" s="253"/>
      <c r="AC485" s="253"/>
      <c r="AD485" s="253"/>
      <c r="AE485" s="253"/>
      <c r="AF485" s="253"/>
      <c r="AG485" s="253"/>
      <c r="AH485" s="253"/>
    </row>
    <row r="486">
      <c r="A486" s="253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  <c r="AA486" s="253"/>
      <c r="AB486" s="253"/>
      <c r="AC486" s="253"/>
      <c r="AD486" s="253"/>
      <c r="AE486" s="253"/>
      <c r="AF486" s="253"/>
      <c r="AG486" s="253"/>
      <c r="AH486" s="253"/>
    </row>
    <row r="487">
      <c r="A487" s="253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  <c r="AA487" s="253"/>
      <c r="AB487" s="253"/>
      <c r="AC487" s="253"/>
      <c r="AD487" s="253"/>
      <c r="AE487" s="253"/>
      <c r="AF487" s="253"/>
      <c r="AG487" s="253"/>
      <c r="AH487" s="253"/>
    </row>
    <row r="488">
      <c r="A488" s="253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  <c r="AA488" s="253"/>
      <c r="AB488" s="253"/>
      <c r="AC488" s="253"/>
      <c r="AD488" s="253"/>
      <c r="AE488" s="253"/>
      <c r="AF488" s="253"/>
      <c r="AG488" s="253"/>
      <c r="AH488" s="253"/>
    </row>
    <row r="489">
      <c r="A489" s="253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  <c r="AA489" s="253"/>
      <c r="AB489" s="253"/>
      <c r="AC489" s="253"/>
      <c r="AD489" s="253"/>
      <c r="AE489" s="253"/>
      <c r="AF489" s="253"/>
      <c r="AG489" s="253"/>
      <c r="AH489" s="253"/>
    </row>
    <row r="490">
      <c r="A490" s="253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  <c r="AA490" s="253"/>
      <c r="AB490" s="253"/>
      <c r="AC490" s="253"/>
      <c r="AD490" s="253"/>
      <c r="AE490" s="253"/>
      <c r="AF490" s="253"/>
      <c r="AG490" s="253"/>
      <c r="AH490" s="253"/>
    </row>
    <row r="491">
      <c r="A491" s="253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  <c r="AA491" s="253"/>
      <c r="AB491" s="253"/>
      <c r="AC491" s="253"/>
      <c r="AD491" s="253"/>
      <c r="AE491" s="253"/>
      <c r="AF491" s="253"/>
      <c r="AG491" s="253"/>
      <c r="AH491" s="253"/>
    </row>
    <row r="492">
      <c r="A492" s="253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  <c r="AA492" s="253"/>
      <c r="AB492" s="253"/>
      <c r="AC492" s="253"/>
      <c r="AD492" s="253"/>
      <c r="AE492" s="253"/>
      <c r="AF492" s="253"/>
      <c r="AG492" s="253"/>
      <c r="AH492" s="253"/>
    </row>
    <row r="493">
      <c r="A493" s="253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  <c r="AA493" s="253"/>
      <c r="AB493" s="253"/>
      <c r="AC493" s="253"/>
      <c r="AD493" s="253"/>
      <c r="AE493" s="253"/>
      <c r="AF493" s="253"/>
      <c r="AG493" s="253"/>
      <c r="AH493" s="253"/>
    </row>
    <row r="494">
      <c r="A494" s="253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  <c r="AA494" s="253"/>
      <c r="AB494" s="253"/>
      <c r="AC494" s="253"/>
      <c r="AD494" s="253"/>
      <c r="AE494" s="253"/>
      <c r="AF494" s="253"/>
      <c r="AG494" s="253"/>
      <c r="AH494" s="253"/>
    </row>
    <row r="495">
      <c r="A495" s="253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  <c r="AA495" s="253"/>
      <c r="AB495" s="253"/>
      <c r="AC495" s="253"/>
      <c r="AD495" s="253"/>
      <c r="AE495" s="253"/>
      <c r="AF495" s="253"/>
      <c r="AG495" s="253"/>
      <c r="AH495" s="253"/>
    </row>
    <row r="496">
      <c r="A496" s="253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  <c r="AA496" s="253"/>
      <c r="AB496" s="253"/>
      <c r="AC496" s="253"/>
      <c r="AD496" s="253"/>
      <c r="AE496" s="253"/>
      <c r="AF496" s="253"/>
      <c r="AG496" s="253"/>
      <c r="AH496" s="253"/>
    </row>
    <row r="497">
      <c r="A497" s="253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  <c r="AA497" s="253"/>
      <c r="AB497" s="253"/>
      <c r="AC497" s="253"/>
      <c r="AD497" s="253"/>
      <c r="AE497" s="253"/>
      <c r="AF497" s="253"/>
      <c r="AG497" s="253"/>
      <c r="AH497" s="253"/>
    </row>
    <row r="498">
      <c r="A498" s="253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  <c r="AA498" s="253"/>
      <c r="AB498" s="253"/>
      <c r="AC498" s="253"/>
      <c r="AD498" s="253"/>
      <c r="AE498" s="253"/>
      <c r="AF498" s="253"/>
      <c r="AG498" s="253"/>
      <c r="AH498" s="253"/>
    </row>
    <row r="499">
      <c r="A499" s="253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  <c r="AA499" s="253"/>
      <c r="AB499" s="253"/>
      <c r="AC499" s="253"/>
      <c r="AD499" s="253"/>
      <c r="AE499" s="253"/>
      <c r="AF499" s="253"/>
      <c r="AG499" s="253"/>
      <c r="AH499" s="253"/>
    </row>
    <row r="500">
      <c r="A500" s="253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  <c r="AA500" s="253"/>
      <c r="AB500" s="253"/>
      <c r="AC500" s="253"/>
      <c r="AD500" s="253"/>
      <c r="AE500" s="253"/>
      <c r="AF500" s="253"/>
      <c r="AG500" s="253"/>
      <c r="AH500" s="253"/>
    </row>
    <row r="501">
      <c r="A501" s="253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  <c r="AA501" s="253"/>
      <c r="AB501" s="253"/>
      <c r="AC501" s="253"/>
      <c r="AD501" s="253"/>
      <c r="AE501" s="253"/>
      <c r="AF501" s="253"/>
      <c r="AG501" s="253"/>
      <c r="AH501" s="253"/>
    </row>
    <row r="502">
      <c r="A502" s="253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  <c r="AA502" s="253"/>
      <c r="AB502" s="253"/>
      <c r="AC502" s="253"/>
      <c r="AD502" s="253"/>
      <c r="AE502" s="253"/>
      <c r="AF502" s="253"/>
      <c r="AG502" s="253"/>
      <c r="AH502" s="253"/>
    </row>
    <row r="503">
      <c r="A503" s="253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  <c r="AA503" s="253"/>
      <c r="AB503" s="253"/>
      <c r="AC503" s="253"/>
      <c r="AD503" s="253"/>
      <c r="AE503" s="253"/>
      <c r="AF503" s="253"/>
      <c r="AG503" s="253"/>
      <c r="AH503" s="253"/>
    </row>
    <row r="504">
      <c r="A504" s="253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  <c r="AA504" s="253"/>
      <c r="AB504" s="253"/>
      <c r="AC504" s="253"/>
      <c r="AD504" s="253"/>
      <c r="AE504" s="253"/>
      <c r="AF504" s="253"/>
      <c r="AG504" s="253"/>
      <c r="AH504" s="253"/>
    </row>
    <row r="505">
      <c r="A505" s="253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  <c r="AA505" s="253"/>
      <c r="AB505" s="253"/>
      <c r="AC505" s="253"/>
      <c r="AD505" s="253"/>
      <c r="AE505" s="253"/>
      <c r="AF505" s="253"/>
      <c r="AG505" s="253"/>
      <c r="AH505" s="253"/>
    </row>
    <row r="506">
      <c r="A506" s="253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  <c r="AA506" s="253"/>
      <c r="AB506" s="253"/>
      <c r="AC506" s="253"/>
      <c r="AD506" s="253"/>
      <c r="AE506" s="253"/>
      <c r="AF506" s="253"/>
      <c r="AG506" s="253"/>
      <c r="AH506" s="253"/>
    </row>
    <row r="507">
      <c r="A507" s="253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  <c r="AA507" s="253"/>
      <c r="AB507" s="253"/>
      <c r="AC507" s="253"/>
      <c r="AD507" s="253"/>
      <c r="AE507" s="253"/>
      <c r="AF507" s="253"/>
      <c r="AG507" s="253"/>
      <c r="AH507" s="253"/>
    </row>
    <row r="508">
      <c r="A508" s="253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  <c r="AA508" s="253"/>
      <c r="AB508" s="253"/>
      <c r="AC508" s="253"/>
      <c r="AD508" s="253"/>
      <c r="AE508" s="253"/>
      <c r="AF508" s="253"/>
      <c r="AG508" s="253"/>
      <c r="AH508" s="253"/>
    </row>
    <row r="509">
      <c r="A509" s="253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  <c r="AA509" s="253"/>
      <c r="AB509" s="253"/>
      <c r="AC509" s="253"/>
      <c r="AD509" s="253"/>
      <c r="AE509" s="253"/>
      <c r="AF509" s="253"/>
      <c r="AG509" s="253"/>
      <c r="AH509" s="253"/>
    </row>
    <row r="510">
      <c r="A510" s="253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  <c r="AA510" s="253"/>
      <c r="AB510" s="253"/>
      <c r="AC510" s="253"/>
      <c r="AD510" s="253"/>
      <c r="AE510" s="253"/>
      <c r="AF510" s="253"/>
      <c r="AG510" s="253"/>
      <c r="AH510" s="253"/>
    </row>
    <row r="511">
      <c r="A511" s="253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  <c r="AA511" s="253"/>
      <c r="AB511" s="253"/>
      <c r="AC511" s="253"/>
      <c r="AD511" s="253"/>
      <c r="AE511" s="253"/>
      <c r="AF511" s="253"/>
      <c r="AG511" s="253"/>
      <c r="AH511" s="253"/>
    </row>
    <row r="512">
      <c r="A512" s="253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  <c r="AA512" s="253"/>
      <c r="AB512" s="253"/>
      <c r="AC512" s="253"/>
      <c r="AD512" s="253"/>
      <c r="AE512" s="253"/>
      <c r="AF512" s="253"/>
      <c r="AG512" s="253"/>
      <c r="AH512" s="253"/>
    </row>
    <row r="513">
      <c r="A513" s="253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  <c r="AA513" s="253"/>
      <c r="AB513" s="253"/>
      <c r="AC513" s="253"/>
      <c r="AD513" s="253"/>
      <c r="AE513" s="253"/>
      <c r="AF513" s="253"/>
      <c r="AG513" s="253"/>
      <c r="AH513" s="253"/>
    </row>
    <row r="514">
      <c r="A514" s="253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  <c r="AA514" s="253"/>
      <c r="AB514" s="253"/>
      <c r="AC514" s="253"/>
      <c r="AD514" s="253"/>
      <c r="AE514" s="253"/>
      <c r="AF514" s="253"/>
      <c r="AG514" s="253"/>
      <c r="AH514" s="253"/>
    </row>
    <row r="515">
      <c r="A515" s="253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  <c r="AA515" s="253"/>
      <c r="AB515" s="253"/>
      <c r="AC515" s="253"/>
      <c r="AD515" s="253"/>
      <c r="AE515" s="253"/>
      <c r="AF515" s="253"/>
      <c r="AG515" s="253"/>
      <c r="AH515" s="253"/>
    </row>
    <row r="516">
      <c r="A516" s="253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  <c r="AA516" s="253"/>
      <c r="AB516" s="253"/>
      <c r="AC516" s="253"/>
      <c r="AD516" s="253"/>
      <c r="AE516" s="253"/>
      <c r="AF516" s="253"/>
      <c r="AG516" s="253"/>
      <c r="AH516" s="253"/>
    </row>
    <row r="517">
      <c r="A517" s="253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  <c r="AA517" s="253"/>
      <c r="AB517" s="253"/>
      <c r="AC517" s="253"/>
      <c r="AD517" s="253"/>
      <c r="AE517" s="253"/>
      <c r="AF517" s="253"/>
      <c r="AG517" s="253"/>
      <c r="AH517" s="253"/>
    </row>
    <row r="518">
      <c r="A518" s="253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  <c r="AA518" s="253"/>
      <c r="AB518" s="253"/>
      <c r="AC518" s="253"/>
      <c r="AD518" s="253"/>
      <c r="AE518" s="253"/>
      <c r="AF518" s="253"/>
      <c r="AG518" s="253"/>
      <c r="AH518" s="253"/>
    </row>
    <row r="519">
      <c r="A519" s="253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  <c r="AA519" s="253"/>
      <c r="AB519" s="253"/>
      <c r="AC519" s="253"/>
      <c r="AD519" s="253"/>
      <c r="AE519" s="253"/>
      <c r="AF519" s="253"/>
      <c r="AG519" s="253"/>
      <c r="AH519" s="253"/>
    </row>
    <row r="520">
      <c r="A520" s="253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  <c r="AA520" s="253"/>
      <c r="AB520" s="253"/>
      <c r="AC520" s="253"/>
      <c r="AD520" s="253"/>
      <c r="AE520" s="253"/>
      <c r="AF520" s="253"/>
      <c r="AG520" s="253"/>
      <c r="AH520" s="253"/>
    </row>
    <row r="521">
      <c r="A521" s="253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  <c r="AA521" s="253"/>
      <c r="AB521" s="253"/>
      <c r="AC521" s="253"/>
      <c r="AD521" s="253"/>
      <c r="AE521" s="253"/>
      <c r="AF521" s="253"/>
      <c r="AG521" s="253"/>
      <c r="AH521" s="253"/>
    </row>
    <row r="522">
      <c r="A522" s="253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  <c r="AA522" s="253"/>
      <c r="AB522" s="253"/>
      <c r="AC522" s="253"/>
      <c r="AD522" s="253"/>
      <c r="AE522" s="253"/>
      <c r="AF522" s="253"/>
      <c r="AG522" s="253"/>
      <c r="AH522" s="253"/>
    </row>
    <row r="523">
      <c r="A523" s="253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  <c r="AA523" s="253"/>
      <c r="AB523" s="253"/>
      <c r="AC523" s="253"/>
      <c r="AD523" s="253"/>
      <c r="AE523" s="253"/>
      <c r="AF523" s="253"/>
      <c r="AG523" s="253"/>
      <c r="AH523" s="253"/>
    </row>
    <row r="524">
      <c r="A524" s="253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  <c r="AA524" s="253"/>
      <c r="AB524" s="253"/>
      <c r="AC524" s="253"/>
      <c r="AD524" s="253"/>
      <c r="AE524" s="253"/>
      <c r="AF524" s="253"/>
      <c r="AG524" s="253"/>
      <c r="AH524" s="253"/>
    </row>
    <row r="525">
      <c r="A525" s="253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  <c r="AA525" s="253"/>
      <c r="AB525" s="253"/>
      <c r="AC525" s="253"/>
      <c r="AD525" s="253"/>
      <c r="AE525" s="253"/>
      <c r="AF525" s="253"/>
      <c r="AG525" s="253"/>
      <c r="AH525" s="253"/>
    </row>
    <row r="526">
      <c r="A526" s="253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  <c r="AA526" s="253"/>
      <c r="AB526" s="253"/>
      <c r="AC526" s="253"/>
      <c r="AD526" s="253"/>
      <c r="AE526" s="253"/>
      <c r="AF526" s="253"/>
      <c r="AG526" s="253"/>
      <c r="AH526" s="253"/>
    </row>
    <row r="527">
      <c r="A527" s="253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  <c r="AA527" s="253"/>
      <c r="AB527" s="253"/>
      <c r="AC527" s="253"/>
      <c r="AD527" s="253"/>
      <c r="AE527" s="253"/>
      <c r="AF527" s="253"/>
      <c r="AG527" s="253"/>
      <c r="AH527" s="253"/>
    </row>
    <row r="528">
      <c r="A528" s="253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  <c r="AA528" s="253"/>
      <c r="AB528" s="253"/>
      <c r="AC528" s="253"/>
      <c r="AD528" s="253"/>
      <c r="AE528" s="253"/>
      <c r="AF528" s="253"/>
      <c r="AG528" s="253"/>
      <c r="AH528" s="253"/>
    </row>
    <row r="529">
      <c r="A529" s="253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  <c r="AA529" s="253"/>
      <c r="AB529" s="253"/>
      <c r="AC529" s="253"/>
      <c r="AD529" s="253"/>
      <c r="AE529" s="253"/>
      <c r="AF529" s="253"/>
      <c r="AG529" s="253"/>
      <c r="AH529" s="253"/>
    </row>
    <row r="530">
      <c r="A530" s="253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  <c r="AA530" s="253"/>
      <c r="AB530" s="253"/>
      <c r="AC530" s="253"/>
      <c r="AD530" s="253"/>
      <c r="AE530" s="253"/>
      <c r="AF530" s="253"/>
      <c r="AG530" s="253"/>
      <c r="AH530" s="253"/>
    </row>
    <row r="531">
      <c r="A531" s="253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  <c r="AA531" s="253"/>
      <c r="AB531" s="253"/>
      <c r="AC531" s="253"/>
      <c r="AD531" s="253"/>
      <c r="AE531" s="253"/>
      <c r="AF531" s="253"/>
      <c r="AG531" s="253"/>
      <c r="AH531" s="253"/>
    </row>
    <row r="532">
      <c r="A532" s="253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  <c r="AA532" s="253"/>
      <c r="AB532" s="253"/>
      <c r="AC532" s="253"/>
      <c r="AD532" s="253"/>
      <c r="AE532" s="253"/>
      <c r="AF532" s="253"/>
      <c r="AG532" s="253"/>
      <c r="AH532" s="253"/>
    </row>
    <row r="533">
      <c r="A533" s="253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  <c r="AA533" s="253"/>
      <c r="AB533" s="253"/>
      <c r="AC533" s="253"/>
      <c r="AD533" s="253"/>
      <c r="AE533" s="253"/>
      <c r="AF533" s="253"/>
      <c r="AG533" s="253"/>
      <c r="AH533" s="253"/>
    </row>
    <row r="534">
      <c r="A534" s="253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  <c r="AA534" s="253"/>
      <c r="AB534" s="253"/>
      <c r="AC534" s="253"/>
      <c r="AD534" s="253"/>
      <c r="AE534" s="253"/>
      <c r="AF534" s="253"/>
      <c r="AG534" s="253"/>
      <c r="AH534" s="253"/>
    </row>
    <row r="535">
      <c r="A535" s="253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  <c r="AA535" s="253"/>
      <c r="AB535" s="253"/>
      <c r="AC535" s="253"/>
      <c r="AD535" s="253"/>
      <c r="AE535" s="253"/>
      <c r="AF535" s="253"/>
      <c r="AG535" s="253"/>
      <c r="AH535" s="253"/>
    </row>
    <row r="536">
      <c r="A536" s="253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  <c r="AA536" s="253"/>
      <c r="AB536" s="253"/>
      <c r="AC536" s="253"/>
      <c r="AD536" s="253"/>
      <c r="AE536" s="253"/>
      <c r="AF536" s="253"/>
      <c r="AG536" s="253"/>
      <c r="AH536" s="253"/>
    </row>
    <row r="537">
      <c r="A537" s="253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  <c r="AA537" s="253"/>
      <c r="AB537" s="253"/>
      <c r="AC537" s="253"/>
      <c r="AD537" s="253"/>
      <c r="AE537" s="253"/>
      <c r="AF537" s="253"/>
      <c r="AG537" s="253"/>
      <c r="AH537" s="253"/>
    </row>
    <row r="538">
      <c r="A538" s="253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  <c r="AA538" s="253"/>
      <c r="AB538" s="253"/>
      <c r="AC538" s="253"/>
      <c r="AD538" s="253"/>
      <c r="AE538" s="253"/>
      <c r="AF538" s="253"/>
      <c r="AG538" s="253"/>
      <c r="AH538" s="253"/>
    </row>
    <row r="539">
      <c r="A539" s="253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  <c r="AA539" s="253"/>
      <c r="AB539" s="253"/>
      <c r="AC539" s="253"/>
      <c r="AD539" s="253"/>
      <c r="AE539" s="253"/>
      <c r="AF539" s="253"/>
      <c r="AG539" s="253"/>
      <c r="AH539" s="253"/>
    </row>
    <row r="540">
      <c r="A540" s="253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  <c r="AA540" s="253"/>
      <c r="AB540" s="253"/>
      <c r="AC540" s="253"/>
      <c r="AD540" s="253"/>
      <c r="AE540" s="253"/>
      <c r="AF540" s="253"/>
      <c r="AG540" s="253"/>
      <c r="AH540" s="253"/>
    </row>
    <row r="541">
      <c r="A541" s="253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  <c r="AA541" s="253"/>
      <c r="AB541" s="253"/>
      <c r="AC541" s="253"/>
      <c r="AD541" s="253"/>
      <c r="AE541" s="253"/>
      <c r="AF541" s="253"/>
      <c r="AG541" s="253"/>
      <c r="AH541" s="253"/>
    </row>
    <row r="542">
      <c r="A542" s="253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  <c r="AA542" s="253"/>
      <c r="AB542" s="253"/>
      <c r="AC542" s="253"/>
      <c r="AD542" s="253"/>
      <c r="AE542" s="253"/>
      <c r="AF542" s="253"/>
      <c r="AG542" s="253"/>
      <c r="AH542" s="253"/>
    </row>
    <row r="543">
      <c r="A543" s="253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  <c r="AA543" s="253"/>
      <c r="AB543" s="253"/>
      <c r="AC543" s="253"/>
      <c r="AD543" s="253"/>
      <c r="AE543" s="253"/>
      <c r="AF543" s="253"/>
      <c r="AG543" s="253"/>
      <c r="AH543" s="253"/>
    </row>
    <row r="544">
      <c r="A544" s="253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  <c r="AA544" s="253"/>
      <c r="AB544" s="253"/>
      <c r="AC544" s="253"/>
      <c r="AD544" s="253"/>
      <c r="AE544" s="253"/>
      <c r="AF544" s="253"/>
      <c r="AG544" s="253"/>
      <c r="AH544" s="253"/>
    </row>
    <row r="545">
      <c r="A545" s="253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  <c r="AA545" s="253"/>
      <c r="AB545" s="253"/>
      <c r="AC545" s="253"/>
      <c r="AD545" s="253"/>
      <c r="AE545" s="253"/>
      <c r="AF545" s="253"/>
      <c r="AG545" s="253"/>
      <c r="AH545" s="253"/>
    </row>
    <row r="546">
      <c r="A546" s="253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  <c r="AA546" s="253"/>
      <c r="AB546" s="253"/>
      <c r="AC546" s="253"/>
      <c r="AD546" s="253"/>
      <c r="AE546" s="253"/>
      <c r="AF546" s="253"/>
      <c r="AG546" s="253"/>
      <c r="AH546" s="253"/>
    </row>
    <row r="547">
      <c r="A547" s="253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  <c r="AA547" s="253"/>
      <c r="AB547" s="253"/>
      <c r="AC547" s="253"/>
      <c r="AD547" s="253"/>
      <c r="AE547" s="253"/>
      <c r="AF547" s="253"/>
      <c r="AG547" s="253"/>
      <c r="AH547" s="253"/>
    </row>
    <row r="548">
      <c r="A548" s="253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  <c r="AA548" s="253"/>
      <c r="AB548" s="253"/>
      <c r="AC548" s="253"/>
      <c r="AD548" s="253"/>
      <c r="AE548" s="253"/>
      <c r="AF548" s="253"/>
      <c r="AG548" s="253"/>
      <c r="AH548" s="253"/>
    </row>
    <row r="549">
      <c r="A549" s="253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  <c r="AA549" s="253"/>
      <c r="AB549" s="253"/>
      <c r="AC549" s="253"/>
      <c r="AD549" s="253"/>
      <c r="AE549" s="253"/>
      <c r="AF549" s="253"/>
      <c r="AG549" s="253"/>
      <c r="AH549" s="253"/>
    </row>
    <row r="550">
      <c r="A550" s="253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  <c r="AA550" s="253"/>
      <c r="AB550" s="253"/>
      <c r="AC550" s="253"/>
      <c r="AD550" s="253"/>
      <c r="AE550" s="253"/>
      <c r="AF550" s="253"/>
      <c r="AG550" s="253"/>
      <c r="AH550" s="253"/>
    </row>
    <row r="551">
      <c r="A551" s="253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  <c r="AA551" s="253"/>
      <c r="AB551" s="253"/>
      <c r="AC551" s="253"/>
      <c r="AD551" s="253"/>
      <c r="AE551" s="253"/>
      <c r="AF551" s="253"/>
      <c r="AG551" s="253"/>
      <c r="AH551" s="253"/>
    </row>
    <row r="552">
      <c r="A552" s="253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  <c r="AA552" s="253"/>
      <c r="AB552" s="253"/>
      <c r="AC552" s="253"/>
      <c r="AD552" s="253"/>
      <c r="AE552" s="253"/>
      <c r="AF552" s="253"/>
      <c r="AG552" s="253"/>
      <c r="AH552" s="253"/>
    </row>
    <row r="553">
      <c r="A553" s="253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  <c r="AA553" s="253"/>
      <c r="AB553" s="253"/>
      <c r="AC553" s="253"/>
      <c r="AD553" s="253"/>
      <c r="AE553" s="253"/>
      <c r="AF553" s="253"/>
      <c r="AG553" s="253"/>
      <c r="AH553" s="253"/>
    </row>
    <row r="554">
      <c r="A554" s="253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  <c r="AA554" s="253"/>
      <c r="AB554" s="253"/>
      <c r="AC554" s="253"/>
      <c r="AD554" s="253"/>
      <c r="AE554" s="253"/>
      <c r="AF554" s="253"/>
      <c r="AG554" s="253"/>
      <c r="AH554" s="253"/>
    </row>
    <row r="555">
      <c r="A555" s="253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  <c r="AA555" s="253"/>
      <c r="AB555" s="253"/>
      <c r="AC555" s="253"/>
      <c r="AD555" s="253"/>
      <c r="AE555" s="253"/>
      <c r="AF555" s="253"/>
      <c r="AG555" s="253"/>
      <c r="AH555" s="253"/>
    </row>
    <row r="556">
      <c r="A556" s="253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  <c r="AA556" s="253"/>
      <c r="AB556" s="253"/>
      <c r="AC556" s="253"/>
      <c r="AD556" s="253"/>
      <c r="AE556" s="253"/>
      <c r="AF556" s="253"/>
      <c r="AG556" s="253"/>
      <c r="AH556" s="253"/>
    </row>
    <row r="557">
      <c r="A557" s="253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  <c r="AA557" s="253"/>
      <c r="AB557" s="253"/>
      <c r="AC557" s="253"/>
      <c r="AD557" s="253"/>
      <c r="AE557" s="253"/>
      <c r="AF557" s="253"/>
      <c r="AG557" s="253"/>
      <c r="AH557" s="253"/>
    </row>
    <row r="558">
      <c r="A558" s="253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  <c r="AA558" s="253"/>
      <c r="AB558" s="253"/>
      <c r="AC558" s="253"/>
      <c r="AD558" s="253"/>
      <c r="AE558" s="253"/>
      <c r="AF558" s="253"/>
      <c r="AG558" s="253"/>
      <c r="AH558" s="253"/>
    </row>
    <row r="559">
      <c r="A559" s="253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  <c r="AA559" s="253"/>
      <c r="AB559" s="253"/>
      <c r="AC559" s="253"/>
      <c r="AD559" s="253"/>
      <c r="AE559" s="253"/>
      <c r="AF559" s="253"/>
      <c r="AG559" s="253"/>
      <c r="AH559" s="253"/>
    </row>
    <row r="560">
      <c r="A560" s="253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  <c r="AA560" s="253"/>
      <c r="AB560" s="253"/>
      <c r="AC560" s="253"/>
      <c r="AD560" s="253"/>
      <c r="AE560" s="253"/>
      <c r="AF560" s="253"/>
      <c r="AG560" s="253"/>
      <c r="AH560" s="253"/>
    </row>
    <row r="561">
      <c r="A561" s="253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  <c r="AA561" s="253"/>
      <c r="AB561" s="253"/>
      <c r="AC561" s="253"/>
      <c r="AD561" s="253"/>
      <c r="AE561" s="253"/>
      <c r="AF561" s="253"/>
      <c r="AG561" s="253"/>
      <c r="AH561" s="253"/>
    </row>
    <row r="562">
      <c r="A562" s="253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  <c r="AA562" s="253"/>
      <c r="AB562" s="253"/>
      <c r="AC562" s="253"/>
      <c r="AD562" s="253"/>
      <c r="AE562" s="253"/>
      <c r="AF562" s="253"/>
      <c r="AG562" s="253"/>
      <c r="AH562" s="253"/>
    </row>
    <row r="563">
      <c r="A563" s="253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  <c r="AA563" s="253"/>
      <c r="AB563" s="253"/>
      <c r="AC563" s="253"/>
      <c r="AD563" s="253"/>
      <c r="AE563" s="253"/>
      <c r="AF563" s="253"/>
      <c r="AG563" s="253"/>
      <c r="AH563" s="253"/>
    </row>
    <row r="564">
      <c r="A564" s="253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  <c r="AA564" s="253"/>
      <c r="AB564" s="253"/>
      <c r="AC564" s="253"/>
      <c r="AD564" s="253"/>
      <c r="AE564" s="253"/>
      <c r="AF564" s="253"/>
      <c r="AG564" s="253"/>
      <c r="AH564" s="253"/>
    </row>
    <row r="565">
      <c r="A565" s="253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  <c r="AA565" s="253"/>
      <c r="AB565" s="253"/>
      <c r="AC565" s="253"/>
      <c r="AD565" s="253"/>
      <c r="AE565" s="253"/>
      <c r="AF565" s="253"/>
      <c r="AG565" s="253"/>
      <c r="AH565" s="253"/>
    </row>
    <row r="566">
      <c r="A566" s="253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  <c r="AA566" s="253"/>
      <c r="AB566" s="253"/>
      <c r="AC566" s="253"/>
      <c r="AD566" s="253"/>
      <c r="AE566" s="253"/>
      <c r="AF566" s="253"/>
      <c r="AG566" s="253"/>
      <c r="AH566" s="253"/>
    </row>
    <row r="567">
      <c r="A567" s="253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  <c r="AA567" s="253"/>
      <c r="AB567" s="253"/>
      <c r="AC567" s="253"/>
      <c r="AD567" s="253"/>
      <c r="AE567" s="253"/>
      <c r="AF567" s="253"/>
      <c r="AG567" s="253"/>
      <c r="AH567" s="253"/>
    </row>
    <row r="568">
      <c r="A568" s="253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  <c r="AA568" s="253"/>
      <c r="AB568" s="253"/>
      <c r="AC568" s="253"/>
      <c r="AD568" s="253"/>
      <c r="AE568" s="253"/>
      <c r="AF568" s="253"/>
      <c r="AG568" s="253"/>
      <c r="AH568" s="253"/>
    </row>
    <row r="569">
      <c r="A569" s="253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  <c r="AA569" s="253"/>
      <c r="AB569" s="253"/>
      <c r="AC569" s="253"/>
      <c r="AD569" s="253"/>
      <c r="AE569" s="253"/>
      <c r="AF569" s="253"/>
      <c r="AG569" s="253"/>
      <c r="AH569" s="253"/>
    </row>
    <row r="570">
      <c r="A570" s="253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  <c r="AA570" s="253"/>
      <c r="AB570" s="253"/>
      <c r="AC570" s="253"/>
      <c r="AD570" s="253"/>
      <c r="AE570" s="253"/>
      <c r="AF570" s="253"/>
      <c r="AG570" s="253"/>
      <c r="AH570" s="253"/>
    </row>
    <row r="571">
      <c r="A571" s="253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  <c r="AA571" s="253"/>
      <c r="AB571" s="253"/>
      <c r="AC571" s="253"/>
      <c r="AD571" s="253"/>
      <c r="AE571" s="253"/>
      <c r="AF571" s="253"/>
      <c r="AG571" s="253"/>
      <c r="AH571" s="253"/>
    </row>
    <row r="572">
      <c r="A572" s="253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  <c r="AA572" s="253"/>
      <c r="AB572" s="253"/>
      <c r="AC572" s="253"/>
      <c r="AD572" s="253"/>
      <c r="AE572" s="253"/>
      <c r="AF572" s="253"/>
      <c r="AG572" s="253"/>
      <c r="AH572" s="253"/>
    </row>
    <row r="573">
      <c r="A573" s="253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  <c r="AA573" s="253"/>
      <c r="AB573" s="253"/>
      <c r="AC573" s="253"/>
      <c r="AD573" s="253"/>
      <c r="AE573" s="253"/>
      <c r="AF573" s="253"/>
      <c r="AG573" s="253"/>
      <c r="AH573" s="253"/>
    </row>
    <row r="574">
      <c r="A574" s="253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  <c r="AA574" s="253"/>
      <c r="AB574" s="253"/>
      <c r="AC574" s="253"/>
      <c r="AD574" s="253"/>
      <c r="AE574" s="253"/>
      <c r="AF574" s="253"/>
      <c r="AG574" s="253"/>
      <c r="AH574" s="253"/>
    </row>
    <row r="575">
      <c r="A575" s="253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  <c r="AA575" s="253"/>
      <c r="AB575" s="253"/>
      <c r="AC575" s="253"/>
      <c r="AD575" s="253"/>
      <c r="AE575" s="253"/>
      <c r="AF575" s="253"/>
      <c r="AG575" s="253"/>
      <c r="AH575" s="253"/>
    </row>
    <row r="576">
      <c r="A576" s="253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  <c r="AA576" s="253"/>
      <c r="AB576" s="253"/>
      <c r="AC576" s="253"/>
      <c r="AD576" s="253"/>
      <c r="AE576" s="253"/>
      <c r="AF576" s="253"/>
      <c r="AG576" s="253"/>
      <c r="AH576" s="253"/>
    </row>
    <row r="577">
      <c r="A577" s="253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  <c r="AD577" s="253"/>
      <c r="AE577" s="253"/>
      <c r="AF577" s="253"/>
      <c r="AG577" s="253"/>
      <c r="AH577" s="253"/>
    </row>
    <row r="578">
      <c r="A578" s="253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  <c r="AA578" s="253"/>
      <c r="AB578" s="253"/>
      <c r="AC578" s="253"/>
      <c r="AD578" s="253"/>
      <c r="AE578" s="253"/>
      <c r="AF578" s="253"/>
      <c r="AG578" s="253"/>
      <c r="AH578" s="253"/>
    </row>
    <row r="579">
      <c r="A579" s="253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  <c r="AA579" s="253"/>
      <c r="AB579" s="253"/>
      <c r="AC579" s="253"/>
      <c r="AD579" s="253"/>
      <c r="AE579" s="253"/>
      <c r="AF579" s="253"/>
      <c r="AG579" s="253"/>
      <c r="AH579" s="253"/>
    </row>
    <row r="580">
      <c r="A580" s="253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  <c r="AA580" s="253"/>
      <c r="AB580" s="253"/>
      <c r="AC580" s="253"/>
      <c r="AD580" s="253"/>
      <c r="AE580" s="253"/>
      <c r="AF580" s="253"/>
      <c r="AG580" s="253"/>
      <c r="AH580" s="253"/>
    </row>
    <row r="581">
      <c r="A581" s="253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  <c r="AA581" s="253"/>
      <c r="AB581" s="253"/>
      <c r="AC581" s="253"/>
      <c r="AD581" s="253"/>
      <c r="AE581" s="253"/>
      <c r="AF581" s="253"/>
      <c r="AG581" s="253"/>
      <c r="AH581" s="253"/>
    </row>
    <row r="582">
      <c r="A582" s="253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  <c r="AA582" s="253"/>
      <c r="AB582" s="253"/>
      <c r="AC582" s="253"/>
      <c r="AD582" s="253"/>
      <c r="AE582" s="253"/>
      <c r="AF582" s="253"/>
      <c r="AG582" s="253"/>
      <c r="AH582" s="253"/>
    </row>
    <row r="583">
      <c r="A583" s="253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  <c r="AA583" s="253"/>
      <c r="AB583" s="253"/>
      <c r="AC583" s="253"/>
      <c r="AD583" s="253"/>
      <c r="AE583" s="253"/>
      <c r="AF583" s="253"/>
      <c r="AG583" s="253"/>
      <c r="AH583" s="253"/>
    </row>
    <row r="584">
      <c r="A584" s="253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  <c r="AA584" s="253"/>
      <c r="AB584" s="253"/>
      <c r="AC584" s="253"/>
      <c r="AD584" s="253"/>
      <c r="AE584" s="253"/>
      <c r="AF584" s="253"/>
      <c r="AG584" s="253"/>
      <c r="AH584" s="253"/>
    </row>
    <row r="585">
      <c r="A585" s="253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  <c r="AA585" s="253"/>
      <c r="AB585" s="253"/>
      <c r="AC585" s="253"/>
      <c r="AD585" s="253"/>
      <c r="AE585" s="253"/>
      <c r="AF585" s="253"/>
      <c r="AG585" s="253"/>
      <c r="AH585" s="253"/>
    </row>
    <row r="586">
      <c r="A586" s="253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  <c r="AA586" s="253"/>
      <c r="AB586" s="253"/>
      <c r="AC586" s="253"/>
      <c r="AD586" s="253"/>
      <c r="AE586" s="253"/>
      <c r="AF586" s="253"/>
      <c r="AG586" s="253"/>
      <c r="AH586" s="253"/>
    </row>
    <row r="587">
      <c r="A587" s="253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  <c r="AA587" s="253"/>
      <c r="AB587" s="253"/>
      <c r="AC587" s="253"/>
      <c r="AD587" s="253"/>
      <c r="AE587" s="253"/>
      <c r="AF587" s="253"/>
      <c r="AG587" s="253"/>
      <c r="AH587" s="253"/>
    </row>
    <row r="588">
      <c r="A588" s="253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  <c r="AA588" s="253"/>
      <c r="AB588" s="253"/>
      <c r="AC588" s="253"/>
      <c r="AD588" s="253"/>
      <c r="AE588" s="253"/>
      <c r="AF588" s="253"/>
      <c r="AG588" s="253"/>
      <c r="AH588" s="253"/>
    </row>
    <row r="589">
      <c r="A589" s="253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  <c r="AB589" s="253"/>
      <c r="AC589" s="253"/>
      <c r="AD589" s="253"/>
      <c r="AE589" s="253"/>
      <c r="AF589" s="253"/>
      <c r="AG589" s="253"/>
      <c r="AH589" s="253"/>
    </row>
    <row r="590">
      <c r="A590" s="253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  <c r="AA590" s="253"/>
      <c r="AB590" s="253"/>
      <c r="AC590" s="253"/>
      <c r="AD590" s="253"/>
      <c r="AE590" s="253"/>
      <c r="AF590" s="253"/>
      <c r="AG590" s="253"/>
      <c r="AH590" s="253"/>
    </row>
    <row r="591">
      <c r="A591" s="253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  <c r="AA591" s="253"/>
      <c r="AB591" s="253"/>
      <c r="AC591" s="253"/>
      <c r="AD591" s="253"/>
      <c r="AE591" s="253"/>
      <c r="AF591" s="253"/>
      <c r="AG591" s="253"/>
      <c r="AH591" s="253"/>
    </row>
    <row r="592">
      <c r="A592" s="253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  <c r="AA592" s="253"/>
      <c r="AB592" s="253"/>
      <c r="AC592" s="253"/>
      <c r="AD592" s="253"/>
      <c r="AE592" s="253"/>
      <c r="AF592" s="253"/>
      <c r="AG592" s="253"/>
      <c r="AH592" s="253"/>
    </row>
    <row r="593">
      <c r="A593" s="253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  <c r="AA593" s="253"/>
      <c r="AB593" s="253"/>
      <c r="AC593" s="253"/>
      <c r="AD593" s="253"/>
      <c r="AE593" s="253"/>
      <c r="AF593" s="253"/>
      <c r="AG593" s="253"/>
      <c r="AH593" s="253"/>
    </row>
    <row r="594">
      <c r="A594" s="253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  <c r="AA594" s="253"/>
      <c r="AB594" s="253"/>
      <c r="AC594" s="253"/>
      <c r="AD594" s="253"/>
      <c r="AE594" s="253"/>
      <c r="AF594" s="253"/>
      <c r="AG594" s="253"/>
      <c r="AH594" s="253"/>
    </row>
    <row r="595">
      <c r="A595" s="253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  <c r="AA595" s="253"/>
      <c r="AB595" s="253"/>
      <c r="AC595" s="253"/>
      <c r="AD595" s="253"/>
      <c r="AE595" s="253"/>
      <c r="AF595" s="253"/>
      <c r="AG595" s="253"/>
      <c r="AH595" s="253"/>
    </row>
    <row r="596">
      <c r="A596" s="253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  <c r="AA596" s="253"/>
      <c r="AB596" s="253"/>
      <c r="AC596" s="253"/>
      <c r="AD596" s="253"/>
      <c r="AE596" s="253"/>
      <c r="AF596" s="253"/>
      <c r="AG596" s="253"/>
      <c r="AH596" s="253"/>
    </row>
    <row r="597">
      <c r="A597" s="253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  <c r="AA597" s="253"/>
      <c r="AB597" s="253"/>
      <c r="AC597" s="253"/>
      <c r="AD597" s="253"/>
      <c r="AE597" s="253"/>
      <c r="AF597" s="253"/>
      <c r="AG597" s="253"/>
      <c r="AH597" s="253"/>
    </row>
    <row r="598">
      <c r="A598" s="253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  <c r="AA598" s="253"/>
      <c r="AB598" s="253"/>
      <c r="AC598" s="253"/>
      <c r="AD598" s="253"/>
      <c r="AE598" s="253"/>
      <c r="AF598" s="253"/>
      <c r="AG598" s="253"/>
      <c r="AH598" s="253"/>
    </row>
    <row r="599">
      <c r="A599" s="253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  <c r="AA599" s="253"/>
      <c r="AB599" s="253"/>
      <c r="AC599" s="253"/>
      <c r="AD599" s="253"/>
      <c r="AE599" s="253"/>
      <c r="AF599" s="253"/>
      <c r="AG599" s="253"/>
      <c r="AH599" s="253"/>
    </row>
    <row r="600">
      <c r="A600" s="253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  <c r="AA600" s="253"/>
      <c r="AB600" s="253"/>
      <c r="AC600" s="253"/>
      <c r="AD600" s="253"/>
      <c r="AE600" s="253"/>
      <c r="AF600" s="253"/>
      <c r="AG600" s="253"/>
      <c r="AH600" s="253"/>
    </row>
    <row r="601">
      <c r="A601" s="253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  <c r="AA601" s="253"/>
      <c r="AB601" s="253"/>
      <c r="AC601" s="253"/>
      <c r="AD601" s="253"/>
      <c r="AE601" s="253"/>
      <c r="AF601" s="253"/>
      <c r="AG601" s="253"/>
      <c r="AH601" s="253"/>
    </row>
    <row r="602">
      <c r="A602" s="253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  <c r="AA602" s="253"/>
      <c r="AB602" s="253"/>
      <c r="AC602" s="253"/>
      <c r="AD602" s="253"/>
      <c r="AE602" s="253"/>
      <c r="AF602" s="253"/>
      <c r="AG602" s="253"/>
      <c r="AH602" s="253"/>
    </row>
    <row r="603">
      <c r="A603" s="253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  <c r="AA603" s="253"/>
      <c r="AB603" s="253"/>
      <c r="AC603" s="253"/>
      <c r="AD603" s="253"/>
      <c r="AE603" s="253"/>
      <c r="AF603" s="253"/>
      <c r="AG603" s="253"/>
      <c r="AH603" s="253"/>
    </row>
    <row r="604">
      <c r="A604" s="253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  <c r="AA604" s="253"/>
      <c r="AB604" s="253"/>
      <c r="AC604" s="253"/>
      <c r="AD604" s="253"/>
      <c r="AE604" s="253"/>
      <c r="AF604" s="253"/>
      <c r="AG604" s="253"/>
      <c r="AH604" s="253"/>
    </row>
    <row r="605">
      <c r="A605" s="253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  <c r="AA605" s="253"/>
      <c r="AB605" s="253"/>
      <c r="AC605" s="253"/>
      <c r="AD605" s="253"/>
      <c r="AE605" s="253"/>
      <c r="AF605" s="253"/>
      <c r="AG605" s="253"/>
      <c r="AH605" s="253"/>
    </row>
    <row r="606">
      <c r="A606" s="253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  <c r="AA606" s="253"/>
      <c r="AB606" s="253"/>
      <c r="AC606" s="253"/>
      <c r="AD606" s="253"/>
      <c r="AE606" s="253"/>
      <c r="AF606" s="253"/>
      <c r="AG606" s="253"/>
      <c r="AH606" s="253"/>
    </row>
    <row r="607">
      <c r="A607" s="253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  <c r="AA607" s="253"/>
      <c r="AB607" s="253"/>
      <c r="AC607" s="253"/>
      <c r="AD607" s="253"/>
      <c r="AE607" s="253"/>
      <c r="AF607" s="253"/>
      <c r="AG607" s="253"/>
      <c r="AH607" s="253"/>
    </row>
    <row r="608">
      <c r="A608" s="253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  <c r="AA608" s="253"/>
      <c r="AB608" s="253"/>
      <c r="AC608" s="253"/>
      <c r="AD608" s="253"/>
      <c r="AE608" s="253"/>
      <c r="AF608" s="253"/>
      <c r="AG608" s="253"/>
      <c r="AH608" s="253"/>
    </row>
    <row r="609">
      <c r="A609" s="253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  <c r="AA609" s="253"/>
      <c r="AB609" s="253"/>
      <c r="AC609" s="253"/>
      <c r="AD609" s="253"/>
      <c r="AE609" s="253"/>
      <c r="AF609" s="253"/>
      <c r="AG609" s="253"/>
      <c r="AH609" s="253"/>
    </row>
    <row r="610">
      <c r="A610" s="253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  <c r="AA610" s="253"/>
      <c r="AB610" s="253"/>
      <c r="AC610" s="253"/>
      <c r="AD610" s="253"/>
      <c r="AE610" s="253"/>
      <c r="AF610" s="253"/>
      <c r="AG610" s="253"/>
      <c r="AH610" s="253"/>
    </row>
    <row r="611">
      <c r="A611" s="253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  <c r="AA611" s="253"/>
      <c r="AB611" s="253"/>
      <c r="AC611" s="253"/>
      <c r="AD611" s="253"/>
      <c r="AE611" s="253"/>
      <c r="AF611" s="253"/>
      <c r="AG611" s="253"/>
      <c r="AH611" s="253"/>
    </row>
    <row r="612">
      <c r="A612" s="253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  <c r="AA612" s="253"/>
      <c r="AB612" s="253"/>
      <c r="AC612" s="253"/>
      <c r="AD612" s="253"/>
      <c r="AE612" s="253"/>
      <c r="AF612" s="253"/>
      <c r="AG612" s="253"/>
      <c r="AH612" s="253"/>
    </row>
    <row r="613">
      <c r="A613" s="253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  <c r="AA613" s="253"/>
      <c r="AB613" s="253"/>
      <c r="AC613" s="253"/>
      <c r="AD613" s="253"/>
      <c r="AE613" s="253"/>
      <c r="AF613" s="253"/>
      <c r="AG613" s="253"/>
      <c r="AH613" s="253"/>
    </row>
    <row r="614">
      <c r="A614" s="253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  <c r="AA614" s="253"/>
      <c r="AB614" s="253"/>
      <c r="AC614" s="253"/>
      <c r="AD614" s="253"/>
      <c r="AE614" s="253"/>
      <c r="AF614" s="253"/>
      <c r="AG614" s="253"/>
      <c r="AH614" s="253"/>
    </row>
    <row r="615">
      <c r="A615" s="253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  <c r="AA615" s="253"/>
      <c r="AB615" s="253"/>
      <c r="AC615" s="253"/>
      <c r="AD615" s="253"/>
      <c r="AE615" s="253"/>
      <c r="AF615" s="253"/>
      <c r="AG615" s="253"/>
      <c r="AH615" s="253"/>
    </row>
    <row r="616">
      <c r="A616" s="253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  <c r="AA616" s="253"/>
      <c r="AB616" s="253"/>
      <c r="AC616" s="253"/>
      <c r="AD616" s="253"/>
      <c r="AE616" s="253"/>
      <c r="AF616" s="253"/>
      <c r="AG616" s="253"/>
      <c r="AH616" s="253"/>
    </row>
    <row r="617">
      <c r="A617" s="253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  <c r="AA617" s="253"/>
      <c r="AB617" s="253"/>
      <c r="AC617" s="253"/>
      <c r="AD617" s="253"/>
      <c r="AE617" s="253"/>
      <c r="AF617" s="253"/>
      <c r="AG617" s="253"/>
      <c r="AH617" s="253"/>
    </row>
    <row r="618">
      <c r="A618" s="253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  <c r="AA618" s="253"/>
      <c r="AB618" s="253"/>
      <c r="AC618" s="253"/>
      <c r="AD618" s="253"/>
      <c r="AE618" s="253"/>
      <c r="AF618" s="253"/>
      <c r="AG618" s="253"/>
      <c r="AH618" s="253"/>
    </row>
    <row r="619">
      <c r="A619" s="253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  <c r="AA619" s="253"/>
      <c r="AB619" s="253"/>
      <c r="AC619" s="253"/>
      <c r="AD619" s="253"/>
      <c r="AE619" s="253"/>
      <c r="AF619" s="253"/>
      <c r="AG619" s="253"/>
      <c r="AH619" s="253"/>
    </row>
    <row r="620">
      <c r="A620" s="253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  <c r="AA620" s="253"/>
      <c r="AB620" s="253"/>
      <c r="AC620" s="253"/>
      <c r="AD620" s="253"/>
      <c r="AE620" s="253"/>
      <c r="AF620" s="253"/>
      <c r="AG620" s="253"/>
      <c r="AH620" s="253"/>
    </row>
    <row r="621">
      <c r="A621" s="253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  <c r="AA621" s="253"/>
      <c r="AB621" s="253"/>
      <c r="AC621" s="253"/>
      <c r="AD621" s="253"/>
      <c r="AE621" s="253"/>
      <c r="AF621" s="253"/>
      <c r="AG621" s="253"/>
      <c r="AH621" s="253"/>
    </row>
    <row r="622">
      <c r="A622" s="253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  <c r="AA622" s="253"/>
      <c r="AB622" s="253"/>
      <c r="AC622" s="253"/>
      <c r="AD622" s="253"/>
      <c r="AE622" s="253"/>
      <c r="AF622" s="253"/>
      <c r="AG622" s="253"/>
      <c r="AH622" s="253"/>
    </row>
    <row r="623">
      <c r="A623" s="253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  <c r="AA623" s="253"/>
      <c r="AB623" s="253"/>
      <c r="AC623" s="253"/>
      <c r="AD623" s="253"/>
      <c r="AE623" s="253"/>
      <c r="AF623" s="253"/>
      <c r="AG623" s="253"/>
      <c r="AH623" s="253"/>
    </row>
    <row r="624">
      <c r="A624" s="253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  <c r="AA624" s="253"/>
      <c r="AB624" s="253"/>
      <c r="AC624" s="253"/>
      <c r="AD624" s="253"/>
      <c r="AE624" s="253"/>
      <c r="AF624" s="253"/>
      <c r="AG624" s="253"/>
      <c r="AH624" s="253"/>
    </row>
    <row r="625">
      <c r="A625" s="253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  <c r="AA625" s="253"/>
      <c r="AB625" s="253"/>
      <c r="AC625" s="253"/>
      <c r="AD625" s="253"/>
      <c r="AE625" s="253"/>
      <c r="AF625" s="253"/>
      <c r="AG625" s="253"/>
      <c r="AH625" s="253"/>
    </row>
    <row r="626">
      <c r="A626" s="253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  <c r="AA626" s="253"/>
      <c r="AB626" s="253"/>
      <c r="AC626" s="253"/>
      <c r="AD626" s="253"/>
      <c r="AE626" s="253"/>
      <c r="AF626" s="253"/>
      <c r="AG626" s="253"/>
      <c r="AH626" s="253"/>
    </row>
    <row r="627">
      <c r="A627" s="253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  <c r="AA627" s="253"/>
      <c r="AB627" s="253"/>
      <c r="AC627" s="253"/>
      <c r="AD627" s="253"/>
      <c r="AE627" s="253"/>
      <c r="AF627" s="253"/>
      <c r="AG627" s="253"/>
      <c r="AH627" s="253"/>
    </row>
    <row r="628">
      <c r="A628" s="253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  <c r="AA628" s="253"/>
      <c r="AB628" s="253"/>
      <c r="AC628" s="253"/>
      <c r="AD628" s="253"/>
      <c r="AE628" s="253"/>
      <c r="AF628" s="253"/>
      <c r="AG628" s="253"/>
      <c r="AH628" s="253"/>
    </row>
    <row r="629">
      <c r="A629" s="253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  <c r="AA629" s="253"/>
      <c r="AB629" s="253"/>
      <c r="AC629" s="253"/>
      <c r="AD629" s="253"/>
      <c r="AE629" s="253"/>
      <c r="AF629" s="253"/>
      <c r="AG629" s="253"/>
      <c r="AH629" s="253"/>
    </row>
    <row r="630">
      <c r="A630" s="253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  <c r="AA630" s="253"/>
      <c r="AB630" s="253"/>
      <c r="AC630" s="253"/>
      <c r="AD630" s="253"/>
      <c r="AE630" s="253"/>
      <c r="AF630" s="253"/>
      <c r="AG630" s="253"/>
      <c r="AH630" s="253"/>
    </row>
    <row r="631">
      <c r="A631" s="253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  <c r="AA631" s="253"/>
      <c r="AB631" s="253"/>
      <c r="AC631" s="253"/>
      <c r="AD631" s="253"/>
      <c r="AE631" s="253"/>
      <c r="AF631" s="253"/>
      <c r="AG631" s="253"/>
      <c r="AH631" s="253"/>
    </row>
    <row r="632">
      <c r="A632" s="253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  <c r="AA632" s="253"/>
      <c r="AB632" s="253"/>
      <c r="AC632" s="253"/>
      <c r="AD632" s="253"/>
      <c r="AE632" s="253"/>
      <c r="AF632" s="253"/>
      <c r="AG632" s="253"/>
      <c r="AH632" s="253"/>
    </row>
    <row r="633">
      <c r="A633" s="253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  <c r="AA633" s="253"/>
      <c r="AB633" s="253"/>
      <c r="AC633" s="253"/>
      <c r="AD633" s="253"/>
      <c r="AE633" s="253"/>
      <c r="AF633" s="253"/>
      <c r="AG633" s="253"/>
      <c r="AH633" s="253"/>
    </row>
    <row r="634">
      <c r="A634" s="253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  <c r="AA634" s="253"/>
      <c r="AB634" s="253"/>
      <c r="AC634" s="253"/>
      <c r="AD634" s="253"/>
      <c r="AE634" s="253"/>
      <c r="AF634" s="253"/>
      <c r="AG634" s="253"/>
      <c r="AH634" s="253"/>
    </row>
    <row r="635">
      <c r="A635" s="253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  <c r="AA635" s="253"/>
      <c r="AB635" s="253"/>
      <c r="AC635" s="253"/>
      <c r="AD635" s="253"/>
      <c r="AE635" s="253"/>
      <c r="AF635" s="253"/>
      <c r="AG635" s="253"/>
      <c r="AH635" s="253"/>
    </row>
    <row r="636">
      <c r="A636" s="253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  <c r="AA636" s="253"/>
      <c r="AB636" s="253"/>
      <c r="AC636" s="253"/>
      <c r="AD636" s="253"/>
      <c r="AE636" s="253"/>
      <c r="AF636" s="253"/>
      <c r="AG636" s="253"/>
      <c r="AH636" s="253"/>
    </row>
    <row r="637">
      <c r="A637" s="253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  <c r="AA637" s="253"/>
      <c r="AB637" s="253"/>
      <c r="AC637" s="253"/>
      <c r="AD637" s="253"/>
      <c r="AE637" s="253"/>
      <c r="AF637" s="253"/>
      <c r="AG637" s="253"/>
      <c r="AH637" s="253"/>
    </row>
    <row r="638">
      <c r="A638" s="253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  <c r="AA638" s="253"/>
      <c r="AB638" s="253"/>
      <c r="AC638" s="253"/>
      <c r="AD638" s="253"/>
      <c r="AE638" s="253"/>
      <c r="AF638" s="253"/>
      <c r="AG638" s="253"/>
      <c r="AH638" s="253"/>
    </row>
    <row r="639">
      <c r="A639" s="253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  <c r="AA639" s="253"/>
      <c r="AB639" s="253"/>
      <c r="AC639" s="253"/>
      <c r="AD639" s="253"/>
      <c r="AE639" s="253"/>
      <c r="AF639" s="253"/>
      <c r="AG639" s="253"/>
      <c r="AH639" s="253"/>
    </row>
    <row r="640">
      <c r="A640" s="253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  <c r="AA640" s="253"/>
      <c r="AB640" s="253"/>
      <c r="AC640" s="253"/>
      <c r="AD640" s="253"/>
      <c r="AE640" s="253"/>
      <c r="AF640" s="253"/>
      <c r="AG640" s="253"/>
      <c r="AH640" s="253"/>
    </row>
    <row r="641">
      <c r="A641" s="253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  <c r="AA641" s="253"/>
      <c r="AB641" s="253"/>
      <c r="AC641" s="253"/>
      <c r="AD641" s="253"/>
      <c r="AE641" s="253"/>
      <c r="AF641" s="253"/>
      <c r="AG641" s="253"/>
      <c r="AH641" s="253"/>
    </row>
    <row r="642">
      <c r="A642" s="253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  <c r="AA642" s="253"/>
      <c r="AB642" s="253"/>
      <c r="AC642" s="253"/>
      <c r="AD642" s="253"/>
      <c r="AE642" s="253"/>
      <c r="AF642" s="253"/>
      <c r="AG642" s="253"/>
      <c r="AH642" s="253"/>
    </row>
    <row r="643">
      <c r="A643" s="253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  <c r="AA643" s="253"/>
      <c r="AB643" s="253"/>
      <c r="AC643" s="253"/>
      <c r="AD643" s="253"/>
      <c r="AE643" s="253"/>
      <c r="AF643" s="253"/>
      <c r="AG643" s="253"/>
      <c r="AH643" s="253"/>
    </row>
    <row r="644">
      <c r="A644" s="253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  <c r="AA644" s="253"/>
      <c r="AB644" s="253"/>
      <c r="AC644" s="253"/>
      <c r="AD644" s="253"/>
      <c r="AE644" s="253"/>
      <c r="AF644" s="253"/>
      <c r="AG644" s="253"/>
      <c r="AH644" s="253"/>
    </row>
    <row r="645">
      <c r="A645" s="253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  <c r="AA645" s="253"/>
      <c r="AB645" s="253"/>
      <c r="AC645" s="253"/>
      <c r="AD645" s="253"/>
      <c r="AE645" s="253"/>
      <c r="AF645" s="253"/>
      <c r="AG645" s="253"/>
      <c r="AH645" s="253"/>
    </row>
    <row r="646">
      <c r="A646" s="253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  <c r="AA646" s="253"/>
      <c r="AB646" s="253"/>
      <c r="AC646" s="253"/>
      <c r="AD646" s="253"/>
      <c r="AE646" s="253"/>
      <c r="AF646" s="253"/>
      <c r="AG646" s="253"/>
      <c r="AH646" s="253"/>
    </row>
    <row r="647">
      <c r="A647" s="253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  <c r="AA647" s="253"/>
      <c r="AB647" s="253"/>
      <c r="AC647" s="253"/>
      <c r="AD647" s="253"/>
      <c r="AE647" s="253"/>
      <c r="AF647" s="253"/>
      <c r="AG647" s="253"/>
      <c r="AH647" s="253"/>
    </row>
    <row r="648">
      <c r="A648" s="253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  <c r="AA648" s="253"/>
      <c r="AB648" s="253"/>
      <c r="AC648" s="253"/>
      <c r="AD648" s="253"/>
      <c r="AE648" s="253"/>
      <c r="AF648" s="253"/>
      <c r="AG648" s="253"/>
      <c r="AH648" s="253"/>
    </row>
    <row r="649">
      <c r="A649" s="253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  <c r="AA649" s="253"/>
      <c r="AB649" s="253"/>
      <c r="AC649" s="253"/>
      <c r="AD649" s="253"/>
      <c r="AE649" s="253"/>
      <c r="AF649" s="253"/>
      <c r="AG649" s="253"/>
      <c r="AH649" s="253"/>
    </row>
    <row r="650">
      <c r="A650" s="253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  <c r="AA650" s="253"/>
      <c r="AB650" s="253"/>
      <c r="AC650" s="253"/>
      <c r="AD650" s="253"/>
      <c r="AE650" s="253"/>
      <c r="AF650" s="253"/>
      <c r="AG650" s="253"/>
      <c r="AH650" s="253"/>
    </row>
    <row r="651">
      <c r="A651" s="253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  <c r="AA651" s="253"/>
      <c r="AB651" s="253"/>
      <c r="AC651" s="253"/>
      <c r="AD651" s="253"/>
      <c r="AE651" s="253"/>
      <c r="AF651" s="253"/>
      <c r="AG651" s="253"/>
      <c r="AH651" s="253"/>
    </row>
    <row r="652">
      <c r="A652" s="253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  <c r="AA652" s="253"/>
      <c r="AB652" s="253"/>
      <c r="AC652" s="253"/>
      <c r="AD652" s="253"/>
      <c r="AE652" s="253"/>
      <c r="AF652" s="253"/>
      <c r="AG652" s="253"/>
      <c r="AH652" s="253"/>
    </row>
    <row r="653">
      <c r="A653" s="253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  <c r="AA653" s="253"/>
      <c r="AB653" s="253"/>
      <c r="AC653" s="253"/>
      <c r="AD653" s="253"/>
      <c r="AE653" s="253"/>
      <c r="AF653" s="253"/>
      <c r="AG653" s="253"/>
      <c r="AH653" s="253"/>
    </row>
    <row r="654">
      <c r="A654" s="253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  <c r="AA654" s="253"/>
      <c r="AB654" s="253"/>
      <c r="AC654" s="253"/>
      <c r="AD654" s="253"/>
      <c r="AE654" s="253"/>
      <c r="AF654" s="253"/>
      <c r="AG654" s="253"/>
      <c r="AH654" s="253"/>
    </row>
    <row r="655">
      <c r="A655" s="253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  <c r="AA655" s="253"/>
      <c r="AB655" s="253"/>
      <c r="AC655" s="253"/>
      <c r="AD655" s="253"/>
      <c r="AE655" s="253"/>
      <c r="AF655" s="253"/>
      <c r="AG655" s="253"/>
      <c r="AH655" s="253"/>
    </row>
    <row r="656">
      <c r="A656" s="253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  <c r="AA656" s="253"/>
      <c r="AB656" s="253"/>
      <c r="AC656" s="253"/>
      <c r="AD656" s="253"/>
      <c r="AE656" s="253"/>
      <c r="AF656" s="253"/>
      <c r="AG656" s="253"/>
      <c r="AH656" s="253"/>
    </row>
    <row r="657">
      <c r="A657" s="253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  <c r="AA657" s="253"/>
      <c r="AB657" s="253"/>
      <c r="AC657" s="253"/>
      <c r="AD657" s="253"/>
      <c r="AE657" s="253"/>
      <c r="AF657" s="253"/>
      <c r="AG657" s="253"/>
      <c r="AH657" s="253"/>
    </row>
    <row r="658">
      <c r="A658" s="253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  <c r="AA658" s="253"/>
      <c r="AB658" s="253"/>
      <c r="AC658" s="253"/>
      <c r="AD658" s="253"/>
      <c r="AE658" s="253"/>
      <c r="AF658" s="253"/>
      <c r="AG658" s="253"/>
      <c r="AH658" s="253"/>
    </row>
    <row r="659">
      <c r="A659" s="253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  <c r="AA659" s="253"/>
      <c r="AB659" s="253"/>
      <c r="AC659" s="253"/>
      <c r="AD659" s="253"/>
      <c r="AE659" s="253"/>
      <c r="AF659" s="253"/>
      <c r="AG659" s="253"/>
      <c r="AH659" s="253"/>
    </row>
    <row r="660">
      <c r="A660" s="253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  <c r="AA660" s="253"/>
      <c r="AB660" s="253"/>
      <c r="AC660" s="253"/>
      <c r="AD660" s="253"/>
      <c r="AE660" s="253"/>
      <c r="AF660" s="253"/>
      <c r="AG660" s="253"/>
      <c r="AH660" s="253"/>
    </row>
    <row r="661">
      <c r="A661" s="253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  <c r="AA661" s="253"/>
      <c r="AB661" s="253"/>
      <c r="AC661" s="253"/>
      <c r="AD661" s="253"/>
      <c r="AE661" s="253"/>
      <c r="AF661" s="253"/>
      <c r="AG661" s="253"/>
      <c r="AH661" s="253"/>
    </row>
    <row r="662">
      <c r="A662" s="253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  <c r="AA662" s="253"/>
      <c r="AB662" s="253"/>
      <c r="AC662" s="253"/>
      <c r="AD662" s="253"/>
      <c r="AE662" s="253"/>
      <c r="AF662" s="253"/>
      <c r="AG662" s="253"/>
      <c r="AH662" s="253"/>
    </row>
    <row r="663">
      <c r="A663" s="253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  <c r="AA663" s="253"/>
      <c r="AB663" s="253"/>
      <c r="AC663" s="253"/>
      <c r="AD663" s="253"/>
      <c r="AE663" s="253"/>
      <c r="AF663" s="253"/>
      <c r="AG663" s="253"/>
      <c r="AH663" s="253"/>
    </row>
    <row r="664">
      <c r="A664" s="253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  <c r="AA664" s="253"/>
      <c r="AB664" s="253"/>
      <c r="AC664" s="253"/>
      <c r="AD664" s="253"/>
      <c r="AE664" s="253"/>
      <c r="AF664" s="253"/>
      <c r="AG664" s="253"/>
      <c r="AH664" s="253"/>
    </row>
    <row r="665">
      <c r="A665" s="253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  <c r="AA665" s="253"/>
      <c r="AB665" s="253"/>
      <c r="AC665" s="253"/>
      <c r="AD665" s="253"/>
      <c r="AE665" s="253"/>
      <c r="AF665" s="253"/>
      <c r="AG665" s="253"/>
      <c r="AH665" s="253"/>
    </row>
    <row r="666">
      <c r="A666" s="253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  <c r="AA666" s="253"/>
      <c r="AB666" s="253"/>
      <c r="AC666" s="253"/>
      <c r="AD666" s="253"/>
      <c r="AE666" s="253"/>
      <c r="AF666" s="253"/>
      <c r="AG666" s="253"/>
      <c r="AH666" s="253"/>
    </row>
    <row r="667">
      <c r="A667" s="253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  <c r="AA667" s="253"/>
      <c r="AB667" s="253"/>
      <c r="AC667" s="253"/>
      <c r="AD667" s="253"/>
      <c r="AE667" s="253"/>
      <c r="AF667" s="253"/>
      <c r="AG667" s="253"/>
      <c r="AH667" s="253"/>
    </row>
    <row r="668">
      <c r="A668" s="253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  <c r="AA668" s="253"/>
      <c r="AB668" s="253"/>
      <c r="AC668" s="253"/>
      <c r="AD668" s="253"/>
      <c r="AE668" s="253"/>
      <c r="AF668" s="253"/>
      <c r="AG668" s="253"/>
      <c r="AH668" s="253"/>
    </row>
    <row r="669">
      <c r="A669" s="253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  <c r="AD669" s="253"/>
      <c r="AE669" s="253"/>
      <c r="AF669" s="253"/>
      <c r="AG669" s="253"/>
      <c r="AH669" s="253"/>
    </row>
    <row r="670">
      <c r="A670" s="253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  <c r="AA670" s="253"/>
      <c r="AB670" s="253"/>
      <c r="AC670" s="253"/>
      <c r="AD670" s="253"/>
      <c r="AE670" s="253"/>
      <c r="AF670" s="253"/>
      <c r="AG670" s="253"/>
      <c r="AH670" s="253"/>
    </row>
    <row r="671">
      <c r="A671" s="253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53"/>
      <c r="AG671" s="253"/>
      <c r="AH671" s="253"/>
    </row>
    <row r="672">
      <c r="A672" s="253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53"/>
      <c r="AG672" s="253"/>
      <c r="AH672" s="253"/>
    </row>
    <row r="673">
      <c r="A673" s="253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53"/>
      <c r="AG673" s="253"/>
      <c r="AH673" s="253"/>
    </row>
    <row r="674">
      <c r="A674" s="253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53"/>
      <c r="AG674" s="253"/>
      <c r="AH674" s="253"/>
    </row>
    <row r="675">
      <c r="A675" s="253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53"/>
      <c r="AG675" s="253"/>
      <c r="AH675" s="253"/>
    </row>
    <row r="676">
      <c r="A676" s="253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53"/>
      <c r="AG676" s="253"/>
      <c r="AH676" s="253"/>
    </row>
    <row r="677">
      <c r="A677" s="253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53"/>
      <c r="AG677" s="253"/>
      <c r="AH677" s="253"/>
    </row>
    <row r="678">
      <c r="A678" s="253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53"/>
      <c r="AG678" s="253"/>
      <c r="AH678" s="253"/>
    </row>
    <row r="679">
      <c r="A679" s="253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53"/>
      <c r="AG679" s="253"/>
      <c r="AH679" s="253"/>
    </row>
    <row r="680">
      <c r="A680" s="253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  <c r="AA680" s="253"/>
      <c r="AB680" s="253"/>
      <c r="AC680" s="253"/>
      <c r="AD680" s="253"/>
      <c r="AE680" s="253"/>
      <c r="AF680" s="253"/>
      <c r="AG680" s="253"/>
      <c r="AH680" s="253"/>
    </row>
    <row r="681">
      <c r="A681" s="253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  <c r="AA681" s="253"/>
      <c r="AB681" s="253"/>
      <c r="AC681" s="253"/>
      <c r="AD681" s="253"/>
      <c r="AE681" s="253"/>
      <c r="AF681" s="253"/>
      <c r="AG681" s="253"/>
      <c r="AH681" s="253"/>
    </row>
    <row r="682">
      <c r="A682" s="253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  <c r="AA682" s="253"/>
      <c r="AB682" s="253"/>
      <c r="AC682" s="253"/>
      <c r="AD682" s="253"/>
      <c r="AE682" s="253"/>
      <c r="AF682" s="253"/>
      <c r="AG682" s="253"/>
      <c r="AH682" s="253"/>
    </row>
    <row r="683">
      <c r="A683" s="253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  <c r="AA683" s="253"/>
      <c r="AB683" s="253"/>
      <c r="AC683" s="253"/>
      <c r="AD683" s="253"/>
      <c r="AE683" s="253"/>
      <c r="AF683" s="253"/>
      <c r="AG683" s="253"/>
      <c r="AH683" s="253"/>
    </row>
    <row r="684">
      <c r="A684" s="253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  <c r="AA684" s="253"/>
      <c r="AB684" s="253"/>
      <c r="AC684" s="253"/>
      <c r="AD684" s="253"/>
      <c r="AE684" s="253"/>
      <c r="AF684" s="253"/>
      <c r="AG684" s="253"/>
      <c r="AH684" s="253"/>
    </row>
    <row r="685">
      <c r="A685" s="253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  <c r="AA685" s="253"/>
      <c r="AB685" s="253"/>
      <c r="AC685" s="253"/>
      <c r="AD685" s="253"/>
      <c r="AE685" s="253"/>
      <c r="AF685" s="253"/>
      <c r="AG685" s="253"/>
      <c r="AH685" s="253"/>
    </row>
    <row r="686">
      <c r="A686" s="253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  <c r="AA686" s="253"/>
      <c r="AB686" s="253"/>
      <c r="AC686" s="253"/>
      <c r="AD686" s="253"/>
      <c r="AE686" s="253"/>
      <c r="AF686" s="253"/>
      <c r="AG686" s="253"/>
      <c r="AH686" s="253"/>
    </row>
    <row r="687">
      <c r="A687" s="253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  <c r="AA687" s="253"/>
      <c r="AB687" s="253"/>
      <c r="AC687" s="253"/>
      <c r="AD687" s="253"/>
      <c r="AE687" s="253"/>
      <c r="AF687" s="253"/>
      <c r="AG687" s="253"/>
      <c r="AH687" s="253"/>
    </row>
    <row r="688">
      <c r="A688" s="253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  <c r="AA688" s="253"/>
      <c r="AB688" s="253"/>
      <c r="AC688" s="253"/>
      <c r="AD688" s="253"/>
      <c r="AE688" s="253"/>
      <c r="AF688" s="253"/>
      <c r="AG688" s="253"/>
      <c r="AH688" s="253"/>
    </row>
    <row r="689">
      <c r="A689" s="253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  <c r="AA689" s="253"/>
      <c r="AB689" s="253"/>
      <c r="AC689" s="253"/>
      <c r="AD689" s="253"/>
      <c r="AE689" s="253"/>
      <c r="AF689" s="253"/>
      <c r="AG689" s="253"/>
      <c r="AH689" s="253"/>
    </row>
    <row r="690">
      <c r="A690" s="253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  <c r="AA690" s="253"/>
      <c r="AB690" s="253"/>
      <c r="AC690" s="253"/>
      <c r="AD690" s="253"/>
      <c r="AE690" s="253"/>
      <c r="AF690" s="253"/>
      <c r="AG690" s="253"/>
      <c r="AH690" s="253"/>
    </row>
    <row r="691">
      <c r="A691" s="253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  <c r="AA691" s="253"/>
      <c r="AB691" s="253"/>
      <c r="AC691" s="253"/>
      <c r="AD691" s="253"/>
      <c r="AE691" s="253"/>
      <c r="AF691" s="253"/>
      <c r="AG691" s="253"/>
      <c r="AH691" s="253"/>
    </row>
    <row r="692">
      <c r="A692" s="253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  <c r="AA692" s="253"/>
      <c r="AB692" s="253"/>
      <c r="AC692" s="253"/>
      <c r="AD692" s="253"/>
      <c r="AE692" s="253"/>
      <c r="AF692" s="253"/>
      <c r="AG692" s="253"/>
      <c r="AH692" s="253"/>
    </row>
    <row r="693">
      <c r="A693" s="253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  <c r="AA693" s="253"/>
      <c r="AB693" s="253"/>
      <c r="AC693" s="253"/>
      <c r="AD693" s="253"/>
      <c r="AE693" s="253"/>
      <c r="AF693" s="253"/>
      <c r="AG693" s="253"/>
      <c r="AH693" s="253"/>
    </row>
    <row r="694">
      <c r="A694" s="253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  <c r="AA694" s="253"/>
      <c r="AB694" s="253"/>
      <c r="AC694" s="253"/>
      <c r="AD694" s="253"/>
      <c r="AE694" s="253"/>
      <c r="AF694" s="253"/>
      <c r="AG694" s="253"/>
      <c r="AH694" s="253"/>
    </row>
    <row r="695">
      <c r="A695" s="253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  <c r="AA695" s="253"/>
      <c r="AB695" s="253"/>
      <c r="AC695" s="253"/>
      <c r="AD695" s="253"/>
      <c r="AE695" s="253"/>
      <c r="AF695" s="253"/>
      <c r="AG695" s="253"/>
      <c r="AH695" s="253"/>
    </row>
    <row r="696">
      <c r="A696" s="253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  <c r="AA696" s="253"/>
      <c r="AB696" s="253"/>
      <c r="AC696" s="253"/>
      <c r="AD696" s="253"/>
      <c r="AE696" s="253"/>
      <c r="AF696" s="253"/>
      <c r="AG696" s="253"/>
      <c r="AH696" s="253"/>
    </row>
    <row r="697">
      <c r="A697" s="253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  <c r="AA697" s="253"/>
      <c r="AB697" s="253"/>
      <c r="AC697" s="253"/>
      <c r="AD697" s="253"/>
      <c r="AE697" s="253"/>
      <c r="AF697" s="253"/>
      <c r="AG697" s="253"/>
      <c r="AH697" s="253"/>
    </row>
    <row r="698">
      <c r="A698" s="253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  <c r="AA698" s="253"/>
      <c r="AB698" s="253"/>
      <c r="AC698" s="253"/>
      <c r="AD698" s="253"/>
      <c r="AE698" s="253"/>
      <c r="AF698" s="253"/>
      <c r="AG698" s="253"/>
      <c r="AH698" s="253"/>
    </row>
    <row r="699">
      <c r="A699" s="253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  <c r="AA699" s="253"/>
      <c r="AB699" s="253"/>
      <c r="AC699" s="253"/>
      <c r="AD699" s="253"/>
      <c r="AE699" s="253"/>
      <c r="AF699" s="253"/>
      <c r="AG699" s="253"/>
      <c r="AH699" s="253"/>
    </row>
    <row r="700">
      <c r="A700" s="253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  <c r="AA700" s="253"/>
      <c r="AB700" s="253"/>
      <c r="AC700" s="253"/>
      <c r="AD700" s="253"/>
      <c r="AE700" s="253"/>
      <c r="AF700" s="253"/>
      <c r="AG700" s="253"/>
      <c r="AH700" s="253"/>
    </row>
    <row r="701">
      <c r="A701" s="253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  <c r="AA701" s="253"/>
      <c r="AB701" s="253"/>
      <c r="AC701" s="253"/>
      <c r="AD701" s="253"/>
      <c r="AE701" s="253"/>
      <c r="AF701" s="253"/>
      <c r="AG701" s="253"/>
      <c r="AH701" s="253"/>
    </row>
    <row r="702">
      <c r="A702" s="253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  <c r="AA702" s="253"/>
      <c r="AB702" s="253"/>
      <c r="AC702" s="253"/>
      <c r="AD702" s="253"/>
      <c r="AE702" s="253"/>
      <c r="AF702" s="253"/>
      <c r="AG702" s="253"/>
      <c r="AH702" s="253"/>
    </row>
    <row r="703">
      <c r="A703" s="253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  <c r="AA703" s="253"/>
      <c r="AB703" s="253"/>
      <c r="AC703" s="253"/>
      <c r="AD703" s="253"/>
      <c r="AE703" s="253"/>
      <c r="AF703" s="253"/>
      <c r="AG703" s="253"/>
      <c r="AH703" s="253"/>
    </row>
    <row r="704">
      <c r="A704" s="253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  <c r="AA704" s="253"/>
      <c r="AB704" s="253"/>
      <c r="AC704" s="253"/>
      <c r="AD704" s="253"/>
      <c r="AE704" s="253"/>
      <c r="AF704" s="253"/>
      <c r="AG704" s="253"/>
      <c r="AH704" s="253"/>
    </row>
    <row r="705">
      <c r="A705" s="253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  <c r="AA705" s="253"/>
      <c r="AB705" s="253"/>
      <c r="AC705" s="253"/>
      <c r="AD705" s="253"/>
      <c r="AE705" s="253"/>
      <c r="AF705" s="253"/>
      <c r="AG705" s="253"/>
      <c r="AH705" s="253"/>
    </row>
    <row r="706">
      <c r="A706" s="253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  <c r="AA706" s="253"/>
      <c r="AB706" s="253"/>
      <c r="AC706" s="253"/>
      <c r="AD706" s="253"/>
      <c r="AE706" s="253"/>
      <c r="AF706" s="253"/>
      <c r="AG706" s="253"/>
      <c r="AH706" s="253"/>
    </row>
    <row r="707">
      <c r="A707" s="253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  <c r="AA707" s="253"/>
      <c r="AB707" s="253"/>
      <c r="AC707" s="253"/>
      <c r="AD707" s="253"/>
      <c r="AE707" s="253"/>
      <c r="AF707" s="253"/>
      <c r="AG707" s="253"/>
      <c r="AH707" s="253"/>
    </row>
    <row r="708">
      <c r="A708" s="253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  <c r="AA708" s="253"/>
      <c r="AB708" s="253"/>
      <c r="AC708" s="253"/>
      <c r="AD708" s="253"/>
      <c r="AE708" s="253"/>
      <c r="AF708" s="253"/>
      <c r="AG708" s="253"/>
      <c r="AH708" s="253"/>
    </row>
    <row r="709">
      <c r="A709" s="253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  <c r="AA709" s="253"/>
      <c r="AB709" s="253"/>
      <c r="AC709" s="253"/>
      <c r="AD709" s="253"/>
      <c r="AE709" s="253"/>
      <c r="AF709" s="253"/>
      <c r="AG709" s="253"/>
      <c r="AH709" s="253"/>
    </row>
    <row r="710">
      <c r="A710" s="253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  <c r="AA710" s="253"/>
      <c r="AB710" s="253"/>
      <c r="AC710" s="253"/>
      <c r="AD710" s="253"/>
      <c r="AE710" s="253"/>
      <c r="AF710" s="253"/>
      <c r="AG710" s="253"/>
      <c r="AH710" s="253"/>
    </row>
    <row r="711">
      <c r="A711" s="253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  <c r="AA711" s="253"/>
      <c r="AB711" s="253"/>
      <c r="AC711" s="253"/>
      <c r="AD711" s="253"/>
      <c r="AE711" s="253"/>
      <c r="AF711" s="253"/>
      <c r="AG711" s="253"/>
      <c r="AH711" s="253"/>
    </row>
    <row r="712">
      <c r="A712" s="253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  <c r="AA712" s="253"/>
      <c r="AB712" s="253"/>
      <c r="AC712" s="253"/>
      <c r="AD712" s="253"/>
      <c r="AE712" s="253"/>
      <c r="AF712" s="253"/>
      <c r="AG712" s="253"/>
      <c r="AH712" s="253"/>
    </row>
    <row r="713">
      <c r="A713" s="253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  <c r="AA713" s="253"/>
      <c r="AB713" s="253"/>
      <c r="AC713" s="253"/>
      <c r="AD713" s="253"/>
      <c r="AE713" s="253"/>
      <c r="AF713" s="253"/>
      <c r="AG713" s="253"/>
      <c r="AH713" s="253"/>
    </row>
    <row r="714">
      <c r="A714" s="253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  <c r="AA714" s="253"/>
      <c r="AB714" s="253"/>
      <c r="AC714" s="253"/>
      <c r="AD714" s="253"/>
      <c r="AE714" s="253"/>
      <c r="AF714" s="253"/>
      <c r="AG714" s="253"/>
      <c r="AH714" s="253"/>
    </row>
    <row r="715">
      <c r="A715" s="253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  <c r="AA715" s="253"/>
      <c r="AB715" s="253"/>
      <c r="AC715" s="253"/>
      <c r="AD715" s="253"/>
      <c r="AE715" s="253"/>
      <c r="AF715" s="253"/>
      <c r="AG715" s="253"/>
      <c r="AH715" s="253"/>
    </row>
    <row r="716">
      <c r="A716" s="253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  <c r="AA716" s="253"/>
      <c r="AB716" s="253"/>
      <c r="AC716" s="253"/>
      <c r="AD716" s="253"/>
      <c r="AE716" s="253"/>
      <c r="AF716" s="253"/>
      <c r="AG716" s="253"/>
      <c r="AH716" s="253"/>
    </row>
    <row r="717">
      <c r="A717" s="253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  <c r="AA717" s="253"/>
      <c r="AB717" s="253"/>
      <c r="AC717" s="253"/>
      <c r="AD717" s="253"/>
      <c r="AE717" s="253"/>
      <c r="AF717" s="253"/>
      <c r="AG717" s="253"/>
      <c r="AH717" s="253"/>
    </row>
    <row r="718">
      <c r="A718" s="253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  <c r="AA718" s="253"/>
      <c r="AB718" s="253"/>
      <c r="AC718" s="253"/>
      <c r="AD718" s="253"/>
      <c r="AE718" s="253"/>
      <c r="AF718" s="253"/>
      <c r="AG718" s="253"/>
      <c r="AH718" s="253"/>
    </row>
    <row r="719">
      <c r="A719" s="253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  <c r="AA719" s="253"/>
      <c r="AB719" s="253"/>
      <c r="AC719" s="253"/>
      <c r="AD719" s="253"/>
      <c r="AE719" s="253"/>
      <c r="AF719" s="253"/>
      <c r="AG719" s="253"/>
      <c r="AH719" s="253"/>
    </row>
    <row r="720">
      <c r="A720" s="253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  <c r="AA720" s="253"/>
      <c r="AB720" s="253"/>
      <c r="AC720" s="253"/>
      <c r="AD720" s="253"/>
      <c r="AE720" s="253"/>
      <c r="AF720" s="253"/>
      <c r="AG720" s="253"/>
      <c r="AH720" s="253"/>
    </row>
    <row r="721">
      <c r="A721" s="253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  <c r="AA721" s="253"/>
      <c r="AB721" s="253"/>
      <c r="AC721" s="253"/>
      <c r="AD721" s="253"/>
      <c r="AE721" s="253"/>
      <c r="AF721" s="253"/>
      <c r="AG721" s="253"/>
      <c r="AH721" s="253"/>
    </row>
    <row r="722">
      <c r="A722" s="253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  <c r="AA722" s="253"/>
      <c r="AB722" s="253"/>
      <c r="AC722" s="253"/>
      <c r="AD722" s="253"/>
      <c r="AE722" s="253"/>
      <c r="AF722" s="253"/>
      <c r="AG722" s="253"/>
      <c r="AH722" s="253"/>
    </row>
    <row r="723">
      <c r="A723" s="253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  <c r="AA723" s="253"/>
      <c r="AB723" s="253"/>
      <c r="AC723" s="253"/>
      <c r="AD723" s="253"/>
      <c r="AE723" s="253"/>
      <c r="AF723" s="253"/>
      <c r="AG723" s="253"/>
      <c r="AH723" s="253"/>
    </row>
    <row r="724">
      <c r="A724" s="253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  <c r="AA724" s="253"/>
      <c r="AB724" s="253"/>
      <c r="AC724" s="253"/>
      <c r="AD724" s="253"/>
      <c r="AE724" s="253"/>
      <c r="AF724" s="253"/>
      <c r="AG724" s="253"/>
      <c r="AH724" s="253"/>
    </row>
    <row r="725">
      <c r="A725" s="253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  <c r="AA725" s="253"/>
      <c r="AB725" s="253"/>
      <c r="AC725" s="253"/>
      <c r="AD725" s="253"/>
      <c r="AE725" s="253"/>
      <c r="AF725" s="253"/>
      <c r="AG725" s="253"/>
      <c r="AH725" s="253"/>
    </row>
    <row r="726">
      <c r="A726" s="253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  <c r="AA726" s="253"/>
      <c r="AB726" s="253"/>
      <c r="AC726" s="253"/>
      <c r="AD726" s="253"/>
      <c r="AE726" s="253"/>
      <c r="AF726" s="253"/>
      <c r="AG726" s="253"/>
      <c r="AH726" s="253"/>
    </row>
    <row r="727">
      <c r="A727" s="253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  <c r="AA727" s="253"/>
      <c r="AB727" s="253"/>
      <c r="AC727" s="253"/>
      <c r="AD727" s="253"/>
      <c r="AE727" s="253"/>
      <c r="AF727" s="253"/>
      <c r="AG727" s="253"/>
      <c r="AH727" s="253"/>
    </row>
    <row r="728">
      <c r="A728" s="253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  <c r="AA728" s="253"/>
      <c r="AB728" s="253"/>
      <c r="AC728" s="253"/>
      <c r="AD728" s="253"/>
      <c r="AE728" s="253"/>
      <c r="AF728" s="253"/>
      <c r="AG728" s="253"/>
      <c r="AH728" s="253"/>
    </row>
    <row r="729">
      <c r="A729" s="253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  <c r="AA729" s="253"/>
      <c r="AB729" s="253"/>
      <c r="AC729" s="253"/>
      <c r="AD729" s="253"/>
      <c r="AE729" s="253"/>
      <c r="AF729" s="253"/>
      <c r="AG729" s="253"/>
      <c r="AH729" s="253"/>
    </row>
    <row r="730">
      <c r="A730" s="253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  <c r="AA730" s="253"/>
      <c r="AB730" s="253"/>
      <c r="AC730" s="253"/>
      <c r="AD730" s="253"/>
      <c r="AE730" s="253"/>
      <c r="AF730" s="253"/>
      <c r="AG730" s="253"/>
      <c r="AH730" s="253"/>
    </row>
    <row r="731">
      <c r="A731" s="253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  <c r="AA731" s="253"/>
      <c r="AB731" s="253"/>
      <c r="AC731" s="253"/>
      <c r="AD731" s="253"/>
      <c r="AE731" s="253"/>
      <c r="AF731" s="253"/>
      <c r="AG731" s="253"/>
      <c r="AH731" s="253"/>
    </row>
    <row r="732">
      <c r="A732" s="253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  <c r="AA732" s="253"/>
      <c r="AB732" s="253"/>
      <c r="AC732" s="253"/>
      <c r="AD732" s="253"/>
      <c r="AE732" s="253"/>
      <c r="AF732" s="253"/>
      <c r="AG732" s="253"/>
      <c r="AH732" s="253"/>
    </row>
    <row r="733">
      <c r="A733" s="253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  <c r="AA733" s="253"/>
      <c r="AB733" s="253"/>
      <c r="AC733" s="253"/>
      <c r="AD733" s="253"/>
      <c r="AE733" s="253"/>
      <c r="AF733" s="253"/>
      <c r="AG733" s="253"/>
      <c r="AH733" s="253"/>
    </row>
    <row r="734">
      <c r="A734" s="253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  <c r="AA734" s="253"/>
      <c r="AB734" s="253"/>
      <c r="AC734" s="253"/>
      <c r="AD734" s="253"/>
      <c r="AE734" s="253"/>
      <c r="AF734" s="253"/>
      <c r="AG734" s="253"/>
      <c r="AH734" s="253"/>
    </row>
    <row r="735">
      <c r="A735" s="253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  <c r="AA735" s="253"/>
      <c r="AB735" s="253"/>
      <c r="AC735" s="253"/>
      <c r="AD735" s="253"/>
      <c r="AE735" s="253"/>
      <c r="AF735" s="253"/>
      <c r="AG735" s="253"/>
      <c r="AH735" s="253"/>
    </row>
    <row r="736">
      <c r="A736" s="253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  <c r="AA736" s="253"/>
      <c r="AB736" s="253"/>
      <c r="AC736" s="253"/>
      <c r="AD736" s="253"/>
      <c r="AE736" s="253"/>
      <c r="AF736" s="253"/>
      <c r="AG736" s="253"/>
      <c r="AH736" s="253"/>
    </row>
    <row r="737">
      <c r="A737" s="253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  <c r="AB737" s="253"/>
      <c r="AC737" s="253"/>
      <c r="AD737" s="253"/>
      <c r="AE737" s="253"/>
      <c r="AF737" s="253"/>
      <c r="AG737" s="253"/>
      <c r="AH737" s="253"/>
    </row>
    <row r="738">
      <c r="A738" s="253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  <c r="AA738" s="253"/>
      <c r="AB738" s="253"/>
      <c r="AC738" s="253"/>
      <c r="AD738" s="253"/>
      <c r="AE738" s="253"/>
      <c r="AF738" s="253"/>
      <c r="AG738" s="253"/>
      <c r="AH738" s="253"/>
    </row>
    <row r="739">
      <c r="A739" s="253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  <c r="AA739" s="253"/>
      <c r="AB739" s="253"/>
      <c r="AC739" s="253"/>
      <c r="AD739" s="253"/>
      <c r="AE739" s="253"/>
      <c r="AF739" s="253"/>
      <c r="AG739" s="253"/>
      <c r="AH739" s="253"/>
    </row>
    <row r="740">
      <c r="A740" s="253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  <c r="AA740" s="253"/>
      <c r="AB740" s="253"/>
      <c r="AC740" s="253"/>
      <c r="AD740" s="253"/>
      <c r="AE740" s="253"/>
      <c r="AF740" s="253"/>
      <c r="AG740" s="253"/>
      <c r="AH740" s="253"/>
    </row>
    <row r="741">
      <c r="A741" s="253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  <c r="AA741" s="253"/>
      <c r="AB741" s="253"/>
      <c r="AC741" s="253"/>
      <c r="AD741" s="253"/>
      <c r="AE741" s="253"/>
      <c r="AF741" s="253"/>
      <c r="AG741" s="253"/>
      <c r="AH741" s="253"/>
    </row>
    <row r="742">
      <c r="A742" s="253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  <c r="AA742" s="253"/>
      <c r="AB742" s="253"/>
      <c r="AC742" s="253"/>
      <c r="AD742" s="253"/>
      <c r="AE742" s="253"/>
      <c r="AF742" s="253"/>
      <c r="AG742" s="253"/>
      <c r="AH742" s="253"/>
    </row>
    <row r="743">
      <c r="A743" s="253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  <c r="AA743" s="253"/>
      <c r="AB743" s="253"/>
      <c r="AC743" s="253"/>
      <c r="AD743" s="253"/>
      <c r="AE743" s="253"/>
      <c r="AF743" s="253"/>
      <c r="AG743" s="253"/>
      <c r="AH743" s="253"/>
    </row>
    <row r="744">
      <c r="A744" s="253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  <c r="AA744" s="253"/>
      <c r="AB744" s="253"/>
      <c r="AC744" s="253"/>
      <c r="AD744" s="253"/>
      <c r="AE744" s="253"/>
      <c r="AF744" s="253"/>
      <c r="AG744" s="253"/>
      <c r="AH744" s="253"/>
    </row>
    <row r="745">
      <c r="A745" s="253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  <c r="AA745" s="253"/>
      <c r="AB745" s="253"/>
      <c r="AC745" s="253"/>
      <c r="AD745" s="253"/>
      <c r="AE745" s="253"/>
      <c r="AF745" s="253"/>
      <c r="AG745" s="253"/>
      <c r="AH745" s="253"/>
    </row>
    <row r="746">
      <c r="A746" s="253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  <c r="AA746" s="253"/>
      <c r="AB746" s="253"/>
      <c r="AC746" s="253"/>
      <c r="AD746" s="253"/>
      <c r="AE746" s="253"/>
      <c r="AF746" s="253"/>
      <c r="AG746" s="253"/>
      <c r="AH746" s="253"/>
    </row>
    <row r="747">
      <c r="A747" s="253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  <c r="AA747" s="253"/>
      <c r="AB747" s="253"/>
      <c r="AC747" s="253"/>
      <c r="AD747" s="253"/>
      <c r="AE747" s="253"/>
      <c r="AF747" s="253"/>
      <c r="AG747" s="253"/>
      <c r="AH747" s="253"/>
    </row>
    <row r="748">
      <c r="A748" s="253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  <c r="AA748" s="253"/>
      <c r="AB748" s="253"/>
      <c r="AC748" s="253"/>
      <c r="AD748" s="253"/>
      <c r="AE748" s="253"/>
      <c r="AF748" s="253"/>
      <c r="AG748" s="253"/>
      <c r="AH748" s="253"/>
    </row>
    <row r="749">
      <c r="A749" s="253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  <c r="AA749" s="253"/>
      <c r="AB749" s="253"/>
      <c r="AC749" s="253"/>
      <c r="AD749" s="253"/>
      <c r="AE749" s="253"/>
      <c r="AF749" s="253"/>
      <c r="AG749" s="253"/>
      <c r="AH749" s="253"/>
    </row>
    <row r="750">
      <c r="A750" s="253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  <c r="AA750" s="253"/>
      <c r="AB750" s="253"/>
      <c r="AC750" s="253"/>
      <c r="AD750" s="253"/>
      <c r="AE750" s="253"/>
      <c r="AF750" s="253"/>
      <c r="AG750" s="253"/>
      <c r="AH750" s="253"/>
    </row>
    <row r="751">
      <c r="A751" s="253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  <c r="AA751" s="253"/>
      <c r="AB751" s="253"/>
      <c r="AC751" s="253"/>
      <c r="AD751" s="253"/>
      <c r="AE751" s="253"/>
      <c r="AF751" s="253"/>
      <c r="AG751" s="253"/>
      <c r="AH751" s="253"/>
    </row>
    <row r="752">
      <c r="A752" s="253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  <c r="AA752" s="253"/>
      <c r="AB752" s="253"/>
      <c r="AC752" s="253"/>
      <c r="AD752" s="253"/>
      <c r="AE752" s="253"/>
      <c r="AF752" s="253"/>
      <c r="AG752" s="253"/>
      <c r="AH752" s="253"/>
    </row>
    <row r="753">
      <c r="A753" s="253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  <c r="AA753" s="253"/>
      <c r="AB753" s="253"/>
      <c r="AC753" s="253"/>
      <c r="AD753" s="253"/>
      <c r="AE753" s="253"/>
      <c r="AF753" s="253"/>
      <c r="AG753" s="253"/>
      <c r="AH753" s="253"/>
    </row>
    <row r="754">
      <c r="A754" s="253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  <c r="AA754" s="253"/>
      <c r="AB754" s="253"/>
      <c r="AC754" s="253"/>
      <c r="AD754" s="253"/>
      <c r="AE754" s="253"/>
      <c r="AF754" s="253"/>
      <c r="AG754" s="253"/>
      <c r="AH754" s="253"/>
    </row>
    <row r="755">
      <c r="A755" s="253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  <c r="AA755" s="253"/>
      <c r="AB755" s="253"/>
      <c r="AC755" s="253"/>
      <c r="AD755" s="253"/>
      <c r="AE755" s="253"/>
      <c r="AF755" s="253"/>
      <c r="AG755" s="253"/>
      <c r="AH755" s="253"/>
    </row>
    <row r="756">
      <c r="A756" s="253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  <c r="AA756" s="253"/>
      <c r="AB756" s="253"/>
      <c r="AC756" s="253"/>
      <c r="AD756" s="253"/>
      <c r="AE756" s="253"/>
      <c r="AF756" s="253"/>
      <c r="AG756" s="253"/>
      <c r="AH756" s="253"/>
    </row>
    <row r="757">
      <c r="A757" s="253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  <c r="AA757" s="253"/>
      <c r="AB757" s="253"/>
      <c r="AC757" s="253"/>
      <c r="AD757" s="253"/>
      <c r="AE757" s="253"/>
      <c r="AF757" s="253"/>
      <c r="AG757" s="253"/>
      <c r="AH757" s="253"/>
    </row>
    <row r="758">
      <c r="A758" s="253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  <c r="AA758" s="253"/>
      <c r="AB758" s="253"/>
      <c r="AC758" s="253"/>
      <c r="AD758" s="253"/>
      <c r="AE758" s="253"/>
      <c r="AF758" s="253"/>
      <c r="AG758" s="253"/>
      <c r="AH758" s="253"/>
    </row>
    <row r="759">
      <c r="A759" s="253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  <c r="AA759" s="253"/>
      <c r="AB759" s="253"/>
      <c r="AC759" s="253"/>
      <c r="AD759" s="253"/>
      <c r="AE759" s="253"/>
      <c r="AF759" s="253"/>
      <c r="AG759" s="253"/>
      <c r="AH759" s="253"/>
    </row>
    <row r="760">
      <c r="A760" s="253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  <c r="AA760" s="253"/>
      <c r="AB760" s="253"/>
      <c r="AC760" s="253"/>
      <c r="AD760" s="253"/>
      <c r="AE760" s="253"/>
      <c r="AF760" s="253"/>
      <c r="AG760" s="253"/>
      <c r="AH760" s="253"/>
    </row>
    <row r="761">
      <c r="A761" s="253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  <c r="AA761" s="253"/>
      <c r="AB761" s="253"/>
      <c r="AC761" s="253"/>
      <c r="AD761" s="253"/>
      <c r="AE761" s="253"/>
      <c r="AF761" s="253"/>
      <c r="AG761" s="253"/>
      <c r="AH761" s="253"/>
    </row>
    <row r="762">
      <c r="A762" s="253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  <c r="AA762" s="253"/>
      <c r="AB762" s="253"/>
      <c r="AC762" s="253"/>
      <c r="AD762" s="253"/>
      <c r="AE762" s="253"/>
      <c r="AF762" s="253"/>
      <c r="AG762" s="253"/>
      <c r="AH762" s="253"/>
    </row>
    <row r="763">
      <c r="A763" s="253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  <c r="AA763" s="253"/>
      <c r="AB763" s="253"/>
      <c r="AC763" s="253"/>
      <c r="AD763" s="253"/>
      <c r="AE763" s="253"/>
      <c r="AF763" s="253"/>
      <c r="AG763" s="253"/>
      <c r="AH763" s="253"/>
    </row>
    <row r="764">
      <c r="A764" s="253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  <c r="AA764" s="253"/>
      <c r="AB764" s="253"/>
      <c r="AC764" s="253"/>
      <c r="AD764" s="253"/>
      <c r="AE764" s="253"/>
      <c r="AF764" s="253"/>
      <c r="AG764" s="253"/>
      <c r="AH764" s="253"/>
    </row>
    <row r="765">
      <c r="A765" s="253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  <c r="AA765" s="253"/>
      <c r="AB765" s="253"/>
      <c r="AC765" s="253"/>
      <c r="AD765" s="253"/>
      <c r="AE765" s="253"/>
      <c r="AF765" s="253"/>
      <c r="AG765" s="253"/>
      <c r="AH765" s="253"/>
    </row>
    <row r="766">
      <c r="A766" s="253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  <c r="AA766" s="253"/>
      <c r="AB766" s="253"/>
      <c r="AC766" s="253"/>
      <c r="AD766" s="253"/>
      <c r="AE766" s="253"/>
      <c r="AF766" s="253"/>
      <c r="AG766" s="253"/>
      <c r="AH766" s="253"/>
    </row>
    <row r="767">
      <c r="A767" s="253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  <c r="AA767" s="253"/>
      <c r="AB767" s="253"/>
      <c r="AC767" s="253"/>
      <c r="AD767" s="253"/>
      <c r="AE767" s="253"/>
      <c r="AF767" s="253"/>
      <c r="AG767" s="253"/>
      <c r="AH767" s="253"/>
    </row>
    <row r="768">
      <c r="A768" s="253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  <c r="AA768" s="253"/>
      <c r="AB768" s="253"/>
      <c r="AC768" s="253"/>
      <c r="AD768" s="253"/>
      <c r="AE768" s="253"/>
      <c r="AF768" s="253"/>
      <c r="AG768" s="253"/>
      <c r="AH768" s="253"/>
    </row>
    <row r="769">
      <c r="A769" s="253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  <c r="AA769" s="253"/>
      <c r="AB769" s="253"/>
      <c r="AC769" s="253"/>
      <c r="AD769" s="253"/>
      <c r="AE769" s="253"/>
      <c r="AF769" s="253"/>
      <c r="AG769" s="253"/>
      <c r="AH769" s="253"/>
    </row>
    <row r="770">
      <c r="A770" s="253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  <c r="AA770" s="253"/>
      <c r="AB770" s="253"/>
      <c r="AC770" s="253"/>
      <c r="AD770" s="253"/>
      <c r="AE770" s="253"/>
      <c r="AF770" s="253"/>
      <c r="AG770" s="253"/>
      <c r="AH770" s="253"/>
    </row>
    <row r="771">
      <c r="A771" s="253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  <c r="AA771" s="253"/>
      <c r="AB771" s="253"/>
      <c r="AC771" s="253"/>
      <c r="AD771" s="253"/>
      <c r="AE771" s="253"/>
      <c r="AF771" s="253"/>
      <c r="AG771" s="253"/>
      <c r="AH771" s="253"/>
    </row>
    <row r="772">
      <c r="A772" s="253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  <c r="AA772" s="253"/>
      <c r="AB772" s="253"/>
      <c r="AC772" s="253"/>
      <c r="AD772" s="253"/>
      <c r="AE772" s="253"/>
      <c r="AF772" s="253"/>
      <c r="AG772" s="253"/>
      <c r="AH772" s="253"/>
    </row>
    <row r="773">
      <c r="A773" s="253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  <c r="AA773" s="253"/>
      <c r="AB773" s="253"/>
      <c r="AC773" s="253"/>
      <c r="AD773" s="253"/>
      <c r="AE773" s="253"/>
      <c r="AF773" s="253"/>
      <c r="AG773" s="253"/>
      <c r="AH773" s="253"/>
    </row>
    <row r="774">
      <c r="A774" s="253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  <c r="AA774" s="253"/>
      <c r="AB774" s="253"/>
      <c r="AC774" s="253"/>
      <c r="AD774" s="253"/>
      <c r="AE774" s="253"/>
      <c r="AF774" s="253"/>
      <c r="AG774" s="253"/>
      <c r="AH774" s="253"/>
    </row>
    <row r="775">
      <c r="A775" s="253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  <c r="AA775" s="253"/>
      <c r="AB775" s="253"/>
      <c r="AC775" s="253"/>
      <c r="AD775" s="253"/>
      <c r="AE775" s="253"/>
      <c r="AF775" s="253"/>
      <c r="AG775" s="253"/>
      <c r="AH775" s="253"/>
    </row>
    <row r="776">
      <c r="A776" s="253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  <c r="AA776" s="253"/>
      <c r="AB776" s="253"/>
      <c r="AC776" s="253"/>
      <c r="AD776" s="253"/>
      <c r="AE776" s="253"/>
      <c r="AF776" s="253"/>
      <c r="AG776" s="253"/>
      <c r="AH776" s="253"/>
    </row>
    <row r="777">
      <c r="A777" s="253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  <c r="AA777" s="253"/>
      <c r="AB777" s="253"/>
      <c r="AC777" s="253"/>
      <c r="AD777" s="253"/>
      <c r="AE777" s="253"/>
      <c r="AF777" s="253"/>
      <c r="AG777" s="253"/>
      <c r="AH777" s="253"/>
    </row>
    <row r="778">
      <c r="A778" s="253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  <c r="AA778" s="253"/>
      <c r="AB778" s="253"/>
      <c r="AC778" s="253"/>
      <c r="AD778" s="253"/>
      <c r="AE778" s="253"/>
      <c r="AF778" s="253"/>
      <c r="AG778" s="253"/>
      <c r="AH778" s="253"/>
    </row>
    <row r="779">
      <c r="A779" s="253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  <c r="AA779" s="253"/>
      <c r="AB779" s="253"/>
      <c r="AC779" s="253"/>
      <c r="AD779" s="253"/>
      <c r="AE779" s="253"/>
      <c r="AF779" s="253"/>
      <c r="AG779" s="253"/>
      <c r="AH779" s="253"/>
    </row>
    <row r="780">
      <c r="A780" s="253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  <c r="AA780" s="253"/>
      <c r="AB780" s="253"/>
      <c r="AC780" s="253"/>
      <c r="AD780" s="253"/>
      <c r="AE780" s="253"/>
      <c r="AF780" s="253"/>
      <c r="AG780" s="253"/>
      <c r="AH780" s="253"/>
    </row>
    <row r="781">
      <c r="A781" s="253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  <c r="AA781" s="253"/>
      <c r="AB781" s="253"/>
      <c r="AC781" s="253"/>
      <c r="AD781" s="253"/>
      <c r="AE781" s="253"/>
      <c r="AF781" s="253"/>
      <c r="AG781" s="253"/>
      <c r="AH781" s="253"/>
    </row>
    <row r="782">
      <c r="A782" s="253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  <c r="AA782" s="253"/>
      <c r="AB782" s="253"/>
      <c r="AC782" s="253"/>
      <c r="AD782" s="253"/>
      <c r="AE782" s="253"/>
      <c r="AF782" s="253"/>
      <c r="AG782" s="253"/>
      <c r="AH782" s="253"/>
    </row>
    <row r="783">
      <c r="A783" s="253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  <c r="AA783" s="253"/>
      <c r="AB783" s="253"/>
      <c r="AC783" s="253"/>
      <c r="AD783" s="253"/>
      <c r="AE783" s="253"/>
      <c r="AF783" s="253"/>
      <c r="AG783" s="253"/>
      <c r="AH783" s="253"/>
    </row>
    <row r="784">
      <c r="A784" s="253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  <c r="AA784" s="253"/>
      <c r="AB784" s="253"/>
      <c r="AC784" s="253"/>
      <c r="AD784" s="253"/>
      <c r="AE784" s="253"/>
      <c r="AF784" s="253"/>
      <c r="AG784" s="253"/>
      <c r="AH784" s="253"/>
    </row>
    <row r="785">
      <c r="A785" s="253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  <c r="AA785" s="253"/>
      <c r="AB785" s="253"/>
      <c r="AC785" s="253"/>
      <c r="AD785" s="253"/>
      <c r="AE785" s="253"/>
      <c r="AF785" s="253"/>
      <c r="AG785" s="253"/>
      <c r="AH785" s="253"/>
    </row>
    <row r="786">
      <c r="A786" s="253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  <c r="AA786" s="253"/>
      <c r="AB786" s="253"/>
      <c r="AC786" s="253"/>
      <c r="AD786" s="253"/>
      <c r="AE786" s="253"/>
      <c r="AF786" s="253"/>
      <c r="AG786" s="253"/>
      <c r="AH786" s="253"/>
    </row>
    <row r="787">
      <c r="A787" s="253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  <c r="AA787" s="253"/>
      <c r="AB787" s="253"/>
      <c r="AC787" s="253"/>
      <c r="AD787" s="253"/>
      <c r="AE787" s="253"/>
      <c r="AF787" s="253"/>
      <c r="AG787" s="253"/>
      <c r="AH787" s="253"/>
    </row>
    <row r="788">
      <c r="A788" s="253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  <c r="AA788" s="253"/>
      <c r="AB788" s="253"/>
      <c r="AC788" s="253"/>
      <c r="AD788" s="253"/>
      <c r="AE788" s="253"/>
      <c r="AF788" s="253"/>
      <c r="AG788" s="253"/>
      <c r="AH788" s="253"/>
    </row>
    <row r="789">
      <c r="A789" s="253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  <c r="AA789" s="253"/>
      <c r="AB789" s="253"/>
      <c r="AC789" s="253"/>
      <c r="AD789" s="253"/>
      <c r="AE789" s="253"/>
      <c r="AF789" s="253"/>
      <c r="AG789" s="253"/>
      <c r="AH789" s="253"/>
    </row>
    <row r="790">
      <c r="A790" s="253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  <c r="AA790" s="253"/>
      <c r="AB790" s="253"/>
      <c r="AC790" s="253"/>
      <c r="AD790" s="253"/>
      <c r="AE790" s="253"/>
      <c r="AF790" s="253"/>
      <c r="AG790" s="253"/>
      <c r="AH790" s="253"/>
    </row>
    <row r="791">
      <c r="A791" s="253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  <c r="AA791" s="253"/>
      <c r="AB791" s="253"/>
      <c r="AC791" s="253"/>
      <c r="AD791" s="253"/>
      <c r="AE791" s="253"/>
      <c r="AF791" s="253"/>
      <c r="AG791" s="253"/>
      <c r="AH791" s="253"/>
    </row>
    <row r="792">
      <c r="A792" s="253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  <c r="AA792" s="253"/>
      <c r="AB792" s="253"/>
      <c r="AC792" s="253"/>
      <c r="AD792" s="253"/>
      <c r="AE792" s="253"/>
      <c r="AF792" s="253"/>
      <c r="AG792" s="253"/>
      <c r="AH792" s="253"/>
    </row>
    <row r="793">
      <c r="A793" s="253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  <c r="AA793" s="253"/>
      <c r="AB793" s="253"/>
      <c r="AC793" s="253"/>
      <c r="AD793" s="253"/>
      <c r="AE793" s="253"/>
      <c r="AF793" s="253"/>
      <c r="AG793" s="253"/>
      <c r="AH793" s="253"/>
    </row>
    <row r="794">
      <c r="A794" s="253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  <c r="AA794" s="253"/>
      <c r="AB794" s="253"/>
      <c r="AC794" s="253"/>
      <c r="AD794" s="253"/>
      <c r="AE794" s="253"/>
      <c r="AF794" s="253"/>
      <c r="AG794" s="253"/>
      <c r="AH794" s="253"/>
    </row>
    <row r="795">
      <c r="A795" s="253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  <c r="AA795" s="253"/>
      <c r="AB795" s="253"/>
      <c r="AC795" s="253"/>
      <c r="AD795" s="253"/>
      <c r="AE795" s="253"/>
      <c r="AF795" s="253"/>
      <c r="AG795" s="253"/>
      <c r="AH795" s="253"/>
    </row>
    <row r="796">
      <c r="A796" s="253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  <c r="AA796" s="253"/>
      <c r="AB796" s="253"/>
      <c r="AC796" s="253"/>
      <c r="AD796" s="253"/>
      <c r="AE796" s="253"/>
      <c r="AF796" s="253"/>
      <c r="AG796" s="253"/>
      <c r="AH796" s="253"/>
    </row>
    <row r="797">
      <c r="A797" s="253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  <c r="AA797" s="253"/>
      <c r="AB797" s="253"/>
      <c r="AC797" s="253"/>
      <c r="AD797" s="253"/>
      <c r="AE797" s="253"/>
      <c r="AF797" s="253"/>
      <c r="AG797" s="253"/>
      <c r="AH797" s="253"/>
    </row>
    <row r="798">
      <c r="A798" s="253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  <c r="AA798" s="253"/>
      <c r="AB798" s="253"/>
      <c r="AC798" s="253"/>
      <c r="AD798" s="253"/>
      <c r="AE798" s="253"/>
      <c r="AF798" s="253"/>
      <c r="AG798" s="253"/>
      <c r="AH798" s="253"/>
    </row>
    <row r="799">
      <c r="A799" s="253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  <c r="AA799" s="253"/>
      <c r="AB799" s="253"/>
      <c r="AC799" s="253"/>
      <c r="AD799" s="253"/>
      <c r="AE799" s="253"/>
      <c r="AF799" s="253"/>
      <c r="AG799" s="253"/>
      <c r="AH799" s="253"/>
    </row>
    <row r="800">
      <c r="A800" s="253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  <c r="AA800" s="253"/>
      <c r="AB800" s="253"/>
      <c r="AC800" s="253"/>
      <c r="AD800" s="253"/>
      <c r="AE800" s="253"/>
      <c r="AF800" s="253"/>
      <c r="AG800" s="253"/>
      <c r="AH800" s="253"/>
    </row>
    <row r="801">
      <c r="A801" s="253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  <c r="AA801" s="253"/>
      <c r="AB801" s="253"/>
      <c r="AC801" s="253"/>
      <c r="AD801" s="253"/>
      <c r="AE801" s="253"/>
      <c r="AF801" s="253"/>
      <c r="AG801" s="253"/>
      <c r="AH801" s="253"/>
    </row>
    <row r="802">
      <c r="A802" s="253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  <c r="AA802" s="253"/>
      <c r="AB802" s="253"/>
      <c r="AC802" s="253"/>
      <c r="AD802" s="253"/>
      <c r="AE802" s="253"/>
      <c r="AF802" s="253"/>
      <c r="AG802" s="253"/>
      <c r="AH802" s="253"/>
    </row>
    <row r="803">
      <c r="A803" s="253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  <c r="AA803" s="253"/>
      <c r="AB803" s="253"/>
      <c r="AC803" s="253"/>
      <c r="AD803" s="253"/>
      <c r="AE803" s="253"/>
      <c r="AF803" s="253"/>
      <c r="AG803" s="253"/>
      <c r="AH803" s="253"/>
    </row>
    <row r="804">
      <c r="A804" s="253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  <c r="AA804" s="253"/>
      <c r="AB804" s="253"/>
      <c r="AC804" s="253"/>
      <c r="AD804" s="253"/>
      <c r="AE804" s="253"/>
      <c r="AF804" s="253"/>
      <c r="AG804" s="253"/>
      <c r="AH804" s="253"/>
    </row>
    <row r="805">
      <c r="A805" s="253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  <c r="AA805" s="253"/>
      <c r="AB805" s="253"/>
      <c r="AC805" s="253"/>
      <c r="AD805" s="253"/>
      <c r="AE805" s="253"/>
      <c r="AF805" s="253"/>
      <c r="AG805" s="253"/>
      <c r="AH805" s="253"/>
    </row>
    <row r="806">
      <c r="A806" s="253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  <c r="AA806" s="253"/>
      <c r="AB806" s="253"/>
      <c r="AC806" s="253"/>
      <c r="AD806" s="253"/>
      <c r="AE806" s="253"/>
      <c r="AF806" s="253"/>
      <c r="AG806" s="253"/>
      <c r="AH806" s="253"/>
    </row>
    <row r="807">
      <c r="A807" s="253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  <c r="AA807" s="253"/>
      <c r="AB807" s="253"/>
      <c r="AC807" s="253"/>
      <c r="AD807" s="253"/>
      <c r="AE807" s="253"/>
      <c r="AF807" s="253"/>
      <c r="AG807" s="253"/>
      <c r="AH807" s="253"/>
    </row>
    <row r="808">
      <c r="A808" s="253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  <c r="AA808" s="253"/>
      <c r="AB808" s="253"/>
      <c r="AC808" s="253"/>
      <c r="AD808" s="253"/>
      <c r="AE808" s="253"/>
      <c r="AF808" s="253"/>
      <c r="AG808" s="253"/>
      <c r="AH808" s="253"/>
    </row>
    <row r="809">
      <c r="A809" s="253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  <c r="AA809" s="253"/>
      <c r="AB809" s="253"/>
      <c r="AC809" s="253"/>
      <c r="AD809" s="253"/>
      <c r="AE809" s="253"/>
      <c r="AF809" s="253"/>
      <c r="AG809" s="253"/>
      <c r="AH809" s="253"/>
    </row>
    <row r="810">
      <c r="A810" s="253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  <c r="AA810" s="253"/>
      <c r="AB810" s="253"/>
      <c r="AC810" s="253"/>
      <c r="AD810" s="253"/>
      <c r="AE810" s="253"/>
      <c r="AF810" s="253"/>
      <c r="AG810" s="253"/>
      <c r="AH810" s="253"/>
    </row>
    <row r="811">
      <c r="A811" s="253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  <c r="AA811" s="253"/>
      <c r="AB811" s="253"/>
      <c r="AC811" s="253"/>
      <c r="AD811" s="253"/>
      <c r="AE811" s="253"/>
      <c r="AF811" s="253"/>
      <c r="AG811" s="253"/>
      <c r="AH811" s="253"/>
    </row>
    <row r="812">
      <c r="A812" s="253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  <c r="AA812" s="253"/>
      <c r="AB812" s="253"/>
      <c r="AC812" s="253"/>
      <c r="AD812" s="253"/>
      <c r="AE812" s="253"/>
      <c r="AF812" s="253"/>
      <c r="AG812" s="253"/>
      <c r="AH812" s="253"/>
    </row>
    <row r="813">
      <c r="A813" s="253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  <c r="AA813" s="253"/>
      <c r="AB813" s="253"/>
      <c r="AC813" s="253"/>
      <c r="AD813" s="253"/>
      <c r="AE813" s="253"/>
      <c r="AF813" s="253"/>
      <c r="AG813" s="253"/>
      <c r="AH813" s="253"/>
    </row>
    <row r="814">
      <c r="A814" s="253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  <c r="AA814" s="253"/>
      <c r="AB814" s="253"/>
      <c r="AC814" s="253"/>
      <c r="AD814" s="253"/>
      <c r="AE814" s="253"/>
      <c r="AF814" s="253"/>
      <c r="AG814" s="253"/>
      <c r="AH814" s="253"/>
    </row>
    <row r="815">
      <c r="A815" s="253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  <c r="AA815" s="253"/>
      <c r="AB815" s="253"/>
      <c r="AC815" s="253"/>
      <c r="AD815" s="253"/>
      <c r="AE815" s="253"/>
      <c r="AF815" s="253"/>
      <c r="AG815" s="253"/>
      <c r="AH815" s="253"/>
    </row>
    <row r="816">
      <c r="A816" s="253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  <c r="AA816" s="253"/>
      <c r="AB816" s="253"/>
      <c r="AC816" s="253"/>
      <c r="AD816" s="253"/>
      <c r="AE816" s="253"/>
      <c r="AF816" s="253"/>
      <c r="AG816" s="253"/>
      <c r="AH816" s="253"/>
    </row>
    <row r="817">
      <c r="A817" s="253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  <c r="AA817" s="253"/>
      <c r="AB817" s="253"/>
      <c r="AC817" s="253"/>
      <c r="AD817" s="253"/>
      <c r="AE817" s="253"/>
      <c r="AF817" s="253"/>
      <c r="AG817" s="253"/>
      <c r="AH817" s="253"/>
    </row>
    <row r="818">
      <c r="A818" s="253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  <c r="AA818" s="253"/>
      <c r="AB818" s="253"/>
      <c r="AC818" s="253"/>
      <c r="AD818" s="253"/>
      <c r="AE818" s="253"/>
      <c r="AF818" s="253"/>
      <c r="AG818" s="253"/>
      <c r="AH818" s="253"/>
    </row>
    <row r="819">
      <c r="A819" s="253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  <c r="AA819" s="253"/>
      <c r="AB819" s="253"/>
      <c r="AC819" s="253"/>
      <c r="AD819" s="253"/>
      <c r="AE819" s="253"/>
      <c r="AF819" s="253"/>
      <c r="AG819" s="253"/>
      <c r="AH819" s="253"/>
    </row>
    <row r="820">
      <c r="A820" s="253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  <c r="AA820" s="253"/>
      <c r="AB820" s="253"/>
      <c r="AC820" s="253"/>
      <c r="AD820" s="253"/>
      <c r="AE820" s="253"/>
      <c r="AF820" s="253"/>
      <c r="AG820" s="253"/>
      <c r="AH820" s="253"/>
    </row>
    <row r="821">
      <c r="A821" s="253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  <c r="AA821" s="253"/>
      <c r="AB821" s="253"/>
      <c r="AC821" s="253"/>
      <c r="AD821" s="253"/>
      <c r="AE821" s="253"/>
      <c r="AF821" s="253"/>
      <c r="AG821" s="253"/>
      <c r="AH821" s="253"/>
    </row>
    <row r="822">
      <c r="A822" s="253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  <c r="AA822" s="253"/>
      <c r="AB822" s="253"/>
      <c r="AC822" s="253"/>
      <c r="AD822" s="253"/>
      <c r="AE822" s="253"/>
      <c r="AF822" s="253"/>
      <c r="AG822" s="253"/>
      <c r="AH822" s="253"/>
    </row>
    <row r="823">
      <c r="A823" s="253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  <c r="AA823" s="253"/>
      <c r="AB823" s="253"/>
      <c r="AC823" s="253"/>
      <c r="AD823" s="253"/>
      <c r="AE823" s="253"/>
      <c r="AF823" s="253"/>
      <c r="AG823" s="253"/>
      <c r="AH823" s="253"/>
    </row>
    <row r="824">
      <c r="A824" s="253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  <c r="AA824" s="253"/>
      <c r="AB824" s="253"/>
      <c r="AC824" s="253"/>
      <c r="AD824" s="253"/>
      <c r="AE824" s="253"/>
      <c r="AF824" s="253"/>
      <c r="AG824" s="253"/>
      <c r="AH824" s="253"/>
    </row>
    <row r="825">
      <c r="A825" s="253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  <c r="AA825" s="253"/>
      <c r="AB825" s="253"/>
      <c r="AC825" s="253"/>
      <c r="AD825" s="253"/>
      <c r="AE825" s="253"/>
      <c r="AF825" s="253"/>
      <c r="AG825" s="253"/>
      <c r="AH825" s="253"/>
    </row>
    <row r="826">
      <c r="A826" s="253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  <c r="AA826" s="253"/>
      <c r="AB826" s="253"/>
      <c r="AC826" s="253"/>
      <c r="AD826" s="253"/>
      <c r="AE826" s="253"/>
      <c r="AF826" s="253"/>
      <c r="AG826" s="253"/>
      <c r="AH826" s="253"/>
    </row>
    <row r="827">
      <c r="A827" s="253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  <c r="AA827" s="253"/>
      <c r="AB827" s="253"/>
      <c r="AC827" s="253"/>
      <c r="AD827" s="253"/>
      <c r="AE827" s="253"/>
      <c r="AF827" s="253"/>
      <c r="AG827" s="253"/>
      <c r="AH827" s="253"/>
    </row>
    <row r="828">
      <c r="A828" s="253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  <c r="AA828" s="253"/>
      <c r="AB828" s="253"/>
      <c r="AC828" s="253"/>
      <c r="AD828" s="253"/>
      <c r="AE828" s="253"/>
      <c r="AF828" s="253"/>
      <c r="AG828" s="253"/>
      <c r="AH828" s="253"/>
    </row>
    <row r="829">
      <c r="A829" s="253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  <c r="AA829" s="253"/>
      <c r="AB829" s="253"/>
      <c r="AC829" s="253"/>
      <c r="AD829" s="253"/>
      <c r="AE829" s="253"/>
      <c r="AF829" s="253"/>
      <c r="AG829" s="253"/>
      <c r="AH829" s="253"/>
    </row>
    <row r="830">
      <c r="A830" s="253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  <c r="AA830" s="253"/>
      <c r="AB830" s="253"/>
      <c r="AC830" s="253"/>
      <c r="AD830" s="253"/>
      <c r="AE830" s="253"/>
      <c r="AF830" s="253"/>
      <c r="AG830" s="253"/>
      <c r="AH830" s="253"/>
    </row>
    <row r="831">
      <c r="A831" s="253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  <c r="AA831" s="253"/>
      <c r="AB831" s="253"/>
      <c r="AC831" s="253"/>
      <c r="AD831" s="253"/>
      <c r="AE831" s="253"/>
      <c r="AF831" s="253"/>
      <c r="AG831" s="253"/>
      <c r="AH831" s="253"/>
    </row>
    <row r="832">
      <c r="A832" s="253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  <c r="AA832" s="253"/>
      <c r="AB832" s="253"/>
      <c r="AC832" s="253"/>
      <c r="AD832" s="253"/>
      <c r="AE832" s="253"/>
      <c r="AF832" s="253"/>
      <c r="AG832" s="253"/>
      <c r="AH832" s="253"/>
    </row>
    <row r="833">
      <c r="A833" s="253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  <c r="AA833" s="253"/>
      <c r="AB833" s="253"/>
      <c r="AC833" s="253"/>
      <c r="AD833" s="253"/>
      <c r="AE833" s="253"/>
      <c r="AF833" s="253"/>
      <c r="AG833" s="253"/>
      <c r="AH833" s="253"/>
    </row>
    <row r="834">
      <c r="A834" s="253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  <c r="AA834" s="253"/>
      <c r="AB834" s="253"/>
      <c r="AC834" s="253"/>
      <c r="AD834" s="253"/>
      <c r="AE834" s="253"/>
      <c r="AF834" s="253"/>
      <c r="AG834" s="253"/>
      <c r="AH834" s="253"/>
    </row>
    <row r="835">
      <c r="A835" s="253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  <c r="AA835" s="253"/>
      <c r="AB835" s="253"/>
      <c r="AC835" s="253"/>
      <c r="AD835" s="253"/>
      <c r="AE835" s="253"/>
      <c r="AF835" s="253"/>
      <c r="AG835" s="253"/>
      <c r="AH835" s="253"/>
    </row>
    <row r="836">
      <c r="A836" s="253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  <c r="AA836" s="253"/>
      <c r="AB836" s="253"/>
      <c r="AC836" s="253"/>
      <c r="AD836" s="253"/>
      <c r="AE836" s="253"/>
      <c r="AF836" s="253"/>
      <c r="AG836" s="253"/>
      <c r="AH836" s="253"/>
    </row>
    <row r="837">
      <c r="A837" s="253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  <c r="AA837" s="253"/>
      <c r="AB837" s="253"/>
      <c r="AC837" s="253"/>
      <c r="AD837" s="253"/>
      <c r="AE837" s="253"/>
      <c r="AF837" s="253"/>
      <c r="AG837" s="253"/>
      <c r="AH837" s="253"/>
    </row>
    <row r="838">
      <c r="A838" s="253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  <c r="AA838" s="253"/>
      <c r="AB838" s="253"/>
      <c r="AC838" s="253"/>
      <c r="AD838" s="253"/>
      <c r="AE838" s="253"/>
      <c r="AF838" s="253"/>
      <c r="AG838" s="253"/>
      <c r="AH838" s="253"/>
    </row>
    <row r="839">
      <c r="A839" s="253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  <c r="AA839" s="253"/>
      <c r="AB839" s="253"/>
      <c r="AC839" s="253"/>
      <c r="AD839" s="253"/>
      <c r="AE839" s="253"/>
      <c r="AF839" s="253"/>
      <c r="AG839" s="253"/>
      <c r="AH839" s="253"/>
    </row>
    <row r="840">
      <c r="A840" s="253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  <c r="AA840" s="253"/>
      <c r="AB840" s="253"/>
      <c r="AC840" s="253"/>
      <c r="AD840" s="253"/>
      <c r="AE840" s="253"/>
      <c r="AF840" s="253"/>
      <c r="AG840" s="253"/>
      <c r="AH840" s="253"/>
    </row>
    <row r="841">
      <c r="A841" s="253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  <c r="AA841" s="253"/>
      <c r="AB841" s="253"/>
      <c r="AC841" s="253"/>
      <c r="AD841" s="253"/>
      <c r="AE841" s="253"/>
      <c r="AF841" s="253"/>
      <c r="AG841" s="253"/>
      <c r="AH841" s="253"/>
    </row>
    <row r="842">
      <c r="A842" s="253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  <c r="AA842" s="253"/>
      <c r="AB842" s="253"/>
      <c r="AC842" s="253"/>
      <c r="AD842" s="253"/>
      <c r="AE842" s="253"/>
      <c r="AF842" s="253"/>
      <c r="AG842" s="253"/>
      <c r="AH842" s="253"/>
    </row>
    <row r="843">
      <c r="A843" s="253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  <c r="AA843" s="253"/>
      <c r="AB843" s="253"/>
      <c r="AC843" s="253"/>
      <c r="AD843" s="253"/>
      <c r="AE843" s="253"/>
      <c r="AF843" s="253"/>
      <c r="AG843" s="253"/>
      <c r="AH843" s="253"/>
    </row>
    <row r="844">
      <c r="A844" s="253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  <c r="AA844" s="253"/>
      <c r="AB844" s="253"/>
      <c r="AC844" s="253"/>
      <c r="AD844" s="253"/>
      <c r="AE844" s="253"/>
      <c r="AF844" s="253"/>
      <c r="AG844" s="253"/>
      <c r="AH844" s="253"/>
    </row>
    <row r="845">
      <c r="A845" s="253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  <c r="AA845" s="253"/>
      <c r="AB845" s="253"/>
      <c r="AC845" s="253"/>
      <c r="AD845" s="253"/>
      <c r="AE845" s="253"/>
      <c r="AF845" s="253"/>
      <c r="AG845" s="253"/>
      <c r="AH845" s="253"/>
    </row>
    <row r="846">
      <c r="A846" s="253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  <c r="AA846" s="253"/>
      <c r="AB846" s="253"/>
      <c r="AC846" s="253"/>
      <c r="AD846" s="253"/>
      <c r="AE846" s="253"/>
      <c r="AF846" s="253"/>
      <c r="AG846" s="253"/>
      <c r="AH846" s="253"/>
    </row>
    <row r="847">
      <c r="A847" s="253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  <c r="AA847" s="253"/>
      <c r="AB847" s="253"/>
      <c r="AC847" s="253"/>
      <c r="AD847" s="253"/>
      <c r="AE847" s="253"/>
      <c r="AF847" s="253"/>
      <c r="AG847" s="253"/>
      <c r="AH847" s="253"/>
    </row>
    <row r="848">
      <c r="A848" s="253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  <c r="AA848" s="253"/>
      <c r="AB848" s="253"/>
      <c r="AC848" s="253"/>
      <c r="AD848" s="253"/>
      <c r="AE848" s="253"/>
      <c r="AF848" s="253"/>
      <c r="AG848" s="253"/>
      <c r="AH848" s="253"/>
    </row>
    <row r="849">
      <c r="A849" s="253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  <c r="AA849" s="253"/>
      <c r="AB849" s="253"/>
      <c r="AC849" s="253"/>
      <c r="AD849" s="253"/>
      <c r="AE849" s="253"/>
      <c r="AF849" s="253"/>
      <c r="AG849" s="253"/>
      <c r="AH849" s="253"/>
    </row>
    <row r="850">
      <c r="A850" s="253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  <c r="AA850" s="253"/>
      <c r="AB850" s="253"/>
      <c r="AC850" s="253"/>
      <c r="AD850" s="253"/>
      <c r="AE850" s="253"/>
      <c r="AF850" s="253"/>
      <c r="AG850" s="253"/>
      <c r="AH850" s="253"/>
    </row>
    <row r="851">
      <c r="A851" s="253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  <c r="AA851" s="253"/>
      <c r="AB851" s="253"/>
      <c r="AC851" s="253"/>
      <c r="AD851" s="253"/>
      <c r="AE851" s="253"/>
      <c r="AF851" s="253"/>
      <c r="AG851" s="253"/>
      <c r="AH851" s="253"/>
    </row>
    <row r="852">
      <c r="A852" s="253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  <c r="AA852" s="253"/>
      <c r="AB852" s="253"/>
      <c r="AC852" s="253"/>
      <c r="AD852" s="253"/>
      <c r="AE852" s="253"/>
      <c r="AF852" s="253"/>
      <c r="AG852" s="253"/>
      <c r="AH852" s="253"/>
    </row>
    <row r="853">
      <c r="A853" s="253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  <c r="AA853" s="253"/>
      <c r="AB853" s="253"/>
      <c r="AC853" s="253"/>
      <c r="AD853" s="253"/>
      <c r="AE853" s="253"/>
      <c r="AF853" s="253"/>
      <c r="AG853" s="253"/>
      <c r="AH853" s="253"/>
    </row>
    <row r="854">
      <c r="A854" s="253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  <c r="AA854" s="253"/>
      <c r="AB854" s="253"/>
      <c r="AC854" s="253"/>
      <c r="AD854" s="253"/>
      <c r="AE854" s="253"/>
      <c r="AF854" s="253"/>
      <c r="AG854" s="253"/>
      <c r="AH854" s="253"/>
    </row>
    <row r="855">
      <c r="A855" s="253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  <c r="AA855" s="253"/>
      <c r="AB855" s="253"/>
      <c r="AC855" s="253"/>
      <c r="AD855" s="253"/>
      <c r="AE855" s="253"/>
      <c r="AF855" s="253"/>
      <c r="AG855" s="253"/>
      <c r="AH855" s="253"/>
    </row>
    <row r="856">
      <c r="A856" s="253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  <c r="AA856" s="253"/>
      <c r="AB856" s="253"/>
      <c r="AC856" s="253"/>
      <c r="AD856" s="253"/>
      <c r="AE856" s="253"/>
      <c r="AF856" s="253"/>
      <c r="AG856" s="253"/>
      <c r="AH856" s="253"/>
    </row>
    <row r="857">
      <c r="A857" s="253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  <c r="AA857" s="253"/>
      <c r="AB857" s="253"/>
      <c r="AC857" s="253"/>
      <c r="AD857" s="253"/>
      <c r="AE857" s="253"/>
      <c r="AF857" s="253"/>
      <c r="AG857" s="253"/>
      <c r="AH857" s="253"/>
    </row>
    <row r="858">
      <c r="A858" s="253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  <c r="AA858" s="253"/>
      <c r="AB858" s="253"/>
      <c r="AC858" s="253"/>
      <c r="AD858" s="253"/>
      <c r="AE858" s="253"/>
      <c r="AF858" s="253"/>
      <c r="AG858" s="253"/>
      <c r="AH858" s="253"/>
    </row>
    <row r="859">
      <c r="A859" s="253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  <c r="AA859" s="253"/>
      <c r="AB859" s="253"/>
      <c r="AC859" s="253"/>
      <c r="AD859" s="253"/>
      <c r="AE859" s="253"/>
      <c r="AF859" s="253"/>
      <c r="AG859" s="253"/>
      <c r="AH859" s="253"/>
    </row>
    <row r="860">
      <c r="A860" s="253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  <c r="AA860" s="253"/>
      <c r="AB860" s="253"/>
      <c r="AC860" s="253"/>
      <c r="AD860" s="253"/>
      <c r="AE860" s="253"/>
      <c r="AF860" s="253"/>
      <c r="AG860" s="253"/>
      <c r="AH860" s="253"/>
    </row>
    <row r="861">
      <c r="A861" s="253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  <c r="AA861" s="253"/>
      <c r="AB861" s="253"/>
      <c r="AC861" s="253"/>
      <c r="AD861" s="253"/>
      <c r="AE861" s="253"/>
      <c r="AF861" s="253"/>
      <c r="AG861" s="253"/>
      <c r="AH861" s="253"/>
    </row>
    <row r="862">
      <c r="A862" s="253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  <c r="AA862" s="253"/>
      <c r="AB862" s="253"/>
      <c r="AC862" s="253"/>
      <c r="AD862" s="253"/>
      <c r="AE862" s="253"/>
      <c r="AF862" s="253"/>
      <c r="AG862" s="253"/>
      <c r="AH862" s="253"/>
    </row>
    <row r="863">
      <c r="A863" s="253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  <c r="AA863" s="253"/>
      <c r="AB863" s="253"/>
      <c r="AC863" s="253"/>
      <c r="AD863" s="253"/>
      <c r="AE863" s="253"/>
      <c r="AF863" s="253"/>
      <c r="AG863" s="253"/>
      <c r="AH863" s="253"/>
    </row>
    <row r="864">
      <c r="A864" s="253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  <c r="AA864" s="253"/>
      <c r="AB864" s="253"/>
      <c r="AC864" s="253"/>
      <c r="AD864" s="253"/>
      <c r="AE864" s="253"/>
      <c r="AF864" s="253"/>
      <c r="AG864" s="253"/>
      <c r="AH864" s="253"/>
    </row>
    <row r="865">
      <c r="A865" s="253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  <c r="AA865" s="253"/>
      <c r="AB865" s="253"/>
      <c r="AC865" s="253"/>
      <c r="AD865" s="253"/>
      <c r="AE865" s="253"/>
      <c r="AF865" s="253"/>
      <c r="AG865" s="253"/>
      <c r="AH865" s="253"/>
    </row>
    <row r="866">
      <c r="A866" s="253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  <c r="AB866" s="253"/>
      <c r="AC866" s="253"/>
      <c r="AD866" s="253"/>
      <c r="AE866" s="253"/>
      <c r="AF866" s="253"/>
      <c r="AG866" s="253"/>
      <c r="AH866" s="253"/>
    </row>
    <row r="867">
      <c r="A867" s="253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  <c r="AA867" s="253"/>
      <c r="AB867" s="253"/>
      <c r="AC867" s="253"/>
      <c r="AD867" s="253"/>
      <c r="AE867" s="253"/>
      <c r="AF867" s="253"/>
      <c r="AG867" s="253"/>
      <c r="AH867" s="253"/>
    </row>
    <row r="868">
      <c r="A868" s="253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  <c r="AA868" s="253"/>
      <c r="AB868" s="253"/>
      <c r="AC868" s="253"/>
      <c r="AD868" s="253"/>
      <c r="AE868" s="253"/>
      <c r="AF868" s="253"/>
      <c r="AG868" s="253"/>
      <c r="AH868" s="253"/>
    </row>
    <row r="869">
      <c r="A869" s="253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  <c r="AA869" s="253"/>
      <c r="AB869" s="253"/>
      <c r="AC869" s="253"/>
      <c r="AD869" s="253"/>
      <c r="AE869" s="253"/>
      <c r="AF869" s="253"/>
      <c r="AG869" s="253"/>
      <c r="AH869" s="253"/>
    </row>
    <row r="870">
      <c r="A870" s="253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  <c r="AA870" s="253"/>
      <c r="AB870" s="253"/>
      <c r="AC870" s="253"/>
      <c r="AD870" s="253"/>
      <c r="AE870" s="253"/>
      <c r="AF870" s="253"/>
      <c r="AG870" s="253"/>
      <c r="AH870" s="253"/>
    </row>
    <row r="871">
      <c r="A871" s="253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  <c r="AA871" s="253"/>
      <c r="AB871" s="253"/>
      <c r="AC871" s="253"/>
      <c r="AD871" s="253"/>
      <c r="AE871" s="253"/>
      <c r="AF871" s="253"/>
      <c r="AG871" s="253"/>
      <c r="AH871" s="253"/>
    </row>
    <row r="872">
      <c r="A872" s="253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  <c r="AA872" s="253"/>
      <c r="AB872" s="253"/>
      <c r="AC872" s="253"/>
      <c r="AD872" s="253"/>
      <c r="AE872" s="253"/>
      <c r="AF872" s="253"/>
      <c r="AG872" s="253"/>
      <c r="AH872" s="253"/>
    </row>
    <row r="873">
      <c r="A873" s="253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  <c r="AA873" s="253"/>
      <c r="AB873" s="253"/>
      <c r="AC873" s="253"/>
      <c r="AD873" s="253"/>
      <c r="AE873" s="253"/>
      <c r="AF873" s="253"/>
      <c r="AG873" s="253"/>
      <c r="AH873" s="253"/>
    </row>
    <row r="874">
      <c r="A874" s="253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  <c r="AA874" s="253"/>
      <c r="AB874" s="253"/>
      <c r="AC874" s="253"/>
      <c r="AD874" s="253"/>
      <c r="AE874" s="253"/>
      <c r="AF874" s="253"/>
      <c r="AG874" s="253"/>
      <c r="AH874" s="253"/>
    </row>
    <row r="875">
      <c r="A875" s="253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  <c r="AA875" s="253"/>
      <c r="AB875" s="253"/>
      <c r="AC875" s="253"/>
      <c r="AD875" s="253"/>
      <c r="AE875" s="253"/>
      <c r="AF875" s="253"/>
      <c r="AG875" s="253"/>
      <c r="AH875" s="253"/>
    </row>
    <row r="876">
      <c r="A876" s="253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  <c r="AA876" s="253"/>
      <c r="AB876" s="253"/>
      <c r="AC876" s="253"/>
      <c r="AD876" s="253"/>
      <c r="AE876" s="253"/>
      <c r="AF876" s="253"/>
      <c r="AG876" s="253"/>
      <c r="AH876" s="253"/>
    </row>
    <row r="877">
      <c r="A877" s="253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  <c r="AA877" s="253"/>
      <c r="AB877" s="253"/>
      <c r="AC877" s="253"/>
      <c r="AD877" s="253"/>
      <c r="AE877" s="253"/>
      <c r="AF877" s="253"/>
      <c r="AG877" s="253"/>
      <c r="AH877" s="253"/>
    </row>
    <row r="878">
      <c r="A878" s="253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  <c r="AA878" s="253"/>
      <c r="AB878" s="253"/>
      <c r="AC878" s="253"/>
      <c r="AD878" s="253"/>
      <c r="AE878" s="253"/>
      <c r="AF878" s="253"/>
      <c r="AG878" s="253"/>
      <c r="AH878" s="253"/>
    </row>
    <row r="879">
      <c r="A879" s="253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  <c r="AA879" s="253"/>
      <c r="AB879" s="253"/>
      <c r="AC879" s="253"/>
      <c r="AD879" s="253"/>
      <c r="AE879" s="253"/>
      <c r="AF879" s="253"/>
      <c r="AG879" s="253"/>
      <c r="AH879" s="253"/>
    </row>
    <row r="880">
      <c r="A880" s="253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  <c r="AA880" s="253"/>
      <c r="AB880" s="253"/>
      <c r="AC880" s="253"/>
      <c r="AD880" s="253"/>
      <c r="AE880" s="253"/>
      <c r="AF880" s="253"/>
      <c r="AG880" s="253"/>
      <c r="AH880" s="253"/>
    </row>
    <row r="881">
      <c r="A881" s="253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  <c r="AA881" s="253"/>
      <c r="AB881" s="253"/>
      <c r="AC881" s="253"/>
      <c r="AD881" s="253"/>
      <c r="AE881" s="253"/>
      <c r="AF881" s="253"/>
      <c r="AG881" s="253"/>
      <c r="AH881" s="253"/>
    </row>
    <row r="882">
      <c r="A882" s="253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  <c r="AA882" s="253"/>
      <c r="AB882" s="253"/>
      <c r="AC882" s="253"/>
      <c r="AD882" s="253"/>
      <c r="AE882" s="253"/>
      <c r="AF882" s="253"/>
      <c r="AG882" s="253"/>
      <c r="AH882" s="253"/>
    </row>
    <row r="883">
      <c r="A883" s="253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  <c r="AA883" s="253"/>
      <c r="AB883" s="253"/>
      <c r="AC883" s="253"/>
      <c r="AD883" s="253"/>
      <c r="AE883" s="253"/>
      <c r="AF883" s="253"/>
      <c r="AG883" s="253"/>
      <c r="AH883" s="253"/>
    </row>
    <row r="884">
      <c r="A884" s="253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  <c r="AA884" s="253"/>
      <c r="AB884" s="253"/>
      <c r="AC884" s="253"/>
      <c r="AD884" s="253"/>
      <c r="AE884" s="253"/>
      <c r="AF884" s="253"/>
      <c r="AG884" s="253"/>
      <c r="AH884" s="253"/>
    </row>
    <row r="885">
      <c r="A885" s="253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  <c r="AA885" s="253"/>
      <c r="AB885" s="253"/>
      <c r="AC885" s="253"/>
      <c r="AD885" s="253"/>
      <c r="AE885" s="253"/>
      <c r="AF885" s="253"/>
      <c r="AG885" s="253"/>
      <c r="AH885" s="253"/>
    </row>
    <row r="886">
      <c r="A886" s="253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  <c r="AA886" s="253"/>
      <c r="AB886" s="253"/>
      <c r="AC886" s="253"/>
      <c r="AD886" s="253"/>
      <c r="AE886" s="253"/>
      <c r="AF886" s="253"/>
      <c r="AG886" s="253"/>
      <c r="AH886" s="253"/>
    </row>
    <row r="887">
      <c r="A887" s="253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  <c r="AA887" s="253"/>
      <c r="AB887" s="253"/>
      <c r="AC887" s="253"/>
      <c r="AD887" s="253"/>
      <c r="AE887" s="253"/>
      <c r="AF887" s="253"/>
      <c r="AG887" s="253"/>
      <c r="AH887" s="253"/>
    </row>
    <row r="888">
      <c r="A888" s="253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  <c r="AA888" s="253"/>
      <c r="AB888" s="253"/>
      <c r="AC888" s="253"/>
      <c r="AD888" s="253"/>
      <c r="AE888" s="253"/>
      <c r="AF888" s="253"/>
      <c r="AG888" s="253"/>
      <c r="AH888" s="253"/>
    </row>
    <row r="889">
      <c r="A889" s="253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  <c r="AA889" s="253"/>
      <c r="AB889" s="253"/>
      <c r="AC889" s="253"/>
      <c r="AD889" s="253"/>
      <c r="AE889" s="253"/>
      <c r="AF889" s="253"/>
      <c r="AG889" s="253"/>
      <c r="AH889" s="253"/>
    </row>
    <row r="890">
      <c r="A890" s="253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  <c r="AA890" s="253"/>
      <c r="AB890" s="253"/>
      <c r="AC890" s="253"/>
      <c r="AD890" s="253"/>
      <c r="AE890" s="253"/>
      <c r="AF890" s="253"/>
      <c r="AG890" s="253"/>
      <c r="AH890" s="253"/>
    </row>
    <row r="891">
      <c r="A891" s="253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  <c r="AA891" s="253"/>
      <c r="AB891" s="253"/>
      <c r="AC891" s="253"/>
      <c r="AD891" s="253"/>
      <c r="AE891" s="253"/>
      <c r="AF891" s="253"/>
      <c r="AG891" s="253"/>
      <c r="AH891" s="253"/>
    </row>
    <row r="892">
      <c r="A892" s="253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  <c r="AA892" s="253"/>
      <c r="AB892" s="253"/>
      <c r="AC892" s="253"/>
      <c r="AD892" s="253"/>
      <c r="AE892" s="253"/>
      <c r="AF892" s="253"/>
      <c r="AG892" s="253"/>
      <c r="AH892" s="253"/>
    </row>
    <row r="893">
      <c r="A893" s="253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  <c r="AA893" s="253"/>
      <c r="AB893" s="253"/>
      <c r="AC893" s="253"/>
      <c r="AD893" s="253"/>
      <c r="AE893" s="253"/>
      <c r="AF893" s="253"/>
      <c r="AG893" s="253"/>
      <c r="AH893" s="253"/>
    </row>
    <row r="894">
      <c r="A894" s="253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  <c r="AA894" s="253"/>
      <c r="AB894" s="253"/>
      <c r="AC894" s="253"/>
      <c r="AD894" s="253"/>
      <c r="AE894" s="253"/>
      <c r="AF894" s="253"/>
      <c r="AG894" s="253"/>
      <c r="AH894" s="253"/>
    </row>
    <row r="895">
      <c r="A895" s="253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  <c r="AA895" s="253"/>
      <c r="AB895" s="253"/>
      <c r="AC895" s="253"/>
      <c r="AD895" s="253"/>
      <c r="AE895" s="253"/>
      <c r="AF895" s="253"/>
      <c r="AG895" s="253"/>
      <c r="AH895" s="253"/>
    </row>
    <row r="896">
      <c r="A896" s="253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  <c r="AA896" s="253"/>
      <c r="AB896" s="253"/>
      <c r="AC896" s="253"/>
      <c r="AD896" s="253"/>
      <c r="AE896" s="253"/>
      <c r="AF896" s="253"/>
      <c r="AG896" s="253"/>
      <c r="AH896" s="253"/>
    </row>
    <row r="897">
      <c r="A897" s="253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  <c r="AA897" s="253"/>
      <c r="AB897" s="253"/>
      <c r="AC897" s="253"/>
      <c r="AD897" s="253"/>
      <c r="AE897" s="253"/>
      <c r="AF897" s="253"/>
      <c r="AG897" s="253"/>
      <c r="AH897" s="253"/>
    </row>
    <row r="898">
      <c r="A898" s="253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  <c r="AA898" s="253"/>
      <c r="AB898" s="253"/>
      <c r="AC898" s="253"/>
      <c r="AD898" s="253"/>
      <c r="AE898" s="253"/>
      <c r="AF898" s="253"/>
      <c r="AG898" s="253"/>
      <c r="AH898" s="253"/>
    </row>
    <row r="899">
      <c r="A899" s="253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  <c r="AA899" s="253"/>
      <c r="AB899" s="253"/>
      <c r="AC899" s="253"/>
      <c r="AD899" s="253"/>
      <c r="AE899" s="253"/>
      <c r="AF899" s="253"/>
      <c r="AG899" s="253"/>
      <c r="AH899" s="253"/>
    </row>
    <row r="900">
      <c r="A900" s="253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  <c r="AA900" s="253"/>
      <c r="AB900" s="253"/>
      <c r="AC900" s="253"/>
      <c r="AD900" s="253"/>
      <c r="AE900" s="253"/>
      <c r="AF900" s="253"/>
      <c r="AG900" s="253"/>
      <c r="AH900" s="253"/>
    </row>
    <row r="901">
      <c r="A901" s="253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  <c r="AA901" s="253"/>
      <c r="AB901" s="253"/>
      <c r="AC901" s="253"/>
      <c r="AD901" s="253"/>
      <c r="AE901" s="253"/>
      <c r="AF901" s="253"/>
      <c r="AG901" s="253"/>
      <c r="AH901" s="253"/>
    </row>
    <row r="902">
      <c r="A902" s="253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  <c r="AA902" s="253"/>
      <c r="AB902" s="253"/>
      <c r="AC902" s="253"/>
      <c r="AD902" s="253"/>
      <c r="AE902" s="253"/>
      <c r="AF902" s="253"/>
      <c r="AG902" s="253"/>
      <c r="AH902" s="253"/>
    </row>
    <row r="903">
      <c r="A903" s="253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  <c r="AA903" s="253"/>
      <c r="AB903" s="253"/>
      <c r="AC903" s="253"/>
      <c r="AD903" s="253"/>
      <c r="AE903" s="253"/>
      <c r="AF903" s="253"/>
      <c r="AG903" s="253"/>
      <c r="AH903" s="253"/>
    </row>
    <row r="904">
      <c r="A904" s="253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  <c r="AA904" s="253"/>
      <c r="AB904" s="253"/>
      <c r="AC904" s="253"/>
      <c r="AD904" s="253"/>
      <c r="AE904" s="253"/>
      <c r="AF904" s="253"/>
      <c r="AG904" s="253"/>
      <c r="AH904" s="253"/>
    </row>
    <row r="905">
      <c r="A905" s="253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  <c r="AA905" s="253"/>
      <c r="AB905" s="253"/>
      <c r="AC905" s="253"/>
      <c r="AD905" s="253"/>
      <c r="AE905" s="253"/>
      <c r="AF905" s="253"/>
      <c r="AG905" s="253"/>
      <c r="AH905" s="253"/>
    </row>
    <row r="906">
      <c r="A906" s="253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  <c r="AA906" s="253"/>
      <c r="AB906" s="253"/>
      <c r="AC906" s="253"/>
      <c r="AD906" s="253"/>
      <c r="AE906" s="253"/>
      <c r="AF906" s="253"/>
      <c r="AG906" s="253"/>
      <c r="AH906" s="253"/>
    </row>
    <row r="907">
      <c r="A907" s="253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  <c r="AA907" s="253"/>
      <c r="AB907" s="253"/>
      <c r="AC907" s="253"/>
      <c r="AD907" s="253"/>
      <c r="AE907" s="253"/>
      <c r="AF907" s="253"/>
      <c r="AG907" s="253"/>
      <c r="AH907" s="253"/>
    </row>
    <row r="908">
      <c r="A908" s="253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  <c r="AA908" s="253"/>
      <c r="AB908" s="253"/>
      <c r="AC908" s="253"/>
      <c r="AD908" s="253"/>
      <c r="AE908" s="253"/>
      <c r="AF908" s="253"/>
      <c r="AG908" s="253"/>
      <c r="AH908" s="253"/>
    </row>
    <row r="909">
      <c r="A909" s="253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  <c r="AA909" s="253"/>
      <c r="AB909" s="253"/>
      <c r="AC909" s="253"/>
      <c r="AD909" s="253"/>
      <c r="AE909" s="253"/>
      <c r="AF909" s="253"/>
      <c r="AG909" s="253"/>
      <c r="AH909" s="253"/>
    </row>
    <row r="910">
      <c r="A910" s="253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  <c r="AA910" s="253"/>
      <c r="AB910" s="253"/>
      <c r="AC910" s="253"/>
      <c r="AD910" s="253"/>
      <c r="AE910" s="253"/>
      <c r="AF910" s="253"/>
      <c r="AG910" s="253"/>
      <c r="AH910" s="253"/>
    </row>
    <row r="911">
      <c r="A911" s="253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  <c r="AA911" s="253"/>
      <c r="AB911" s="253"/>
      <c r="AC911" s="253"/>
      <c r="AD911" s="253"/>
      <c r="AE911" s="253"/>
      <c r="AF911" s="253"/>
      <c r="AG911" s="253"/>
      <c r="AH911" s="253"/>
    </row>
    <row r="912">
      <c r="A912" s="253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  <c r="AA912" s="253"/>
      <c r="AB912" s="253"/>
      <c r="AC912" s="253"/>
      <c r="AD912" s="253"/>
      <c r="AE912" s="253"/>
      <c r="AF912" s="253"/>
      <c r="AG912" s="253"/>
      <c r="AH912" s="253"/>
    </row>
    <row r="913">
      <c r="A913" s="253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  <c r="AA913" s="253"/>
      <c r="AB913" s="253"/>
      <c r="AC913" s="253"/>
      <c r="AD913" s="253"/>
      <c r="AE913" s="253"/>
      <c r="AF913" s="253"/>
      <c r="AG913" s="253"/>
      <c r="AH913" s="253"/>
    </row>
    <row r="914">
      <c r="A914" s="253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  <c r="AA914" s="253"/>
      <c r="AB914" s="253"/>
      <c r="AC914" s="253"/>
      <c r="AD914" s="253"/>
      <c r="AE914" s="253"/>
      <c r="AF914" s="253"/>
      <c r="AG914" s="253"/>
      <c r="AH914" s="253"/>
    </row>
    <row r="915">
      <c r="A915" s="253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  <c r="AA915" s="253"/>
      <c r="AB915" s="253"/>
      <c r="AC915" s="253"/>
      <c r="AD915" s="253"/>
      <c r="AE915" s="253"/>
      <c r="AF915" s="253"/>
      <c r="AG915" s="253"/>
      <c r="AH915" s="253"/>
    </row>
    <row r="916">
      <c r="A916" s="253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  <c r="AA916" s="253"/>
      <c r="AB916" s="253"/>
      <c r="AC916" s="253"/>
      <c r="AD916" s="253"/>
      <c r="AE916" s="253"/>
      <c r="AF916" s="253"/>
      <c r="AG916" s="253"/>
      <c r="AH916" s="253"/>
    </row>
    <row r="917">
      <c r="A917" s="253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  <c r="AA917" s="253"/>
      <c r="AB917" s="253"/>
      <c r="AC917" s="253"/>
      <c r="AD917" s="253"/>
      <c r="AE917" s="253"/>
      <c r="AF917" s="253"/>
      <c r="AG917" s="253"/>
      <c r="AH917" s="253"/>
    </row>
    <row r="918">
      <c r="A918" s="253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  <c r="AA918" s="253"/>
      <c r="AB918" s="253"/>
      <c r="AC918" s="253"/>
      <c r="AD918" s="253"/>
      <c r="AE918" s="253"/>
      <c r="AF918" s="253"/>
      <c r="AG918" s="253"/>
      <c r="AH918" s="253"/>
    </row>
    <row r="919">
      <c r="A919" s="253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  <c r="AA919" s="253"/>
      <c r="AB919" s="253"/>
      <c r="AC919" s="253"/>
      <c r="AD919" s="253"/>
      <c r="AE919" s="253"/>
      <c r="AF919" s="253"/>
      <c r="AG919" s="253"/>
      <c r="AH919" s="253"/>
    </row>
    <row r="920">
      <c r="A920" s="253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  <c r="AA920" s="253"/>
      <c r="AB920" s="253"/>
      <c r="AC920" s="253"/>
      <c r="AD920" s="253"/>
      <c r="AE920" s="253"/>
      <c r="AF920" s="253"/>
      <c r="AG920" s="253"/>
      <c r="AH920" s="253"/>
    </row>
    <row r="921">
      <c r="A921" s="253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  <c r="AA921" s="253"/>
      <c r="AB921" s="253"/>
      <c r="AC921" s="253"/>
      <c r="AD921" s="253"/>
      <c r="AE921" s="253"/>
      <c r="AF921" s="253"/>
      <c r="AG921" s="253"/>
      <c r="AH921" s="253"/>
    </row>
    <row r="922">
      <c r="A922" s="253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  <c r="AA922" s="253"/>
      <c r="AB922" s="253"/>
      <c r="AC922" s="253"/>
      <c r="AD922" s="253"/>
      <c r="AE922" s="253"/>
      <c r="AF922" s="253"/>
      <c r="AG922" s="253"/>
      <c r="AH922" s="253"/>
    </row>
    <row r="923">
      <c r="A923" s="253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  <c r="AA923" s="253"/>
      <c r="AB923" s="253"/>
      <c r="AC923" s="253"/>
      <c r="AD923" s="253"/>
      <c r="AE923" s="253"/>
      <c r="AF923" s="253"/>
      <c r="AG923" s="253"/>
      <c r="AH923" s="253"/>
    </row>
    <row r="924">
      <c r="A924" s="253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  <c r="AA924" s="253"/>
      <c r="AB924" s="253"/>
      <c r="AC924" s="253"/>
      <c r="AD924" s="253"/>
      <c r="AE924" s="253"/>
      <c r="AF924" s="253"/>
      <c r="AG924" s="253"/>
      <c r="AH924" s="253"/>
    </row>
    <row r="925">
      <c r="A925" s="253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  <c r="AA925" s="253"/>
      <c r="AB925" s="253"/>
      <c r="AC925" s="253"/>
      <c r="AD925" s="253"/>
      <c r="AE925" s="253"/>
      <c r="AF925" s="253"/>
      <c r="AG925" s="253"/>
      <c r="AH925" s="253"/>
    </row>
    <row r="926">
      <c r="A926" s="253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  <c r="AA926" s="253"/>
      <c r="AB926" s="253"/>
      <c r="AC926" s="253"/>
      <c r="AD926" s="253"/>
      <c r="AE926" s="253"/>
      <c r="AF926" s="253"/>
      <c r="AG926" s="253"/>
      <c r="AH926" s="253"/>
    </row>
    <row r="927">
      <c r="A927" s="253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  <c r="AA927" s="253"/>
      <c r="AB927" s="253"/>
      <c r="AC927" s="253"/>
      <c r="AD927" s="253"/>
      <c r="AE927" s="253"/>
      <c r="AF927" s="253"/>
      <c r="AG927" s="253"/>
      <c r="AH927" s="253"/>
    </row>
    <row r="928">
      <c r="A928" s="253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  <c r="Y928" s="253"/>
      <c r="Z928" s="253"/>
      <c r="AA928" s="253"/>
      <c r="AB928" s="253"/>
      <c r="AC928" s="253"/>
      <c r="AD928" s="253"/>
      <c r="AE928" s="253"/>
      <c r="AF928" s="253"/>
      <c r="AG928" s="253"/>
      <c r="AH928" s="253"/>
    </row>
    <row r="929">
      <c r="A929" s="253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  <c r="Y929" s="253"/>
      <c r="Z929" s="253"/>
      <c r="AA929" s="253"/>
      <c r="AB929" s="253"/>
      <c r="AC929" s="253"/>
      <c r="AD929" s="253"/>
      <c r="AE929" s="253"/>
      <c r="AF929" s="253"/>
      <c r="AG929" s="253"/>
      <c r="AH929" s="253"/>
    </row>
    <row r="930">
      <c r="A930" s="253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  <c r="Y930" s="253"/>
      <c r="Z930" s="253"/>
      <c r="AA930" s="253"/>
      <c r="AB930" s="253"/>
      <c r="AC930" s="253"/>
      <c r="AD930" s="253"/>
      <c r="AE930" s="253"/>
      <c r="AF930" s="253"/>
      <c r="AG930" s="253"/>
      <c r="AH930" s="253"/>
    </row>
    <row r="931">
      <c r="A931" s="253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  <c r="Y931" s="253"/>
      <c r="Z931" s="253"/>
      <c r="AA931" s="253"/>
      <c r="AB931" s="253"/>
      <c r="AC931" s="253"/>
      <c r="AD931" s="253"/>
      <c r="AE931" s="253"/>
      <c r="AF931" s="253"/>
      <c r="AG931" s="253"/>
      <c r="AH931" s="253"/>
    </row>
    <row r="932">
      <c r="A932" s="253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  <c r="Y932" s="253"/>
      <c r="Z932" s="253"/>
      <c r="AA932" s="253"/>
      <c r="AB932" s="253"/>
      <c r="AC932" s="253"/>
      <c r="AD932" s="253"/>
      <c r="AE932" s="253"/>
      <c r="AF932" s="253"/>
      <c r="AG932" s="253"/>
      <c r="AH932" s="253"/>
    </row>
    <row r="933">
      <c r="A933" s="253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  <c r="Y933" s="253"/>
      <c r="Z933" s="253"/>
      <c r="AA933" s="253"/>
      <c r="AB933" s="253"/>
      <c r="AC933" s="253"/>
      <c r="AD933" s="253"/>
      <c r="AE933" s="253"/>
      <c r="AF933" s="253"/>
      <c r="AG933" s="253"/>
      <c r="AH933" s="253"/>
    </row>
    <row r="934">
      <c r="A934" s="253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  <c r="Y934" s="253"/>
      <c r="Z934" s="253"/>
      <c r="AA934" s="253"/>
      <c r="AB934" s="253"/>
      <c r="AC934" s="253"/>
      <c r="AD934" s="253"/>
      <c r="AE934" s="253"/>
      <c r="AF934" s="253"/>
      <c r="AG934" s="253"/>
      <c r="AH934" s="253"/>
    </row>
    <row r="935">
      <c r="A935" s="253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  <c r="Y935" s="253"/>
      <c r="Z935" s="253"/>
      <c r="AA935" s="253"/>
      <c r="AB935" s="253"/>
      <c r="AC935" s="253"/>
      <c r="AD935" s="253"/>
      <c r="AE935" s="253"/>
      <c r="AF935" s="253"/>
      <c r="AG935" s="253"/>
      <c r="AH935" s="253"/>
    </row>
    <row r="936">
      <c r="A936" s="253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  <c r="Y936" s="253"/>
      <c r="Z936" s="253"/>
      <c r="AA936" s="253"/>
      <c r="AB936" s="253"/>
      <c r="AC936" s="253"/>
      <c r="AD936" s="253"/>
      <c r="AE936" s="253"/>
      <c r="AF936" s="253"/>
      <c r="AG936" s="253"/>
      <c r="AH936" s="253"/>
    </row>
    <row r="937">
      <c r="A937" s="253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  <c r="Y937" s="253"/>
      <c r="Z937" s="253"/>
      <c r="AA937" s="253"/>
      <c r="AB937" s="253"/>
      <c r="AC937" s="253"/>
      <c r="AD937" s="253"/>
      <c r="AE937" s="253"/>
      <c r="AF937" s="253"/>
      <c r="AG937" s="253"/>
      <c r="AH937" s="253"/>
    </row>
    <row r="938">
      <c r="A938" s="253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  <c r="Y938" s="253"/>
      <c r="Z938" s="253"/>
      <c r="AA938" s="253"/>
      <c r="AB938" s="253"/>
      <c r="AC938" s="253"/>
      <c r="AD938" s="253"/>
      <c r="AE938" s="253"/>
      <c r="AF938" s="253"/>
      <c r="AG938" s="253"/>
      <c r="AH938" s="253"/>
    </row>
    <row r="939">
      <c r="A939" s="253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  <c r="Y939" s="253"/>
      <c r="Z939" s="253"/>
      <c r="AA939" s="253"/>
      <c r="AB939" s="253"/>
      <c r="AC939" s="253"/>
      <c r="AD939" s="253"/>
      <c r="AE939" s="253"/>
      <c r="AF939" s="253"/>
      <c r="AG939" s="253"/>
      <c r="AH939" s="253"/>
    </row>
    <row r="940">
      <c r="A940" s="253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  <c r="Y940" s="253"/>
      <c r="Z940" s="253"/>
      <c r="AA940" s="253"/>
      <c r="AB940" s="253"/>
      <c r="AC940" s="253"/>
      <c r="AD940" s="253"/>
      <c r="AE940" s="253"/>
      <c r="AF940" s="253"/>
      <c r="AG940" s="253"/>
      <c r="AH940" s="253"/>
    </row>
    <row r="941">
      <c r="A941" s="253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  <c r="Y941" s="253"/>
      <c r="Z941" s="253"/>
      <c r="AA941" s="253"/>
      <c r="AB941" s="253"/>
      <c r="AC941" s="253"/>
      <c r="AD941" s="253"/>
      <c r="AE941" s="253"/>
      <c r="AF941" s="253"/>
      <c r="AG941" s="253"/>
      <c r="AH941" s="253"/>
    </row>
    <row r="942">
      <c r="A942" s="253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  <c r="Y942" s="253"/>
      <c r="Z942" s="253"/>
      <c r="AA942" s="253"/>
      <c r="AB942" s="253"/>
      <c r="AC942" s="253"/>
      <c r="AD942" s="253"/>
      <c r="AE942" s="253"/>
      <c r="AF942" s="253"/>
      <c r="AG942" s="253"/>
      <c r="AH942" s="253"/>
    </row>
    <row r="943">
      <c r="A943" s="253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  <c r="Y943" s="253"/>
      <c r="Z943" s="253"/>
      <c r="AA943" s="253"/>
      <c r="AB943" s="253"/>
      <c r="AC943" s="253"/>
      <c r="AD943" s="253"/>
      <c r="AE943" s="253"/>
      <c r="AF943" s="253"/>
      <c r="AG943" s="253"/>
      <c r="AH943" s="253"/>
    </row>
    <row r="944">
      <c r="A944" s="253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  <c r="Y944" s="253"/>
      <c r="Z944" s="253"/>
      <c r="AA944" s="253"/>
      <c r="AB944" s="253"/>
      <c r="AC944" s="253"/>
      <c r="AD944" s="253"/>
      <c r="AE944" s="253"/>
      <c r="AF944" s="253"/>
      <c r="AG944" s="253"/>
      <c r="AH944" s="253"/>
    </row>
    <row r="945">
      <c r="A945" s="253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  <c r="Y945" s="253"/>
      <c r="Z945" s="253"/>
      <c r="AA945" s="253"/>
      <c r="AB945" s="253"/>
      <c r="AC945" s="253"/>
      <c r="AD945" s="253"/>
      <c r="AE945" s="253"/>
      <c r="AF945" s="253"/>
      <c r="AG945" s="253"/>
      <c r="AH945" s="253"/>
    </row>
    <row r="946">
      <c r="A946" s="253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  <c r="Y946" s="253"/>
      <c r="Z946" s="253"/>
      <c r="AA946" s="253"/>
      <c r="AB946" s="253"/>
      <c r="AC946" s="253"/>
      <c r="AD946" s="253"/>
      <c r="AE946" s="253"/>
      <c r="AF946" s="253"/>
      <c r="AG946" s="253"/>
      <c r="AH946" s="253"/>
    </row>
    <row r="947">
      <c r="A947" s="253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  <c r="Y947" s="253"/>
      <c r="Z947" s="253"/>
      <c r="AA947" s="253"/>
      <c r="AB947" s="253"/>
      <c r="AC947" s="253"/>
      <c r="AD947" s="253"/>
      <c r="AE947" s="253"/>
      <c r="AF947" s="253"/>
      <c r="AG947" s="253"/>
      <c r="AH947" s="253"/>
    </row>
    <row r="948">
      <c r="A948" s="253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  <c r="Y948" s="253"/>
      <c r="Z948" s="253"/>
      <c r="AA948" s="253"/>
      <c r="AB948" s="253"/>
      <c r="AC948" s="253"/>
      <c r="AD948" s="253"/>
      <c r="AE948" s="253"/>
      <c r="AF948" s="253"/>
      <c r="AG948" s="253"/>
      <c r="AH948" s="253"/>
    </row>
    <row r="949">
      <c r="A949" s="253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  <c r="Y949" s="253"/>
      <c r="Z949" s="253"/>
      <c r="AA949" s="253"/>
      <c r="AB949" s="253"/>
      <c r="AC949" s="253"/>
      <c r="AD949" s="253"/>
      <c r="AE949" s="253"/>
      <c r="AF949" s="253"/>
      <c r="AG949" s="253"/>
      <c r="AH949" s="253"/>
    </row>
    <row r="950">
      <c r="A950" s="253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  <c r="Y950" s="253"/>
      <c r="Z950" s="253"/>
      <c r="AA950" s="253"/>
      <c r="AB950" s="253"/>
      <c r="AC950" s="253"/>
      <c r="AD950" s="253"/>
      <c r="AE950" s="253"/>
      <c r="AF950" s="253"/>
      <c r="AG950" s="253"/>
      <c r="AH950" s="253"/>
    </row>
    <row r="951">
      <c r="A951" s="253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  <c r="Y951" s="253"/>
      <c r="Z951" s="253"/>
      <c r="AA951" s="253"/>
      <c r="AB951" s="253"/>
      <c r="AC951" s="253"/>
      <c r="AD951" s="253"/>
      <c r="AE951" s="253"/>
      <c r="AF951" s="253"/>
      <c r="AG951" s="253"/>
      <c r="AH951" s="253"/>
    </row>
    <row r="952">
      <c r="A952" s="253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  <c r="Y952" s="253"/>
      <c r="Z952" s="253"/>
      <c r="AA952" s="253"/>
      <c r="AB952" s="253"/>
      <c r="AC952" s="253"/>
      <c r="AD952" s="253"/>
      <c r="AE952" s="253"/>
      <c r="AF952" s="253"/>
      <c r="AG952" s="253"/>
      <c r="AH952" s="253"/>
    </row>
    <row r="953">
      <c r="A953" s="253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  <c r="Y953" s="253"/>
      <c r="Z953" s="253"/>
      <c r="AA953" s="253"/>
      <c r="AB953" s="253"/>
      <c r="AC953" s="253"/>
      <c r="AD953" s="253"/>
      <c r="AE953" s="253"/>
      <c r="AF953" s="253"/>
      <c r="AG953" s="253"/>
      <c r="AH953" s="253"/>
    </row>
    <row r="954">
      <c r="A954" s="253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  <c r="Y954" s="253"/>
      <c r="Z954" s="253"/>
      <c r="AA954" s="253"/>
      <c r="AB954" s="253"/>
      <c r="AC954" s="253"/>
      <c r="AD954" s="253"/>
      <c r="AE954" s="253"/>
      <c r="AF954" s="253"/>
      <c r="AG954" s="253"/>
      <c r="AH954" s="253"/>
    </row>
    <row r="955">
      <c r="A955" s="253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  <c r="Y955" s="253"/>
      <c r="Z955" s="253"/>
      <c r="AA955" s="253"/>
      <c r="AB955" s="253"/>
      <c r="AC955" s="253"/>
      <c r="AD955" s="253"/>
      <c r="AE955" s="253"/>
      <c r="AF955" s="253"/>
      <c r="AG955" s="253"/>
      <c r="AH955" s="253"/>
    </row>
    <row r="956">
      <c r="A956" s="253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  <c r="Y956" s="253"/>
      <c r="Z956" s="253"/>
      <c r="AA956" s="253"/>
      <c r="AB956" s="253"/>
      <c r="AC956" s="253"/>
      <c r="AD956" s="253"/>
      <c r="AE956" s="253"/>
      <c r="AF956" s="253"/>
      <c r="AG956" s="253"/>
      <c r="AH956" s="253"/>
    </row>
    <row r="957">
      <c r="A957" s="253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  <c r="Y957" s="253"/>
      <c r="Z957" s="253"/>
      <c r="AA957" s="253"/>
      <c r="AB957" s="253"/>
      <c r="AC957" s="253"/>
      <c r="AD957" s="253"/>
      <c r="AE957" s="253"/>
      <c r="AF957" s="253"/>
      <c r="AG957" s="253"/>
      <c r="AH957" s="253"/>
    </row>
    <row r="958">
      <c r="A958" s="253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  <c r="Y958" s="253"/>
      <c r="Z958" s="253"/>
      <c r="AA958" s="253"/>
      <c r="AB958" s="253"/>
      <c r="AC958" s="253"/>
      <c r="AD958" s="253"/>
      <c r="AE958" s="253"/>
      <c r="AF958" s="253"/>
      <c r="AG958" s="253"/>
      <c r="AH958" s="253"/>
    </row>
    <row r="959">
      <c r="A959" s="253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  <c r="Y959" s="253"/>
      <c r="Z959" s="253"/>
      <c r="AA959" s="253"/>
      <c r="AB959" s="253"/>
      <c r="AC959" s="253"/>
      <c r="AD959" s="253"/>
      <c r="AE959" s="253"/>
      <c r="AF959" s="253"/>
      <c r="AG959" s="253"/>
      <c r="AH959" s="253"/>
    </row>
    <row r="960">
      <c r="A960" s="253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  <c r="Y960" s="253"/>
      <c r="Z960" s="253"/>
      <c r="AA960" s="253"/>
      <c r="AB960" s="253"/>
      <c r="AC960" s="253"/>
      <c r="AD960" s="253"/>
      <c r="AE960" s="253"/>
      <c r="AF960" s="253"/>
      <c r="AG960" s="253"/>
      <c r="AH960" s="253"/>
    </row>
    <row r="961">
      <c r="A961" s="253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  <c r="Y961" s="253"/>
      <c r="Z961" s="253"/>
      <c r="AA961" s="253"/>
      <c r="AB961" s="253"/>
      <c r="AC961" s="253"/>
      <c r="AD961" s="253"/>
      <c r="AE961" s="253"/>
      <c r="AF961" s="253"/>
      <c r="AG961" s="253"/>
      <c r="AH961" s="253"/>
    </row>
    <row r="962">
      <c r="A962" s="253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  <c r="Y962" s="253"/>
      <c r="Z962" s="253"/>
      <c r="AA962" s="253"/>
      <c r="AB962" s="253"/>
      <c r="AC962" s="253"/>
      <c r="AD962" s="253"/>
      <c r="AE962" s="253"/>
      <c r="AF962" s="253"/>
      <c r="AG962" s="253"/>
      <c r="AH962" s="253"/>
    </row>
    <row r="963">
      <c r="A963" s="253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  <c r="Y963" s="253"/>
      <c r="Z963" s="253"/>
      <c r="AA963" s="253"/>
      <c r="AB963" s="253"/>
      <c r="AC963" s="253"/>
      <c r="AD963" s="253"/>
      <c r="AE963" s="253"/>
      <c r="AF963" s="253"/>
      <c r="AG963" s="253"/>
      <c r="AH963" s="253"/>
    </row>
    <row r="964">
      <c r="A964" s="253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  <c r="Y964" s="253"/>
      <c r="Z964" s="253"/>
      <c r="AA964" s="253"/>
      <c r="AB964" s="253"/>
      <c r="AC964" s="253"/>
      <c r="AD964" s="253"/>
      <c r="AE964" s="253"/>
      <c r="AF964" s="253"/>
      <c r="AG964" s="253"/>
      <c r="AH964" s="253"/>
    </row>
    <row r="965">
      <c r="A965" s="253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  <c r="Y965" s="253"/>
      <c r="Z965" s="253"/>
      <c r="AA965" s="253"/>
      <c r="AB965" s="253"/>
      <c r="AC965" s="253"/>
      <c r="AD965" s="253"/>
      <c r="AE965" s="253"/>
      <c r="AF965" s="253"/>
      <c r="AG965" s="253"/>
      <c r="AH965" s="253"/>
    </row>
    <row r="966">
      <c r="A966" s="253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  <c r="Y966" s="253"/>
      <c r="Z966" s="253"/>
      <c r="AA966" s="253"/>
      <c r="AB966" s="253"/>
      <c r="AC966" s="253"/>
      <c r="AD966" s="253"/>
      <c r="AE966" s="253"/>
      <c r="AF966" s="253"/>
      <c r="AG966" s="253"/>
      <c r="AH966" s="253"/>
    </row>
    <row r="967">
      <c r="A967" s="253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  <c r="Y967" s="253"/>
      <c r="Z967" s="253"/>
      <c r="AA967" s="253"/>
      <c r="AB967" s="253"/>
      <c r="AC967" s="253"/>
      <c r="AD967" s="253"/>
      <c r="AE967" s="253"/>
      <c r="AF967" s="253"/>
      <c r="AG967" s="253"/>
      <c r="AH967" s="253"/>
    </row>
    <row r="968">
      <c r="A968" s="253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  <c r="Y968" s="253"/>
      <c r="Z968" s="253"/>
      <c r="AA968" s="253"/>
      <c r="AB968" s="253"/>
      <c r="AC968" s="253"/>
      <c r="AD968" s="253"/>
      <c r="AE968" s="253"/>
      <c r="AF968" s="253"/>
      <c r="AG968" s="253"/>
      <c r="AH968" s="253"/>
    </row>
    <row r="969">
      <c r="A969" s="253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  <c r="Y969" s="253"/>
      <c r="Z969" s="253"/>
      <c r="AA969" s="253"/>
      <c r="AB969" s="253"/>
      <c r="AC969" s="253"/>
      <c r="AD969" s="253"/>
      <c r="AE969" s="253"/>
      <c r="AF969" s="253"/>
      <c r="AG969" s="253"/>
      <c r="AH969" s="253"/>
    </row>
    <row r="970">
      <c r="A970" s="253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  <c r="Y970" s="253"/>
      <c r="Z970" s="253"/>
      <c r="AA970" s="253"/>
      <c r="AB970" s="253"/>
      <c r="AC970" s="253"/>
      <c r="AD970" s="253"/>
      <c r="AE970" s="253"/>
      <c r="AF970" s="253"/>
      <c r="AG970" s="253"/>
      <c r="AH970" s="253"/>
    </row>
    <row r="971">
      <c r="A971" s="253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  <c r="Y971" s="253"/>
      <c r="Z971" s="253"/>
      <c r="AA971" s="253"/>
      <c r="AB971" s="253"/>
      <c r="AC971" s="253"/>
      <c r="AD971" s="253"/>
      <c r="AE971" s="253"/>
      <c r="AF971" s="253"/>
      <c r="AG971" s="253"/>
      <c r="AH971" s="253"/>
    </row>
    <row r="972">
      <c r="A972" s="253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  <c r="Y972" s="253"/>
      <c r="Z972" s="253"/>
      <c r="AA972" s="253"/>
      <c r="AB972" s="253"/>
      <c r="AC972" s="253"/>
      <c r="AD972" s="253"/>
      <c r="AE972" s="253"/>
      <c r="AF972" s="253"/>
      <c r="AG972" s="253"/>
      <c r="AH972" s="253"/>
    </row>
    <row r="973">
      <c r="A973" s="253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  <c r="Y973" s="253"/>
      <c r="Z973" s="253"/>
      <c r="AA973" s="253"/>
      <c r="AB973" s="253"/>
      <c r="AC973" s="253"/>
      <c r="AD973" s="253"/>
      <c r="AE973" s="253"/>
      <c r="AF973" s="253"/>
      <c r="AG973" s="253"/>
      <c r="AH973" s="253"/>
    </row>
    <row r="974">
      <c r="A974" s="253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  <c r="Y974" s="253"/>
      <c r="Z974" s="253"/>
      <c r="AA974" s="253"/>
      <c r="AB974" s="253"/>
      <c r="AC974" s="253"/>
      <c r="AD974" s="253"/>
      <c r="AE974" s="253"/>
      <c r="AF974" s="253"/>
      <c r="AG974" s="253"/>
      <c r="AH974" s="253"/>
    </row>
    <row r="975">
      <c r="A975" s="253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  <c r="Y975" s="253"/>
      <c r="Z975" s="253"/>
      <c r="AA975" s="253"/>
      <c r="AB975" s="253"/>
      <c r="AC975" s="253"/>
      <c r="AD975" s="253"/>
      <c r="AE975" s="253"/>
      <c r="AF975" s="253"/>
      <c r="AG975" s="253"/>
      <c r="AH975" s="253"/>
    </row>
    <row r="976">
      <c r="A976" s="253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  <c r="Y976" s="253"/>
      <c r="Z976" s="253"/>
      <c r="AA976" s="253"/>
      <c r="AB976" s="253"/>
      <c r="AC976" s="253"/>
      <c r="AD976" s="253"/>
      <c r="AE976" s="253"/>
      <c r="AF976" s="253"/>
      <c r="AG976" s="253"/>
      <c r="AH976" s="253"/>
    </row>
    <row r="977">
      <c r="A977" s="253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  <c r="Y977" s="253"/>
      <c r="Z977" s="253"/>
      <c r="AA977" s="253"/>
      <c r="AB977" s="253"/>
      <c r="AC977" s="253"/>
      <c r="AD977" s="253"/>
      <c r="AE977" s="253"/>
      <c r="AF977" s="253"/>
      <c r="AG977" s="253"/>
      <c r="AH977" s="253"/>
    </row>
    <row r="978">
      <c r="A978" s="253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  <c r="Y978" s="253"/>
      <c r="Z978" s="253"/>
      <c r="AA978" s="253"/>
      <c r="AB978" s="253"/>
      <c r="AC978" s="253"/>
      <c r="AD978" s="253"/>
      <c r="AE978" s="253"/>
      <c r="AF978" s="253"/>
      <c r="AG978" s="253"/>
      <c r="AH978" s="253"/>
    </row>
    <row r="979">
      <c r="A979" s="253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  <c r="Y979" s="253"/>
      <c r="Z979" s="253"/>
      <c r="AA979" s="253"/>
      <c r="AB979" s="253"/>
      <c r="AC979" s="253"/>
      <c r="AD979" s="253"/>
      <c r="AE979" s="253"/>
      <c r="AF979" s="253"/>
      <c r="AG979" s="253"/>
      <c r="AH979" s="253"/>
    </row>
    <row r="980">
      <c r="A980" s="253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  <c r="Y980" s="253"/>
      <c r="Z980" s="253"/>
      <c r="AA980" s="253"/>
      <c r="AB980" s="253"/>
      <c r="AC980" s="253"/>
      <c r="AD980" s="253"/>
      <c r="AE980" s="253"/>
      <c r="AF980" s="253"/>
      <c r="AG980" s="253"/>
      <c r="AH980" s="253"/>
    </row>
    <row r="981">
      <c r="A981" s="253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  <c r="Y981" s="253"/>
      <c r="Z981" s="253"/>
      <c r="AA981" s="253"/>
      <c r="AB981" s="253"/>
      <c r="AC981" s="253"/>
      <c r="AD981" s="253"/>
      <c r="AE981" s="253"/>
      <c r="AF981" s="253"/>
      <c r="AG981" s="253"/>
      <c r="AH981" s="253"/>
    </row>
    <row r="982">
      <c r="A982" s="253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253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  <c r="Y982" s="253"/>
      <c r="Z982" s="253"/>
      <c r="AA982" s="253"/>
      <c r="AB982" s="253"/>
      <c r="AC982" s="253"/>
      <c r="AD982" s="253"/>
      <c r="AE982" s="253"/>
      <c r="AF982" s="253"/>
      <c r="AG982" s="253"/>
      <c r="AH982" s="253"/>
    </row>
    <row r="983">
      <c r="A983" s="253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253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  <c r="Y983" s="253"/>
      <c r="Z983" s="253"/>
      <c r="AA983" s="253"/>
      <c r="AB983" s="253"/>
      <c r="AC983" s="253"/>
      <c r="AD983" s="253"/>
      <c r="AE983" s="253"/>
      <c r="AF983" s="253"/>
      <c r="AG983" s="253"/>
      <c r="AH983" s="253"/>
    </row>
    <row r="984">
      <c r="A984" s="253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253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  <c r="Y984" s="253"/>
      <c r="Z984" s="253"/>
      <c r="AA984" s="253"/>
      <c r="AB984" s="253"/>
      <c r="AC984" s="253"/>
      <c r="AD984" s="253"/>
      <c r="AE984" s="253"/>
      <c r="AF984" s="253"/>
      <c r="AG984" s="253"/>
      <c r="AH984" s="253"/>
    </row>
    <row r="985">
      <c r="A985" s="253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253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  <c r="Y985" s="253"/>
      <c r="Z985" s="253"/>
      <c r="AA985" s="253"/>
      <c r="AB985" s="253"/>
      <c r="AC985" s="253"/>
      <c r="AD985" s="253"/>
      <c r="AE985" s="253"/>
      <c r="AF985" s="253"/>
      <c r="AG985" s="253"/>
      <c r="AH985" s="253"/>
    </row>
    <row r="986">
      <c r="A986" s="253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253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  <c r="Y986" s="253"/>
      <c r="Z986" s="253"/>
      <c r="AA986" s="253"/>
      <c r="AB986" s="253"/>
      <c r="AC986" s="253"/>
      <c r="AD986" s="253"/>
      <c r="AE986" s="253"/>
      <c r="AF986" s="253"/>
      <c r="AG986" s="253"/>
      <c r="AH986" s="253"/>
    </row>
    <row r="987">
      <c r="A987" s="253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253"/>
      <c r="M987" s="253"/>
      <c r="N987" s="253"/>
      <c r="O987" s="253"/>
      <c r="P987" s="253"/>
      <c r="Q987" s="253"/>
      <c r="R987" s="253"/>
      <c r="S987" s="253"/>
      <c r="T987" s="253"/>
      <c r="U987" s="253"/>
      <c r="V987" s="253"/>
      <c r="W987" s="253"/>
      <c r="X987" s="253"/>
      <c r="Y987" s="253"/>
      <c r="Z987" s="253"/>
      <c r="AA987" s="253"/>
      <c r="AB987" s="253"/>
      <c r="AC987" s="253"/>
      <c r="AD987" s="253"/>
      <c r="AE987" s="253"/>
      <c r="AF987" s="253"/>
      <c r="AG987" s="253"/>
      <c r="AH987" s="253"/>
    </row>
    <row r="988">
      <c r="A988" s="253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253"/>
      <c r="M988" s="253"/>
      <c r="N988" s="253"/>
      <c r="O988" s="253"/>
      <c r="P988" s="253"/>
      <c r="Q988" s="253"/>
      <c r="R988" s="253"/>
      <c r="S988" s="253"/>
      <c r="T988" s="253"/>
      <c r="U988" s="253"/>
      <c r="V988" s="253"/>
      <c r="W988" s="253"/>
      <c r="X988" s="253"/>
      <c r="Y988" s="253"/>
      <c r="Z988" s="253"/>
      <c r="AA988" s="253"/>
      <c r="AB988" s="253"/>
      <c r="AC988" s="253"/>
      <c r="AD988" s="253"/>
      <c r="AE988" s="253"/>
      <c r="AF988" s="253"/>
      <c r="AG988" s="253"/>
      <c r="AH988" s="253"/>
    </row>
    <row r="989">
      <c r="A989" s="253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253"/>
      <c r="M989" s="253"/>
      <c r="N989" s="253"/>
      <c r="O989" s="253"/>
      <c r="P989" s="253"/>
      <c r="Q989" s="253"/>
      <c r="R989" s="253"/>
      <c r="S989" s="253"/>
      <c r="T989" s="253"/>
      <c r="U989" s="253"/>
      <c r="V989" s="253"/>
      <c r="W989" s="253"/>
      <c r="X989" s="253"/>
      <c r="Y989" s="253"/>
      <c r="Z989" s="253"/>
      <c r="AA989" s="253"/>
      <c r="AB989" s="253"/>
      <c r="AC989" s="253"/>
      <c r="AD989" s="253"/>
      <c r="AE989" s="253"/>
      <c r="AF989" s="253"/>
      <c r="AG989" s="253"/>
      <c r="AH989" s="253"/>
    </row>
    <row r="990">
      <c r="A990" s="253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253"/>
      <c r="M990" s="253"/>
      <c r="N990" s="253"/>
      <c r="O990" s="253"/>
      <c r="P990" s="253"/>
      <c r="Q990" s="253"/>
      <c r="R990" s="253"/>
      <c r="S990" s="253"/>
      <c r="T990" s="253"/>
      <c r="U990" s="253"/>
      <c r="V990" s="253"/>
      <c r="W990" s="253"/>
      <c r="X990" s="253"/>
      <c r="Y990" s="253"/>
      <c r="Z990" s="253"/>
      <c r="AA990" s="253"/>
      <c r="AB990" s="253"/>
      <c r="AC990" s="253"/>
      <c r="AD990" s="253"/>
      <c r="AE990" s="253"/>
      <c r="AF990" s="253"/>
      <c r="AG990" s="253"/>
      <c r="AH990" s="253"/>
    </row>
    <row r="991">
      <c r="A991" s="253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253"/>
      <c r="M991" s="253"/>
      <c r="N991" s="253"/>
      <c r="O991" s="253"/>
      <c r="P991" s="253"/>
      <c r="Q991" s="253"/>
      <c r="R991" s="253"/>
      <c r="S991" s="253"/>
      <c r="T991" s="253"/>
      <c r="U991" s="253"/>
      <c r="V991" s="253"/>
      <c r="W991" s="253"/>
      <c r="X991" s="253"/>
      <c r="Y991" s="253"/>
      <c r="Z991" s="253"/>
      <c r="AA991" s="253"/>
      <c r="AB991" s="253"/>
      <c r="AC991" s="253"/>
      <c r="AD991" s="253"/>
      <c r="AE991" s="253"/>
      <c r="AF991" s="253"/>
      <c r="AG991" s="253"/>
      <c r="AH991" s="253"/>
    </row>
    <row r="992">
      <c r="A992" s="253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253"/>
      <c r="M992" s="253"/>
      <c r="N992" s="253"/>
      <c r="O992" s="253"/>
      <c r="P992" s="253"/>
      <c r="Q992" s="253"/>
      <c r="R992" s="253"/>
      <c r="S992" s="253"/>
      <c r="T992" s="253"/>
      <c r="U992" s="253"/>
      <c r="V992" s="253"/>
      <c r="W992" s="253"/>
      <c r="X992" s="253"/>
      <c r="Y992" s="253"/>
      <c r="Z992" s="253"/>
      <c r="AA992" s="253"/>
      <c r="AB992" s="253"/>
      <c r="AC992" s="253"/>
      <c r="AD992" s="253"/>
      <c r="AE992" s="253"/>
      <c r="AF992" s="253"/>
      <c r="AG992" s="253"/>
      <c r="AH992" s="253"/>
    </row>
    <row r="993">
      <c r="A993" s="253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253"/>
      <c r="M993" s="253"/>
      <c r="N993" s="253"/>
      <c r="O993" s="253"/>
      <c r="P993" s="253"/>
      <c r="Q993" s="253"/>
      <c r="R993" s="253"/>
      <c r="S993" s="253"/>
      <c r="T993" s="253"/>
      <c r="U993" s="253"/>
      <c r="V993" s="253"/>
      <c r="W993" s="253"/>
      <c r="X993" s="253"/>
      <c r="Y993" s="253"/>
      <c r="Z993" s="253"/>
      <c r="AA993" s="253"/>
      <c r="AB993" s="253"/>
      <c r="AC993" s="253"/>
      <c r="AD993" s="253"/>
      <c r="AE993" s="253"/>
      <c r="AF993" s="253"/>
      <c r="AG993" s="253"/>
      <c r="AH993" s="253"/>
    </row>
    <row r="994">
      <c r="A994" s="253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253"/>
      <c r="M994" s="253"/>
      <c r="N994" s="253"/>
      <c r="O994" s="253"/>
      <c r="P994" s="253"/>
      <c r="Q994" s="253"/>
      <c r="R994" s="253"/>
      <c r="S994" s="253"/>
      <c r="T994" s="253"/>
      <c r="U994" s="253"/>
      <c r="V994" s="253"/>
      <c r="W994" s="253"/>
      <c r="X994" s="253"/>
      <c r="Y994" s="253"/>
      <c r="Z994" s="253"/>
      <c r="AA994" s="253"/>
      <c r="AB994" s="253"/>
      <c r="AC994" s="253"/>
      <c r="AD994" s="253"/>
      <c r="AE994" s="253"/>
      <c r="AF994" s="253"/>
      <c r="AG994" s="253"/>
      <c r="AH994" s="253"/>
    </row>
    <row r="995">
      <c r="A995" s="253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253"/>
      <c r="M995" s="253"/>
      <c r="N995" s="253"/>
      <c r="O995" s="253"/>
      <c r="P995" s="253"/>
      <c r="Q995" s="253"/>
      <c r="R995" s="253"/>
      <c r="S995" s="253"/>
      <c r="T995" s="253"/>
      <c r="U995" s="253"/>
      <c r="V995" s="253"/>
      <c r="W995" s="253"/>
      <c r="X995" s="253"/>
      <c r="Y995" s="253"/>
      <c r="Z995" s="253"/>
      <c r="AA995" s="253"/>
      <c r="AB995" s="253"/>
      <c r="AC995" s="253"/>
      <c r="AD995" s="253"/>
      <c r="AE995" s="253"/>
      <c r="AF995" s="253"/>
      <c r="AG995" s="253"/>
      <c r="AH995" s="2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38.88"/>
    <col customWidth="1" min="3" max="3" width="15.75"/>
    <col customWidth="1" min="10" max="10" width="8.88"/>
  </cols>
  <sheetData>
    <row r="1">
      <c r="A1" s="342" t="s">
        <v>141</v>
      </c>
      <c r="B1" s="343" t="s">
        <v>142</v>
      </c>
      <c r="C1" s="344" t="s">
        <v>143</v>
      </c>
      <c r="D1" s="343" t="s">
        <v>144</v>
      </c>
      <c r="E1" s="342" t="s">
        <v>145</v>
      </c>
      <c r="F1" s="342" t="s">
        <v>146</v>
      </c>
      <c r="G1" s="342" t="s">
        <v>147</v>
      </c>
      <c r="H1" s="345" t="s">
        <v>148</v>
      </c>
      <c r="I1" s="345" t="s">
        <v>149</v>
      </c>
      <c r="J1" s="345" t="s">
        <v>33</v>
      </c>
      <c r="K1" s="345" t="s">
        <v>150</v>
      </c>
      <c r="L1" s="345" t="s">
        <v>50</v>
      </c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</row>
    <row r="2">
      <c r="A2" s="262"/>
      <c r="B2" s="315" t="s">
        <v>151</v>
      </c>
      <c r="C2" s="346"/>
      <c r="D2" s="266"/>
      <c r="E2" s="262"/>
      <c r="F2" s="262"/>
      <c r="G2" s="262"/>
      <c r="H2" s="347" t="str">
        <f t="shared" ref="H2:I2" si="1">#REF!</f>
        <v>#REF!</v>
      </c>
      <c r="I2" s="348" t="str">
        <f t="shared" si="1"/>
        <v>#REF!</v>
      </c>
      <c r="J2" s="349"/>
      <c r="K2" s="349" t="str">
        <f>#REF!</f>
        <v>#REF!</v>
      </c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</row>
    <row r="3">
      <c r="A3" s="273"/>
      <c r="B3" s="350"/>
      <c r="C3" s="346"/>
      <c r="D3" s="266"/>
      <c r="E3" s="262"/>
      <c r="F3" s="262"/>
      <c r="G3" s="262"/>
      <c r="H3" s="351"/>
      <c r="I3" s="352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</row>
    <row r="4">
      <c r="A4" s="273" t="s">
        <v>152</v>
      </c>
      <c r="B4" s="353"/>
      <c r="C4" s="346"/>
      <c r="D4" s="266"/>
      <c r="E4" s="262"/>
      <c r="F4" s="262"/>
      <c r="G4" s="262"/>
      <c r="H4" s="351"/>
      <c r="I4" s="354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</row>
    <row r="5">
      <c r="A5" s="355"/>
      <c r="B5" s="343" t="s">
        <v>153</v>
      </c>
      <c r="C5" s="356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</row>
    <row r="6">
      <c r="A6" s="273">
        <v>1.0</v>
      </c>
      <c r="B6" s="358"/>
      <c r="C6" s="359"/>
      <c r="D6" s="360"/>
      <c r="E6" s="360"/>
      <c r="F6" s="360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</row>
    <row r="7">
      <c r="A7" s="273">
        <v>2.0</v>
      </c>
      <c r="B7" s="361"/>
      <c r="C7" s="359"/>
      <c r="D7" s="360"/>
      <c r="E7" s="360"/>
      <c r="F7" s="360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</row>
    <row r="8">
      <c r="A8" s="273">
        <v>3.0</v>
      </c>
      <c r="B8" s="362"/>
      <c r="C8" s="359"/>
      <c r="D8" s="360"/>
      <c r="E8" s="360"/>
      <c r="F8" s="360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</row>
    <row r="9">
      <c r="A9" s="273">
        <v>4.0</v>
      </c>
      <c r="B9" s="362"/>
      <c r="C9" s="359"/>
      <c r="D9" s="360"/>
      <c r="E9" s="360"/>
      <c r="F9" s="360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</row>
    <row r="10">
      <c r="A10" s="273"/>
      <c r="B10" s="363"/>
      <c r="C10" s="34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</row>
    <row r="11">
      <c r="A11" s="355"/>
      <c r="B11" s="343" t="s">
        <v>154</v>
      </c>
      <c r="C11" s="356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</row>
    <row r="12">
      <c r="A12" s="273"/>
      <c r="B12" s="362"/>
      <c r="C12" s="364"/>
      <c r="D12" s="362"/>
      <c r="E12" s="365"/>
      <c r="F12" s="366"/>
      <c r="G12" s="349"/>
      <c r="H12" s="347"/>
      <c r="I12" s="367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</row>
    <row r="13">
      <c r="A13" s="273"/>
      <c r="B13" s="362"/>
      <c r="C13" s="364"/>
      <c r="D13" s="362"/>
      <c r="E13" s="365"/>
      <c r="F13" s="366"/>
      <c r="G13" s="349"/>
      <c r="H13" s="347"/>
      <c r="I13" s="367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9"/>
      <c r="Y13" s="349"/>
    </row>
    <row r="14">
      <c r="A14" s="273"/>
      <c r="B14" s="362"/>
      <c r="C14" s="364"/>
      <c r="D14" s="362"/>
      <c r="E14" s="365"/>
      <c r="F14" s="366"/>
      <c r="G14" s="349"/>
      <c r="H14" s="347"/>
      <c r="I14" s="368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</row>
    <row r="15">
      <c r="A15" s="273"/>
      <c r="B15" s="362"/>
      <c r="C15" s="359"/>
      <c r="D15" s="360"/>
      <c r="E15" s="360"/>
      <c r="F15" s="360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</row>
    <row r="16">
      <c r="A16" s="273"/>
      <c r="B16" s="362"/>
      <c r="C16" s="359"/>
      <c r="D16" s="360"/>
      <c r="E16" s="360"/>
      <c r="F16" s="360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</row>
    <row r="17">
      <c r="A17" s="273"/>
      <c r="B17" s="315"/>
      <c r="C17" s="34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</row>
    <row r="18">
      <c r="A18" s="273"/>
      <c r="B18" s="315"/>
      <c r="C18" s="34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</row>
    <row r="19">
      <c r="A19" s="273"/>
      <c r="B19" s="315"/>
      <c r="C19" s="34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</row>
    <row r="20">
      <c r="A20" s="273"/>
      <c r="B20" s="315"/>
      <c r="C20" s="369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</row>
    <row r="21">
      <c r="A21" s="273"/>
      <c r="B21" s="315"/>
      <c r="C21" s="34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</row>
    <row r="22">
      <c r="A22" s="273"/>
      <c r="B22" s="315"/>
      <c r="C22" s="34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</row>
    <row r="23">
      <c r="A23" s="273"/>
      <c r="B23" s="315"/>
      <c r="C23" s="34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</row>
    <row r="24">
      <c r="A24" s="273"/>
      <c r="B24" s="315"/>
      <c r="C24" s="34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</row>
    <row r="25">
      <c r="A25" s="273"/>
      <c r="B25" s="315"/>
      <c r="C25" s="34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</row>
    <row r="26">
      <c r="A26" s="273"/>
      <c r="B26" s="315"/>
      <c r="C26" s="34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</row>
    <row r="27">
      <c r="A27" s="273"/>
      <c r="B27" s="315"/>
      <c r="C27" s="34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</row>
    <row r="28">
      <c r="A28" s="273"/>
      <c r="B28" s="315"/>
      <c r="C28" s="34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</row>
    <row r="29">
      <c r="A29" s="273"/>
      <c r="B29" s="315"/>
      <c r="C29" s="34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</row>
    <row r="30">
      <c r="A30" s="273"/>
      <c r="B30" s="315"/>
      <c r="C30" s="34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</row>
    <row r="31">
      <c r="A31" s="273"/>
      <c r="B31" s="315"/>
      <c r="C31" s="34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</row>
    <row r="32">
      <c r="A32" s="273"/>
      <c r="B32" s="315"/>
      <c r="C32" s="34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</row>
    <row r="33">
      <c r="A33" s="273"/>
      <c r="B33" s="315"/>
      <c r="C33" s="34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</row>
    <row r="34">
      <c r="A34" s="273"/>
      <c r="B34" s="315"/>
      <c r="C34" s="34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</row>
    <row r="35">
      <c r="A35" s="273"/>
      <c r="B35" s="315"/>
      <c r="C35" s="34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</row>
    <row r="36">
      <c r="A36" s="273"/>
      <c r="B36" s="315"/>
      <c r="C36" s="34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</row>
    <row r="37">
      <c r="A37" s="273"/>
      <c r="B37" s="315"/>
      <c r="C37" s="34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</row>
    <row r="38">
      <c r="A38" s="273"/>
      <c r="B38" s="315"/>
      <c r="C38" s="34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</row>
    <row r="39">
      <c r="A39" s="273"/>
      <c r="B39" s="315"/>
      <c r="C39" s="34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</row>
    <row r="40">
      <c r="A40" s="273"/>
      <c r="B40" s="315"/>
      <c r="C40" s="34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</row>
    <row r="41">
      <c r="A41" s="273"/>
      <c r="B41" s="315"/>
      <c r="C41" s="34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</row>
    <row r="42">
      <c r="A42" s="273"/>
      <c r="B42" s="315"/>
      <c r="C42" s="34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</row>
    <row r="43">
      <c r="A43" s="273"/>
      <c r="B43" s="315"/>
      <c r="C43" s="34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6"/>
      <c r="S43" s="266"/>
      <c r="T43" s="266"/>
      <c r="U43" s="266"/>
      <c r="V43" s="266"/>
      <c r="W43" s="266"/>
      <c r="X43" s="266"/>
      <c r="Y43" s="266"/>
    </row>
    <row r="44">
      <c r="A44" s="273"/>
      <c r="B44" s="315"/>
      <c r="C44" s="34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</row>
    <row r="45">
      <c r="A45" s="273"/>
      <c r="B45" s="315"/>
      <c r="C45" s="34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</row>
    <row r="46">
      <c r="A46" s="273"/>
      <c r="B46" s="315"/>
      <c r="C46" s="34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</row>
    <row r="47">
      <c r="A47" s="273"/>
      <c r="B47" s="315"/>
      <c r="C47" s="34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  <c r="W47" s="266"/>
      <c r="X47" s="266"/>
      <c r="Y47" s="266"/>
    </row>
    <row r="48">
      <c r="A48" s="273"/>
      <c r="B48" s="315"/>
      <c r="C48" s="34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</row>
    <row r="49">
      <c r="A49" s="273"/>
      <c r="B49" s="315"/>
      <c r="C49" s="34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</row>
    <row r="50">
      <c r="A50" s="273"/>
      <c r="B50" s="315"/>
      <c r="C50" s="34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</row>
    <row r="51">
      <c r="A51" s="273"/>
      <c r="B51" s="315"/>
      <c r="C51" s="34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</row>
    <row r="52">
      <c r="A52" s="273"/>
      <c r="B52" s="315"/>
      <c r="C52" s="34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X52" s="266"/>
      <c r="Y52" s="266"/>
    </row>
    <row r="53">
      <c r="A53" s="273"/>
      <c r="B53" s="315"/>
      <c r="C53" s="34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</row>
    <row r="54">
      <c r="A54" s="273"/>
      <c r="B54" s="315"/>
      <c r="C54" s="34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</row>
    <row r="55">
      <c r="A55" s="273"/>
      <c r="B55" s="315"/>
      <c r="C55" s="34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</row>
    <row r="56">
      <c r="A56" s="273"/>
      <c r="B56" s="315"/>
      <c r="C56" s="34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</row>
    <row r="57">
      <c r="A57" s="273"/>
      <c r="B57" s="315"/>
      <c r="C57" s="34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</row>
    <row r="58">
      <c r="A58" s="273"/>
      <c r="B58" s="315"/>
      <c r="C58" s="346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</row>
    <row r="59">
      <c r="A59" s="273"/>
      <c r="B59" s="315"/>
      <c r="C59" s="34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6"/>
      <c r="V59" s="266"/>
      <c r="W59" s="266"/>
      <c r="X59" s="266"/>
      <c r="Y59" s="266"/>
    </row>
    <row r="60">
      <c r="A60" s="273"/>
      <c r="B60" s="315"/>
      <c r="C60" s="346"/>
      <c r="D60" s="266"/>
      <c r="E60" s="266"/>
      <c r="F60" s="266"/>
      <c r="G60" s="266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6"/>
      <c r="V60" s="266"/>
      <c r="W60" s="266"/>
      <c r="X60" s="266"/>
      <c r="Y60" s="266"/>
    </row>
    <row r="61">
      <c r="A61" s="273"/>
      <c r="B61" s="315"/>
      <c r="C61" s="34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</row>
    <row r="62">
      <c r="A62" s="273"/>
      <c r="B62" s="315"/>
      <c r="C62" s="34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</row>
    <row r="63">
      <c r="A63" s="273"/>
      <c r="B63" s="315"/>
      <c r="C63" s="346"/>
      <c r="D63" s="266"/>
      <c r="E63" s="266"/>
      <c r="F63" s="266"/>
      <c r="G63" s="266"/>
      <c r="H63" s="266"/>
      <c r="I63" s="266"/>
      <c r="J63" s="266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</row>
    <row r="64">
      <c r="A64" s="273"/>
      <c r="B64" s="315"/>
      <c r="C64" s="346"/>
      <c r="D64" s="266"/>
      <c r="E64" s="266"/>
      <c r="F64" s="266"/>
      <c r="G64" s="266"/>
      <c r="H64" s="266"/>
      <c r="I64" s="266"/>
      <c r="J64" s="266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66"/>
      <c r="V64" s="266"/>
      <c r="W64" s="266"/>
      <c r="X64" s="266"/>
      <c r="Y64" s="266"/>
    </row>
    <row r="65">
      <c r="A65" s="273"/>
      <c r="B65" s="315"/>
      <c r="C65" s="346"/>
      <c r="D65" s="266"/>
      <c r="E65" s="266"/>
      <c r="F65" s="266"/>
      <c r="G65" s="266"/>
      <c r="H65" s="266"/>
      <c r="I65" s="266"/>
      <c r="J65" s="266"/>
      <c r="K65" s="266"/>
      <c r="L65" s="266"/>
      <c r="M65" s="266"/>
      <c r="N65" s="266"/>
      <c r="O65" s="266"/>
      <c r="P65" s="266"/>
      <c r="Q65" s="266"/>
      <c r="R65" s="266"/>
      <c r="S65" s="266"/>
      <c r="T65" s="266"/>
      <c r="U65" s="266"/>
      <c r="V65" s="266"/>
      <c r="W65" s="266"/>
      <c r="X65" s="266"/>
      <c r="Y65" s="266"/>
    </row>
    <row r="66">
      <c r="A66" s="273"/>
      <c r="B66" s="315"/>
      <c r="C66" s="34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</row>
    <row r="67">
      <c r="A67" s="273"/>
      <c r="B67" s="315"/>
      <c r="C67" s="34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66"/>
      <c r="X67" s="266"/>
      <c r="Y67" s="266"/>
    </row>
    <row r="68">
      <c r="A68" s="273"/>
      <c r="B68" s="315"/>
      <c r="C68" s="34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/>
      <c r="V68" s="266"/>
      <c r="W68" s="266"/>
      <c r="X68" s="266"/>
      <c r="Y68" s="266"/>
    </row>
    <row r="69">
      <c r="A69" s="273"/>
      <c r="B69" s="315"/>
      <c r="C69" s="34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</row>
    <row r="70">
      <c r="A70" s="273"/>
      <c r="B70" s="315"/>
      <c r="C70" s="34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</row>
    <row r="71">
      <c r="A71" s="273"/>
      <c r="B71" s="315"/>
      <c r="C71" s="34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</row>
    <row r="72">
      <c r="A72" s="273"/>
      <c r="B72" s="315"/>
      <c r="C72" s="34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</row>
    <row r="73">
      <c r="A73" s="273"/>
      <c r="B73" s="315"/>
      <c r="C73" s="34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</row>
    <row r="74">
      <c r="A74" s="273"/>
      <c r="B74" s="315"/>
      <c r="C74" s="34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</row>
    <row r="75">
      <c r="A75" s="273"/>
      <c r="B75" s="315"/>
      <c r="C75" s="34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</row>
    <row r="76">
      <c r="A76" s="273"/>
      <c r="B76" s="315"/>
      <c r="C76" s="34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</row>
    <row r="77">
      <c r="A77" s="273"/>
      <c r="B77" s="315"/>
      <c r="C77" s="34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</row>
    <row r="78">
      <c r="A78" s="273"/>
      <c r="B78" s="315"/>
      <c r="C78" s="34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</row>
    <row r="79">
      <c r="A79" s="273"/>
      <c r="B79" s="315"/>
      <c r="C79" s="34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</row>
    <row r="80">
      <c r="A80" s="273"/>
      <c r="B80" s="315"/>
      <c r="C80" s="34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</row>
    <row r="81">
      <c r="A81" s="273"/>
      <c r="B81" s="315"/>
      <c r="C81" s="34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</row>
    <row r="82">
      <c r="A82" s="273"/>
      <c r="B82" s="315"/>
      <c r="C82" s="34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>
      <c r="A83" s="273"/>
      <c r="B83" s="315"/>
      <c r="C83" s="34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</row>
    <row r="84">
      <c r="A84" s="273"/>
      <c r="B84" s="315"/>
      <c r="C84" s="34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</row>
    <row r="85">
      <c r="A85" s="273"/>
      <c r="B85" s="315"/>
      <c r="C85" s="34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</row>
    <row r="86">
      <c r="A86" s="273"/>
      <c r="B86" s="315"/>
      <c r="C86" s="34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</row>
    <row r="87">
      <c r="A87" s="273"/>
      <c r="B87" s="315"/>
      <c r="C87" s="34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</row>
    <row r="88">
      <c r="A88" s="273"/>
      <c r="B88" s="315"/>
      <c r="C88" s="34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</row>
    <row r="89">
      <c r="A89" s="273"/>
      <c r="B89" s="315"/>
      <c r="C89" s="34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</row>
    <row r="90">
      <c r="A90" s="273"/>
      <c r="B90" s="315"/>
      <c r="C90" s="34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</row>
    <row r="91">
      <c r="A91" s="273"/>
      <c r="B91" s="315"/>
      <c r="C91" s="34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</row>
    <row r="92">
      <c r="A92" s="273"/>
      <c r="B92" s="315"/>
      <c r="C92" s="34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</row>
    <row r="93">
      <c r="A93" s="273"/>
      <c r="B93" s="315"/>
      <c r="C93" s="34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</row>
    <row r="94">
      <c r="A94" s="273"/>
      <c r="B94" s="315"/>
      <c r="C94" s="34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</row>
    <row r="95">
      <c r="A95" s="273"/>
      <c r="B95" s="315"/>
      <c r="C95" s="34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</row>
    <row r="96">
      <c r="A96" s="273"/>
      <c r="B96" s="315"/>
      <c r="C96" s="34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</row>
    <row r="97">
      <c r="A97" s="273"/>
      <c r="B97" s="315"/>
      <c r="C97" s="34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</row>
    <row r="98">
      <c r="A98" s="273"/>
      <c r="B98" s="315"/>
      <c r="C98" s="34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</row>
    <row r="99">
      <c r="A99" s="273"/>
      <c r="B99" s="315"/>
      <c r="C99" s="34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</row>
    <row r="100">
      <c r="A100" s="273">
        <v>2.0</v>
      </c>
      <c r="B100" s="315"/>
      <c r="C100" s="34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</row>
    <row r="101">
      <c r="A101" s="273"/>
      <c r="B101" s="363"/>
      <c r="C101" s="34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</row>
    <row r="102">
      <c r="A102" s="370"/>
      <c r="B102" s="371" t="s">
        <v>155</v>
      </c>
      <c r="C102" s="372" t="s">
        <v>156</v>
      </c>
      <c r="D102" s="373" t="s">
        <v>157</v>
      </c>
      <c r="E102" s="373" t="s">
        <v>158</v>
      </c>
      <c r="F102" s="373"/>
      <c r="G102" s="373" t="s">
        <v>159</v>
      </c>
      <c r="H102" s="374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</row>
    <row r="103">
      <c r="A103" s="370"/>
      <c r="B103" s="375"/>
      <c r="C103" s="376" t="s">
        <v>160</v>
      </c>
      <c r="D103" s="377"/>
      <c r="E103" s="377"/>
      <c r="F103" s="377"/>
      <c r="G103" s="377"/>
      <c r="H103" s="377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</row>
    <row r="104">
      <c r="A104" s="370"/>
      <c r="B104" s="375"/>
      <c r="C104" s="378" t="s">
        <v>161</v>
      </c>
      <c r="D104" s="377"/>
      <c r="E104" s="266"/>
      <c r="H104" s="377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</row>
    <row r="105">
      <c r="A105" s="370"/>
      <c r="B105" s="375" t="s">
        <v>162</v>
      </c>
      <c r="C105" s="376" t="s">
        <v>163</v>
      </c>
      <c r="D105" s="379" t="s">
        <v>164</v>
      </c>
      <c r="E105" s="379" t="s">
        <v>165</v>
      </c>
      <c r="F105" s="379"/>
      <c r="G105" s="379">
        <v>3.0</v>
      </c>
      <c r="H105" s="377" t="s">
        <v>166</v>
      </c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</row>
    <row r="106">
      <c r="A106" s="370"/>
      <c r="B106" s="375" t="s">
        <v>167</v>
      </c>
      <c r="C106" s="376" t="s">
        <v>168</v>
      </c>
      <c r="D106" s="379" t="s">
        <v>169</v>
      </c>
      <c r="E106" s="379" t="s">
        <v>170</v>
      </c>
      <c r="F106" s="379"/>
      <c r="G106" s="379">
        <v>3.0</v>
      </c>
      <c r="H106" s="377" t="s">
        <v>171</v>
      </c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</row>
    <row r="107">
      <c r="A107" s="370"/>
      <c r="B107" s="375" t="s">
        <v>172</v>
      </c>
      <c r="C107" s="376" t="s">
        <v>173</v>
      </c>
      <c r="D107" s="379" t="s">
        <v>174</v>
      </c>
      <c r="E107" s="379" t="s">
        <v>175</v>
      </c>
      <c r="F107" s="379"/>
      <c r="G107" s="379">
        <v>3.0</v>
      </c>
      <c r="H107" s="377" t="s">
        <v>176</v>
      </c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</row>
    <row r="108">
      <c r="A108" s="370"/>
      <c r="B108" s="375" t="s">
        <v>177</v>
      </c>
      <c r="C108" s="376" t="s">
        <v>178</v>
      </c>
      <c r="D108" s="379" t="s">
        <v>169</v>
      </c>
      <c r="E108" s="379" t="s">
        <v>170</v>
      </c>
      <c r="F108" s="379"/>
      <c r="G108" s="379">
        <v>1.0</v>
      </c>
      <c r="H108" s="377" t="s">
        <v>179</v>
      </c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</row>
    <row r="109">
      <c r="A109" s="370"/>
      <c r="B109" s="375" t="s">
        <v>180</v>
      </c>
      <c r="C109" s="376" t="s">
        <v>181</v>
      </c>
      <c r="D109" s="379" t="s">
        <v>182</v>
      </c>
      <c r="E109" s="379" t="s">
        <v>183</v>
      </c>
      <c r="F109" s="380"/>
      <c r="G109" s="380">
        <v>4.0</v>
      </c>
      <c r="H109" s="377" t="s">
        <v>184</v>
      </c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</row>
    <row r="110">
      <c r="A110" s="370"/>
      <c r="B110" s="375" t="s">
        <v>185</v>
      </c>
      <c r="C110" s="376" t="s">
        <v>186</v>
      </c>
      <c r="D110" s="379" t="s">
        <v>187</v>
      </c>
      <c r="E110" s="379" t="s">
        <v>188</v>
      </c>
      <c r="F110" s="380"/>
      <c r="G110" s="380">
        <v>4.0</v>
      </c>
      <c r="H110" s="381" t="s">
        <v>189</v>
      </c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</row>
    <row r="111">
      <c r="A111" s="370"/>
      <c r="B111" s="375"/>
      <c r="C111" s="378" t="s">
        <v>190</v>
      </c>
      <c r="D111" s="377"/>
      <c r="E111" s="377"/>
      <c r="F111" s="377"/>
      <c r="G111" s="377"/>
      <c r="H111" s="377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</row>
    <row r="112">
      <c r="A112" s="370"/>
      <c r="B112" s="375" t="s">
        <v>191</v>
      </c>
      <c r="C112" s="376" t="s">
        <v>192</v>
      </c>
      <c r="D112" s="377" t="s">
        <v>193</v>
      </c>
      <c r="E112" s="382" t="s">
        <v>194</v>
      </c>
      <c r="F112" s="380"/>
      <c r="G112" s="380">
        <v>4.0</v>
      </c>
      <c r="H112" s="377" t="s">
        <v>195</v>
      </c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</row>
    <row r="113">
      <c r="A113" s="370"/>
      <c r="B113" s="375"/>
      <c r="C113" s="378" t="s">
        <v>196</v>
      </c>
      <c r="D113" s="377"/>
      <c r="E113" s="377"/>
      <c r="F113" s="377"/>
      <c r="G113" s="377"/>
      <c r="H113" s="377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</row>
    <row r="114">
      <c r="A114" s="370"/>
      <c r="B114" s="375"/>
      <c r="C114" s="376" t="s">
        <v>197</v>
      </c>
      <c r="D114" s="379" t="s">
        <v>198</v>
      </c>
      <c r="E114" s="379" t="s">
        <v>199</v>
      </c>
      <c r="F114" s="379"/>
      <c r="G114" s="379">
        <v>3.0</v>
      </c>
      <c r="H114" s="377" t="s">
        <v>200</v>
      </c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</row>
    <row r="115">
      <c r="A115" s="370"/>
      <c r="B115" s="375"/>
      <c r="C115" s="376"/>
      <c r="D115" s="377"/>
      <c r="E115" s="377"/>
      <c r="F115" s="377"/>
      <c r="G115" s="377"/>
      <c r="H115" s="377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</row>
    <row r="116">
      <c r="A116" s="370"/>
      <c r="B116" s="375"/>
      <c r="C116" s="376"/>
      <c r="D116" s="377"/>
      <c r="E116" s="377"/>
      <c r="F116" s="377"/>
      <c r="G116" s="377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</row>
    <row r="117">
      <c r="A117" s="370"/>
      <c r="B117" s="375"/>
      <c r="C117" s="378" t="s">
        <v>201</v>
      </c>
      <c r="D117" s="377"/>
      <c r="E117" s="377"/>
      <c r="F117" s="377"/>
      <c r="G117" s="377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</row>
    <row r="118">
      <c r="A118" s="370"/>
      <c r="B118" s="375"/>
      <c r="C118" s="376" t="s">
        <v>202</v>
      </c>
      <c r="D118" s="377"/>
      <c r="E118" s="377"/>
      <c r="F118" s="377"/>
      <c r="G118" s="377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</row>
    <row r="119">
      <c r="A119" s="273"/>
      <c r="B119" s="363"/>
      <c r="C119" s="34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</row>
    <row r="120">
      <c r="A120" s="370"/>
      <c r="B120" s="371" t="s">
        <v>155</v>
      </c>
      <c r="C120" s="383" t="s">
        <v>203</v>
      </c>
      <c r="D120" s="384" t="s">
        <v>157</v>
      </c>
      <c r="F120" s="385"/>
      <c r="G120" s="385" t="s">
        <v>158</v>
      </c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</row>
    <row r="121">
      <c r="A121" s="370"/>
      <c r="B121" s="386"/>
      <c r="C121" s="387"/>
      <c r="D121" s="384" t="s">
        <v>204</v>
      </c>
      <c r="E121" s="388" t="s">
        <v>205</v>
      </c>
      <c r="F121" s="389"/>
      <c r="G121" s="389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</row>
    <row r="122">
      <c r="A122" s="370"/>
      <c r="B122" s="375" t="s">
        <v>206</v>
      </c>
      <c r="C122" s="376" t="s">
        <v>207</v>
      </c>
      <c r="D122" s="377" t="s">
        <v>208</v>
      </c>
      <c r="E122" s="377"/>
      <c r="F122" s="377"/>
      <c r="G122" s="377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</row>
    <row r="123">
      <c r="A123" s="370"/>
      <c r="B123" s="375" t="s">
        <v>209</v>
      </c>
      <c r="C123" s="376" t="s">
        <v>210</v>
      </c>
      <c r="D123" s="377" t="s">
        <v>211</v>
      </c>
      <c r="E123" s="377"/>
      <c r="F123" s="377"/>
      <c r="G123" s="377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</row>
    <row r="124">
      <c r="A124" s="370"/>
      <c r="B124" s="375" t="s">
        <v>212</v>
      </c>
      <c r="C124" s="376" t="s">
        <v>213</v>
      </c>
      <c r="D124" s="377" t="s">
        <v>214</v>
      </c>
      <c r="E124" s="377"/>
      <c r="F124" s="377"/>
      <c r="G124" s="377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</row>
    <row r="125">
      <c r="A125" s="370"/>
      <c r="B125" s="375" t="s">
        <v>215</v>
      </c>
      <c r="C125" s="376" t="s">
        <v>216</v>
      </c>
      <c r="D125" s="377" t="s">
        <v>217</v>
      </c>
      <c r="E125" s="377"/>
      <c r="F125" s="377"/>
      <c r="G125" s="377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</row>
    <row r="126">
      <c r="A126" s="370"/>
      <c r="B126" s="375"/>
      <c r="C126" s="376"/>
      <c r="D126" s="377"/>
      <c r="E126" s="377"/>
      <c r="F126" s="377"/>
      <c r="G126" s="377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</row>
    <row r="127">
      <c r="A127" s="370"/>
      <c r="B127" s="375"/>
      <c r="C127" s="376"/>
      <c r="D127" s="377"/>
      <c r="E127" s="377"/>
      <c r="F127" s="377"/>
      <c r="G127" s="377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</row>
    <row r="128">
      <c r="A128" s="370"/>
      <c r="B128" s="375" t="s">
        <v>218</v>
      </c>
      <c r="C128" s="376" t="s">
        <v>219</v>
      </c>
      <c r="D128" s="377" t="s">
        <v>220</v>
      </c>
      <c r="E128" s="377"/>
      <c r="F128" s="377"/>
      <c r="G128" s="377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</row>
    <row r="129">
      <c r="A129" s="370"/>
      <c r="B129" s="375"/>
      <c r="C129" s="376"/>
      <c r="D129" s="377"/>
      <c r="E129" s="377"/>
      <c r="F129" s="377"/>
      <c r="G129" s="377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</row>
    <row r="130">
      <c r="A130" s="370"/>
      <c r="B130" s="390" t="s">
        <v>221</v>
      </c>
      <c r="C130" s="378" t="s">
        <v>222</v>
      </c>
      <c r="D130" s="377"/>
      <c r="E130" s="377"/>
      <c r="F130" s="377"/>
      <c r="G130" s="377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</row>
    <row r="131">
      <c r="A131" s="370"/>
      <c r="B131" s="375" t="s">
        <v>223</v>
      </c>
      <c r="C131" s="376" t="s">
        <v>224</v>
      </c>
      <c r="D131" s="391">
        <v>0.1</v>
      </c>
      <c r="E131" s="377"/>
      <c r="F131" s="377"/>
      <c r="G131" s="377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</row>
    <row r="132">
      <c r="A132" s="370"/>
      <c r="B132" s="375" t="s">
        <v>225</v>
      </c>
      <c r="C132" s="376" t="s">
        <v>224</v>
      </c>
      <c r="D132" s="391">
        <v>0.5</v>
      </c>
      <c r="E132" s="377"/>
      <c r="F132" s="377"/>
      <c r="G132" s="377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</row>
    <row r="133">
      <c r="A133" s="370"/>
      <c r="B133" s="375" t="s">
        <v>226</v>
      </c>
      <c r="C133" s="376" t="s">
        <v>224</v>
      </c>
      <c r="D133" s="391">
        <v>0.5</v>
      </c>
      <c r="E133" s="377"/>
      <c r="F133" s="377"/>
      <c r="G133" s="377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</row>
    <row r="134">
      <c r="A134" s="370"/>
      <c r="B134" s="375" t="s">
        <v>227</v>
      </c>
      <c r="C134" s="376" t="s">
        <v>224</v>
      </c>
      <c r="D134" s="391">
        <v>1.0</v>
      </c>
      <c r="E134" s="377"/>
      <c r="F134" s="377"/>
      <c r="G134" s="377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</row>
    <row r="135">
      <c r="A135" s="370"/>
      <c r="B135" s="375" t="s">
        <v>228</v>
      </c>
      <c r="C135" s="376" t="s">
        <v>229</v>
      </c>
      <c r="D135" s="391">
        <v>0.1</v>
      </c>
      <c r="E135" s="377"/>
      <c r="F135" s="377"/>
      <c r="G135" s="377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</row>
    <row r="136">
      <c r="A136" s="370"/>
      <c r="B136" s="375" t="s">
        <v>230</v>
      </c>
      <c r="C136" s="376" t="s">
        <v>224</v>
      </c>
      <c r="D136" s="391">
        <v>0.2</v>
      </c>
      <c r="E136" s="377"/>
      <c r="F136" s="377"/>
      <c r="G136" s="377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</row>
    <row r="137">
      <c r="A137" s="370"/>
      <c r="B137" s="375" t="s">
        <v>231</v>
      </c>
      <c r="C137" s="376" t="s">
        <v>232</v>
      </c>
      <c r="D137" s="391">
        <v>0.3</v>
      </c>
      <c r="E137" s="377"/>
      <c r="F137" s="377"/>
      <c r="G137" s="377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</row>
    <row r="138">
      <c r="A138" s="370"/>
      <c r="B138" s="375"/>
      <c r="C138" s="376"/>
      <c r="D138" s="377"/>
      <c r="E138" s="377"/>
      <c r="F138" s="377"/>
      <c r="G138" s="377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</row>
    <row r="139">
      <c r="A139" s="370"/>
      <c r="B139" s="390" t="s">
        <v>233</v>
      </c>
      <c r="C139" s="376"/>
      <c r="D139" s="377"/>
      <c r="E139" s="377"/>
      <c r="F139" s="377"/>
      <c r="G139" s="377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</row>
    <row r="140">
      <c r="A140" s="370"/>
      <c r="B140" s="375" t="s">
        <v>234</v>
      </c>
      <c r="C140" s="376"/>
      <c r="D140" s="377"/>
      <c r="E140" s="377"/>
      <c r="F140" s="377"/>
      <c r="G140" s="377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</row>
    <row r="141">
      <c r="A141" s="370"/>
      <c r="B141" s="375" t="s">
        <v>235</v>
      </c>
      <c r="C141" s="376"/>
      <c r="D141" s="377"/>
      <c r="E141" s="377"/>
      <c r="F141" s="377"/>
      <c r="G141" s="377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</row>
    <row r="142">
      <c r="A142" s="370"/>
      <c r="B142" s="375" t="s">
        <v>236</v>
      </c>
      <c r="C142" s="376"/>
      <c r="D142" s="377"/>
      <c r="E142" s="377"/>
      <c r="F142" s="377"/>
      <c r="G142" s="377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</row>
    <row r="143">
      <c r="A143" s="370"/>
      <c r="B143" s="375" t="s">
        <v>237</v>
      </c>
      <c r="C143" s="376"/>
      <c r="D143" s="377"/>
      <c r="E143" s="377"/>
      <c r="F143" s="377"/>
      <c r="G143" s="377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</row>
    <row r="144">
      <c r="A144" s="370"/>
      <c r="B144" s="375" t="s">
        <v>238</v>
      </c>
      <c r="C144" s="376"/>
      <c r="D144" s="377"/>
      <c r="E144" s="377"/>
      <c r="F144" s="377"/>
      <c r="G144" s="377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</row>
    <row r="145">
      <c r="A145" s="273"/>
      <c r="B145" s="363"/>
      <c r="C145" s="34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</row>
    <row r="146">
      <c r="A146" s="273"/>
      <c r="B146" s="363"/>
      <c r="C146" s="34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</row>
    <row r="147">
      <c r="A147" s="273"/>
      <c r="B147" s="363"/>
      <c r="C147" s="34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</row>
    <row r="148">
      <c r="A148" s="273"/>
      <c r="B148" s="363"/>
      <c r="C148" s="34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</row>
    <row r="149">
      <c r="A149" s="273"/>
      <c r="B149" s="363"/>
      <c r="C149" s="34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</row>
    <row r="150">
      <c r="A150" s="273"/>
      <c r="B150" s="363"/>
      <c r="C150" s="34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</row>
    <row r="151">
      <c r="A151" s="273"/>
      <c r="B151" s="363"/>
      <c r="C151" s="34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</row>
    <row r="152">
      <c r="A152" s="273"/>
      <c r="B152" s="363"/>
      <c r="C152" s="34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</row>
    <row r="153">
      <c r="A153" s="273"/>
      <c r="B153" s="363"/>
      <c r="C153" s="34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</row>
    <row r="154">
      <c r="A154" s="273"/>
      <c r="B154" s="363"/>
      <c r="C154" s="34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</row>
    <row r="155">
      <c r="A155" s="273"/>
      <c r="B155" s="363"/>
      <c r="C155" s="34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</row>
    <row r="156">
      <c r="A156" s="273"/>
      <c r="B156" s="363"/>
      <c r="C156" s="34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</row>
    <row r="157">
      <c r="A157" s="273"/>
      <c r="B157" s="363"/>
      <c r="C157" s="34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</row>
    <row r="158">
      <c r="A158" s="273"/>
      <c r="B158" s="363"/>
      <c r="C158" s="34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</row>
    <row r="159">
      <c r="A159" s="273"/>
      <c r="B159" s="363"/>
      <c r="C159" s="34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</row>
    <row r="160">
      <c r="A160" s="273"/>
      <c r="B160" s="363"/>
      <c r="C160" s="34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</row>
    <row r="161">
      <c r="A161" s="273"/>
      <c r="B161" s="363"/>
      <c r="C161" s="34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</row>
    <row r="162">
      <c r="A162" s="273"/>
      <c r="B162" s="363"/>
      <c r="C162" s="34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</row>
    <row r="163" hidden="1">
      <c r="A163" s="273" t="s">
        <v>239</v>
      </c>
      <c r="B163" s="315" t="s">
        <v>240</v>
      </c>
      <c r="C163" s="34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</row>
    <row r="164" hidden="1">
      <c r="A164" s="273"/>
      <c r="B164" s="363"/>
      <c r="C164" s="34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</row>
    <row r="165" hidden="1">
      <c r="A165" s="273"/>
      <c r="B165" s="266"/>
      <c r="C165" s="34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</row>
    <row r="166" hidden="1">
      <c r="A166" s="273"/>
      <c r="B166" s="363" t="s">
        <v>241</v>
      </c>
      <c r="C166" s="34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</row>
    <row r="167" hidden="1">
      <c r="A167" s="262"/>
      <c r="B167" s="315" t="s">
        <v>242</v>
      </c>
      <c r="C167" s="34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</row>
    <row r="168" hidden="1">
      <c r="A168" s="262"/>
      <c r="B168" s="315" t="s">
        <v>243</v>
      </c>
      <c r="C168" s="34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</row>
    <row r="169" hidden="1">
      <c r="A169" s="262"/>
      <c r="B169" s="315" t="s">
        <v>244</v>
      </c>
      <c r="C169" s="34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</row>
    <row r="170" hidden="1">
      <c r="A170" s="262"/>
      <c r="B170" s="315" t="s">
        <v>245</v>
      </c>
      <c r="C170" s="34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</row>
    <row r="171" hidden="1">
      <c r="A171" s="262"/>
      <c r="B171" s="315" t="s">
        <v>246</v>
      </c>
      <c r="C171" s="34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</row>
    <row r="172" hidden="1">
      <c r="A172" s="273"/>
      <c r="B172" s="315" t="s">
        <v>247</v>
      </c>
      <c r="C172" s="34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</row>
    <row r="173" hidden="1">
      <c r="A173" s="273"/>
      <c r="B173" s="315" t="s">
        <v>248</v>
      </c>
      <c r="C173" s="34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</row>
    <row r="174" hidden="1">
      <c r="A174" s="262"/>
      <c r="B174" s="315" t="s">
        <v>249</v>
      </c>
      <c r="C174" s="34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</row>
    <row r="175" hidden="1">
      <c r="A175" s="262"/>
      <c r="B175" s="315" t="s">
        <v>250</v>
      </c>
      <c r="C175" s="34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</row>
    <row r="176" hidden="1">
      <c r="A176" s="262"/>
      <c r="B176" s="315" t="s">
        <v>251</v>
      </c>
      <c r="C176" s="34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</row>
    <row r="177" hidden="1">
      <c r="A177" s="262"/>
      <c r="B177" s="266"/>
      <c r="C177" s="34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</row>
    <row r="178" hidden="1">
      <c r="A178" s="273" t="s">
        <v>252</v>
      </c>
      <c r="B178" s="315" t="s">
        <v>253</v>
      </c>
      <c r="C178" s="34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</row>
    <row r="179">
      <c r="A179" s="262"/>
      <c r="B179" s="315"/>
      <c r="C179" s="34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</row>
    <row r="180">
      <c r="A180" s="262"/>
      <c r="B180" s="266"/>
      <c r="C180" s="34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</row>
    <row r="181">
      <c r="A181" s="262"/>
      <c r="B181" s="266"/>
      <c r="C181" s="34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</row>
    <row r="182">
      <c r="A182" s="262"/>
      <c r="B182" s="266"/>
      <c r="C182" s="34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</row>
    <row r="183">
      <c r="A183" s="262"/>
      <c r="B183" s="266"/>
      <c r="C183" s="34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</row>
    <row r="184">
      <c r="A184" s="262"/>
      <c r="B184" s="266"/>
      <c r="C184" s="34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</row>
    <row r="185">
      <c r="A185" s="262"/>
      <c r="B185" s="266"/>
      <c r="C185" s="34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</row>
    <row r="186">
      <c r="A186" s="262"/>
      <c r="B186" s="266"/>
      <c r="C186" s="34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</row>
    <row r="187">
      <c r="A187" s="262"/>
      <c r="B187" s="266"/>
      <c r="C187" s="34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</row>
    <row r="188">
      <c r="A188" s="262"/>
      <c r="B188" s="266"/>
      <c r="C188" s="34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</row>
    <row r="189">
      <c r="A189" s="262"/>
      <c r="B189" s="266"/>
      <c r="C189" s="34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</row>
    <row r="190">
      <c r="A190" s="262"/>
      <c r="B190" s="266"/>
      <c r="C190" s="34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</row>
    <row r="191">
      <c r="A191" s="262"/>
      <c r="B191" s="266"/>
      <c r="C191" s="34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</row>
    <row r="192">
      <c r="A192" s="262"/>
      <c r="B192" s="266"/>
      <c r="C192" s="34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</row>
    <row r="193">
      <c r="A193" s="262"/>
      <c r="B193" s="266"/>
      <c r="C193" s="34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</row>
    <row r="194">
      <c r="A194" s="262"/>
      <c r="B194" s="266"/>
      <c r="C194" s="34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</row>
    <row r="195">
      <c r="A195" s="262"/>
      <c r="B195" s="266"/>
      <c r="C195" s="34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</row>
    <row r="196">
      <c r="A196" s="262"/>
      <c r="B196" s="266"/>
      <c r="C196" s="34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</row>
    <row r="197">
      <c r="A197" s="262"/>
      <c r="B197" s="266"/>
      <c r="C197" s="34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</row>
    <row r="198">
      <c r="A198" s="262"/>
      <c r="B198" s="266"/>
      <c r="C198" s="34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</row>
    <row r="199">
      <c r="A199" s="262"/>
      <c r="B199" s="266"/>
      <c r="C199" s="34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</row>
    <row r="200">
      <c r="A200" s="262"/>
      <c r="B200" s="266"/>
      <c r="C200" s="34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</row>
    <row r="201">
      <c r="A201" s="262"/>
      <c r="B201" s="266"/>
      <c r="C201" s="34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</row>
    <row r="202">
      <c r="A202" s="262"/>
      <c r="B202" s="266"/>
      <c r="C202" s="34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</row>
    <row r="203">
      <c r="A203" s="262"/>
      <c r="B203" s="266"/>
      <c r="C203" s="34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</row>
    <row r="204">
      <c r="A204" s="262"/>
      <c r="B204" s="266"/>
      <c r="C204" s="34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</row>
    <row r="205">
      <c r="A205" s="262"/>
      <c r="B205" s="266"/>
      <c r="C205" s="34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</row>
    <row r="206">
      <c r="A206" s="262"/>
      <c r="B206" s="266"/>
      <c r="C206" s="34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</row>
    <row r="207">
      <c r="A207" s="262"/>
      <c r="B207" s="266"/>
      <c r="C207" s="34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</row>
    <row r="208">
      <c r="A208" s="262"/>
      <c r="B208" s="266"/>
      <c r="C208" s="34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</row>
    <row r="209">
      <c r="A209" s="262"/>
      <c r="B209" s="266"/>
      <c r="C209" s="34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</row>
    <row r="210">
      <c r="A210" s="262"/>
      <c r="B210" s="266"/>
      <c r="C210" s="34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</row>
    <row r="211">
      <c r="A211" s="262"/>
      <c r="B211" s="266"/>
      <c r="C211" s="34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</row>
    <row r="212">
      <c r="A212" s="262"/>
      <c r="B212" s="266"/>
      <c r="C212" s="34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</row>
    <row r="213">
      <c r="A213" s="262"/>
      <c r="B213" s="266"/>
      <c r="C213" s="34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</row>
    <row r="214">
      <c r="A214" s="262"/>
      <c r="B214" s="266"/>
      <c r="C214" s="34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</row>
    <row r="215">
      <c r="A215" s="262"/>
      <c r="B215" s="266"/>
      <c r="C215" s="34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</row>
    <row r="216">
      <c r="A216" s="262"/>
      <c r="B216" s="266"/>
      <c r="C216" s="34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</row>
    <row r="217">
      <c r="A217" s="262"/>
      <c r="B217" s="266"/>
      <c r="C217" s="34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</row>
    <row r="218">
      <c r="A218" s="262"/>
      <c r="B218" s="266"/>
      <c r="C218" s="34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</row>
    <row r="219">
      <c r="A219" s="262"/>
      <c r="B219" s="266"/>
      <c r="C219" s="34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</row>
    <row r="220">
      <c r="A220" s="262"/>
      <c r="B220" s="266"/>
      <c r="C220" s="34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</row>
    <row r="221">
      <c r="A221" s="262"/>
      <c r="B221" s="266"/>
      <c r="C221" s="34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</row>
    <row r="222">
      <c r="A222" s="262"/>
      <c r="B222" s="266"/>
      <c r="C222" s="34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</row>
    <row r="223">
      <c r="A223" s="262"/>
      <c r="B223" s="266"/>
      <c r="C223" s="34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</row>
    <row r="224">
      <c r="A224" s="262"/>
      <c r="B224" s="266"/>
      <c r="C224" s="34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</row>
    <row r="225">
      <c r="A225" s="262"/>
      <c r="B225" s="266"/>
      <c r="C225" s="34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</row>
    <row r="226">
      <c r="A226" s="262"/>
      <c r="B226" s="266"/>
      <c r="C226" s="34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</row>
    <row r="227">
      <c r="A227" s="262"/>
      <c r="B227" s="266"/>
      <c r="C227" s="34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</row>
    <row r="228">
      <c r="A228" s="262"/>
      <c r="B228" s="266"/>
      <c r="C228" s="34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</row>
    <row r="229">
      <c r="A229" s="262"/>
      <c r="B229" s="266"/>
      <c r="C229" s="34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</row>
    <row r="230">
      <c r="A230" s="262"/>
      <c r="B230" s="266"/>
      <c r="C230" s="34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</row>
    <row r="231">
      <c r="A231" s="262"/>
      <c r="B231" s="266"/>
      <c r="C231" s="34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</row>
    <row r="232">
      <c r="A232" s="262"/>
      <c r="B232" s="266"/>
      <c r="C232" s="34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</row>
    <row r="233">
      <c r="A233" s="262"/>
      <c r="B233" s="266"/>
      <c r="C233" s="34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</row>
    <row r="234">
      <c r="A234" s="262"/>
      <c r="B234" s="266"/>
      <c r="C234" s="34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</row>
    <row r="235">
      <c r="A235" s="262"/>
      <c r="B235" s="266"/>
      <c r="C235" s="34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</row>
    <row r="236">
      <c r="A236" s="262"/>
      <c r="B236" s="266"/>
      <c r="C236" s="34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</row>
    <row r="237">
      <c r="A237" s="262"/>
      <c r="B237" s="266"/>
      <c r="C237" s="34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</row>
    <row r="238">
      <c r="A238" s="262"/>
      <c r="B238" s="266"/>
      <c r="C238" s="34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</row>
    <row r="239">
      <c r="A239" s="262"/>
      <c r="B239" s="266"/>
      <c r="C239" s="34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</row>
    <row r="240">
      <c r="A240" s="262"/>
      <c r="B240" s="266"/>
      <c r="C240" s="34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</row>
    <row r="241">
      <c r="A241" s="262"/>
      <c r="B241" s="266"/>
      <c r="C241" s="34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</row>
    <row r="242">
      <c r="A242" s="262"/>
      <c r="B242" s="266"/>
      <c r="C242" s="34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</row>
    <row r="243">
      <c r="A243" s="262"/>
      <c r="B243" s="266"/>
      <c r="C243" s="34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</row>
    <row r="244">
      <c r="A244" s="262"/>
      <c r="B244" s="266"/>
      <c r="C244" s="34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</row>
    <row r="245">
      <c r="A245" s="262"/>
      <c r="B245" s="266"/>
      <c r="C245" s="34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</row>
    <row r="246">
      <c r="A246" s="262"/>
      <c r="B246" s="266"/>
      <c r="C246" s="34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</row>
    <row r="247">
      <c r="A247" s="262"/>
      <c r="B247" s="266"/>
      <c r="C247" s="34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</row>
    <row r="248">
      <c r="A248" s="262"/>
      <c r="B248" s="266"/>
      <c r="C248" s="34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</row>
    <row r="249">
      <c r="A249" s="262"/>
      <c r="B249" s="266"/>
      <c r="C249" s="34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</row>
    <row r="250">
      <c r="A250" s="262"/>
      <c r="B250" s="266"/>
      <c r="C250" s="34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</row>
    <row r="251">
      <c r="A251" s="262"/>
      <c r="B251" s="266"/>
      <c r="C251" s="34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</row>
    <row r="252">
      <c r="A252" s="262"/>
      <c r="B252" s="266"/>
      <c r="C252" s="34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</row>
    <row r="253">
      <c r="A253" s="262"/>
      <c r="B253" s="266"/>
      <c r="C253" s="34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</row>
    <row r="254">
      <c r="A254" s="262"/>
      <c r="B254" s="266"/>
      <c r="C254" s="34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</row>
    <row r="255">
      <c r="A255" s="262"/>
      <c r="B255" s="266"/>
      <c r="C255" s="34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</row>
    <row r="256">
      <c r="A256" s="262"/>
      <c r="B256" s="266"/>
      <c r="C256" s="34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</row>
    <row r="257">
      <c r="A257" s="262"/>
      <c r="B257" s="266"/>
      <c r="C257" s="34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</row>
    <row r="258">
      <c r="A258" s="262"/>
      <c r="B258" s="266"/>
      <c r="C258" s="34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</row>
    <row r="259">
      <c r="A259" s="262"/>
      <c r="B259" s="266"/>
      <c r="C259" s="34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</row>
    <row r="260">
      <c r="A260" s="262"/>
      <c r="B260" s="266"/>
      <c r="C260" s="34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</row>
    <row r="261">
      <c r="A261" s="262"/>
      <c r="B261" s="266"/>
      <c r="C261" s="34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</row>
    <row r="262">
      <c r="A262" s="262"/>
      <c r="B262" s="266"/>
      <c r="C262" s="34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</row>
    <row r="263">
      <c r="A263" s="262"/>
      <c r="B263" s="266"/>
      <c r="C263" s="34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</row>
    <row r="264">
      <c r="A264" s="262"/>
      <c r="B264" s="266"/>
      <c r="C264" s="34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</row>
    <row r="265">
      <c r="A265" s="262"/>
      <c r="B265" s="266"/>
      <c r="C265" s="34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</row>
    <row r="266">
      <c r="A266" s="262"/>
      <c r="B266" s="266"/>
      <c r="C266" s="34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</row>
    <row r="267">
      <c r="A267" s="262"/>
      <c r="B267" s="266"/>
      <c r="C267" s="34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</row>
    <row r="268">
      <c r="A268" s="262"/>
      <c r="B268" s="266"/>
      <c r="C268" s="34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</row>
    <row r="269">
      <c r="A269" s="262"/>
      <c r="B269" s="266"/>
      <c r="C269" s="34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</row>
    <row r="270">
      <c r="A270" s="262"/>
      <c r="B270" s="266"/>
      <c r="C270" s="34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</row>
    <row r="271">
      <c r="A271" s="262"/>
      <c r="B271" s="266"/>
      <c r="C271" s="34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</row>
    <row r="272">
      <c r="A272" s="262"/>
      <c r="B272" s="266"/>
      <c r="C272" s="34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</row>
    <row r="273">
      <c r="A273" s="262"/>
      <c r="B273" s="266"/>
      <c r="C273" s="34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</row>
    <row r="274">
      <c r="A274" s="262"/>
      <c r="B274" s="266"/>
      <c r="C274" s="34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</row>
    <row r="275">
      <c r="A275" s="262"/>
      <c r="B275" s="266"/>
      <c r="C275" s="34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</row>
    <row r="276">
      <c r="A276" s="262"/>
      <c r="B276" s="266"/>
      <c r="C276" s="34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</row>
    <row r="277">
      <c r="A277" s="262"/>
      <c r="B277" s="266"/>
      <c r="C277" s="34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</row>
    <row r="278">
      <c r="A278" s="262"/>
      <c r="B278" s="266"/>
      <c r="C278" s="34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</row>
    <row r="279">
      <c r="A279" s="262"/>
      <c r="B279" s="266"/>
      <c r="C279" s="34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</row>
    <row r="280">
      <c r="A280" s="262"/>
      <c r="B280" s="266"/>
      <c r="C280" s="34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</row>
    <row r="281">
      <c r="A281" s="262"/>
      <c r="B281" s="266"/>
      <c r="C281" s="34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</row>
    <row r="282">
      <c r="A282" s="262"/>
      <c r="B282" s="266"/>
      <c r="C282" s="34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</row>
    <row r="283">
      <c r="A283" s="262"/>
      <c r="B283" s="266"/>
      <c r="C283" s="34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</row>
    <row r="284">
      <c r="A284" s="262"/>
      <c r="B284" s="266"/>
      <c r="C284" s="34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</row>
    <row r="285">
      <c r="A285" s="262"/>
      <c r="B285" s="266"/>
      <c r="C285" s="34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</row>
    <row r="286">
      <c r="A286" s="262"/>
      <c r="B286" s="266"/>
      <c r="C286" s="34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</row>
    <row r="287">
      <c r="A287" s="262"/>
      <c r="B287" s="266"/>
      <c r="C287" s="34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</row>
    <row r="288">
      <c r="A288" s="262"/>
      <c r="B288" s="266"/>
      <c r="C288" s="34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</row>
    <row r="289">
      <c r="A289" s="262"/>
      <c r="B289" s="266"/>
      <c r="C289" s="34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</row>
    <row r="290">
      <c r="A290" s="262"/>
      <c r="B290" s="266"/>
      <c r="C290" s="34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</row>
    <row r="291">
      <c r="A291" s="262"/>
      <c r="B291" s="266"/>
      <c r="C291" s="34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</row>
    <row r="292">
      <c r="A292" s="262"/>
      <c r="B292" s="266"/>
      <c r="C292" s="34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</row>
    <row r="293">
      <c r="A293" s="262"/>
      <c r="B293" s="266"/>
      <c r="C293" s="34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</row>
    <row r="294">
      <c r="A294" s="262"/>
      <c r="B294" s="266"/>
      <c r="C294" s="34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</row>
    <row r="295">
      <c r="A295" s="262"/>
      <c r="B295" s="266"/>
      <c r="C295" s="34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</row>
    <row r="296">
      <c r="A296" s="262"/>
      <c r="B296" s="266"/>
      <c r="C296" s="34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</row>
    <row r="297">
      <c r="A297" s="262"/>
      <c r="B297" s="266"/>
      <c r="C297" s="34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</row>
    <row r="298">
      <c r="A298" s="262"/>
      <c r="B298" s="266"/>
      <c r="C298" s="34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</row>
    <row r="299">
      <c r="A299" s="262"/>
      <c r="B299" s="266"/>
      <c r="C299" s="34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</row>
    <row r="300">
      <c r="A300" s="262"/>
      <c r="B300" s="266"/>
      <c r="C300" s="34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</row>
    <row r="301">
      <c r="A301" s="262"/>
      <c r="B301" s="266"/>
      <c r="C301" s="34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</row>
    <row r="302">
      <c r="A302" s="262"/>
      <c r="B302" s="266"/>
      <c r="C302" s="34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</row>
    <row r="303">
      <c r="A303" s="262"/>
      <c r="B303" s="266"/>
      <c r="C303" s="34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</row>
    <row r="304">
      <c r="A304" s="262"/>
      <c r="B304" s="266"/>
      <c r="C304" s="34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</row>
    <row r="305">
      <c r="A305" s="262"/>
      <c r="B305" s="266"/>
      <c r="C305" s="34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</row>
    <row r="306">
      <c r="A306" s="262"/>
      <c r="B306" s="266"/>
      <c r="C306" s="34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</row>
    <row r="307">
      <c r="A307" s="262"/>
      <c r="B307" s="266"/>
      <c r="C307" s="34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</row>
    <row r="308">
      <c r="A308" s="262"/>
      <c r="B308" s="266"/>
      <c r="C308" s="34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</row>
    <row r="309">
      <c r="A309" s="262"/>
      <c r="B309" s="266"/>
      <c r="C309" s="34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</row>
    <row r="310">
      <c r="A310" s="262"/>
      <c r="B310" s="266"/>
      <c r="C310" s="34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</row>
    <row r="311">
      <c r="A311" s="262"/>
      <c r="B311" s="266"/>
      <c r="C311" s="34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</row>
    <row r="312">
      <c r="A312" s="262"/>
      <c r="B312" s="266"/>
      <c r="C312" s="34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</row>
    <row r="313">
      <c r="A313" s="262"/>
      <c r="B313" s="266"/>
      <c r="C313" s="34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</row>
    <row r="314">
      <c r="A314" s="262"/>
      <c r="B314" s="266"/>
      <c r="C314" s="34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</row>
    <row r="315">
      <c r="A315" s="262"/>
      <c r="B315" s="266"/>
      <c r="C315" s="34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</row>
    <row r="316">
      <c r="A316" s="262"/>
      <c r="B316" s="266"/>
      <c r="C316" s="34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</row>
    <row r="317">
      <c r="A317" s="262"/>
      <c r="B317" s="266"/>
      <c r="C317" s="34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</row>
    <row r="318">
      <c r="A318" s="262"/>
      <c r="B318" s="266"/>
      <c r="C318" s="34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</row>
    <row r="319">
      <c r="A319" s="262"/>
      <c r="B319" s="266"/>
      <c r="C319" s="34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</row>
    <row r="320">
      <c r="A320" s="262"/>
      <c r="B320" s="266"/>
      <c r="C320" s="34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</row>
    <row r="321">
      <c r="A321" s="262"/>
      <c r="B321" s="266"/>
      <c r="C321" s="34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</row>
    <row r="322">
      <c r="A322" s="262"/>
      <c r="B322" s="266"/>
      <c r="C322" s="34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</row>
    <row r="323">
      <c r="A323" s="262"/>
      <c r="B323" s="266"/>
      <c r="C323" s="34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</row>
    <row r="324">
      <c r="A324" s="262"/>
      <c r="B324" s="266"/>
      <c r="C324" s="34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</row>
    <row r="325">
      <c r="A325" s="262"/>
      <c r="B325" s="266"/>
      <c r="C325" s="34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</row>
    <row r="326">
      <c r="A326" s="262"/>
      <c r="B326" s="266"/>
      <c r="C326" s="34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</row>
    <row r="327">
      <c r="A327" s="262"/>
      <c r="B327" s="266"/>
      <c r="C327" s="34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</row>
    <row r="328">
      <c r="A328" s="262"/>
      <c r="B328" s="266"/>
      <c r="C328" s="34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</row>
    <row r="329">
      <c r="A329" s="262"/>
      <c r="B329" s="266"/>
      <c r="C329" s="34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</row>
    <row r="330">
      <c r="A330" s="262"/>
      <c r="B330" s="266"/>
      <c r="C330" s="34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</row>
    <row r="331">
      <c r="A331" s="262"/>
      <c r="B331" s="266"/>
      <c r="C331" s="34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</row>
    <row r="332">
      <c r="A332" s="262"/>
      <c r="B332" s="266"/>
      <c r="C332" s="34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</row>
    <row r="333">
      <c r="A333" s="262"/>
      <c r="B333" s="266"/>
      <c r="C333" s="34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</row>
    <row r="334">
      <c r="A334" s="262"/>
      <c r="B334" s="266"/>
      <c r="C334" s="34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</row>
    <row r="335">
      <c r="A335" s="262"/>
      <c r="B335" s="266"/>
      <c r="C335" s="34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</row>
    <row r="336">
      <c r="A336" s="262"/>
      <c r="B336" s="266"/>
      <c r="C336" s="34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</row>
    <row r="337">
      <c r="A337" s="262"/>
      <c r="B337" s="266"/>
      <c r="C337" s="34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</row>
    <row r="338">
      <c r="A338" s="262"/>
      <c r="B338" s="266"/>
      <c r="C338" s="34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</row>
    <row r="339">
      <c r="A339" s="262"/>
      <c r="B339" s="266"/>
      <c r="C339" s="34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</row>
    <row r="340">
      <c r="A340" s="262"/>
      <c r="B340" s="266"/>
      <c r="C340" s="34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</row>
    <row r="341">
      <c r="A341" s="262"/>
      <c r="B341" s="266"/>
      <c r="C341" s="34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</row>
    <row r="342">
      <c r="A342" s="262"/>
      <c r="B342" s="266"/>
      <c r="C342" s="34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</row>
    <row r="343">
      <c r="A343" s="262"/>
      <c r="B343" s="266"/>
      <c r="C343" s="34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</row>
    <row r="344">
      <c r="A344" s="262"/>
      <c r="B344" s="266"/>
      <c r="C344" s="34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</row>
    <row r="345">
      <c r="A345" s="262"/>
      <c r="B345" s="266"/>
      <c r="C345" s="34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</row>
    <row r="346">
      <c r="A346" s="262"/>
      <c r="B346" s="266"/>
      <c r="C346" s="34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</row>
    <row r="347">
      <c r="A347" s="262"/>
      <c r="B347" s="266"/>
      <c r="C347" s="34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</row>
    <row r="348">
      <c r="A348" s="262"/>
      <c r="B348" s="266"/>
      <c r="C348" s="34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</row>
    <row r="349">
      <c r="A349" s="262"/>
      <c r="B349" s="266"/>
      <c r="C349" s="34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</row>
    <row r="350">
      <c r="A350" s="262"/>
      <c r="B350" s="266"/>
      <c r="C350" s="34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</row>
    <row r="351">
      <c r="A351" s="262"/>
      <c r="B351" s="266"/>
      <c r="C351" s="34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</row>
    <row r="352">
      <c r="A352" s="262"/>
      <c r="B352" s="266"/>
      <c r="C352" s="34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</row>
    <row r="353">
      <c r="A353" s="262"/>
      <c r="B353" s="266"/>
      <c r="C353" s="34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</row>
    <row r="354">
      <c r="A354" s="262"/>
      <c r="B354" s="266"/>
      <c r="C354" s="34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</row>
    <row r="355">
      <c r="A355" s="262"/>
      <c r="B355" s="266"/>
      <c r="C355" s="34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</row>
    <row r="356">
      <c r="A356" s="262"/>
      <c r="B356" s="266"/>
      <c r="C356" s="34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</row>
    <row r="357">
      <c r="A357" s="262"/>
      <c r="B357" s="266"/>
      <c r="C357" s="34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</row>
    <row r="358">
      <c r="A358" s="262"/>
      <c r="B358" s="266"/>
      <c r="C358" s="34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</row>
    <row r="359">
      <c r="A359" s="262"/>
      <c r="B359" s="266"/>
      <c r="C359" s="34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</row>
    <row r="360">
      <c r="A360" s="262"/>
      <c r="B360" s="266"/>
      <c r="C360" s="34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</row>
    <row r="361">
      <c r="A361" s="262"/>
      <c r="B361" s="266"/>
      <c r="C361" s="34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</row>
    <row r="362">
      <c r="A362" s="262"/>
      <c r="B362" s="266"/>
      <c r="C362" s="34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</row>
    <row r="363">
      <c r="A363" s="262"/>
      <c r="B363" s="266"/>
      <c r="C363" s="34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</row>
    <row r="364">
      <c r="A364" s="262"/>
      <c r="B364" s="266"/>
      <c r="C364" s="34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</row>
    <row r="365">
      <c r="A365" s="262"/>
      <c r="B365" s="266"/>
      <c r="C365" s="34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</row>
    <row r="366">
      <c r="A366" s="262"/>
      <c r="B366" s="266"/>
      <c r="C366" s="34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</row>
    <row r="367">
      <c r="A367" s="262"/>
      <c r="B367" s="266"/>
      <c r="C367" s="34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</row>
    <row r="368">
      <c r="A368" s="262"/>
      <c r="B368" s="266"/>
      <c r="C368" s="34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</row>
    <row r="369">
      <c r="A369" s="262"/>
      <c r="B369" s="266"/>
      <c r="C369" s="34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</row>
    <row r="370">
      <c r="A370" s="262"/>
      <c r="B370" s="266"/>
      <c r="C370" s="34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</row>
    <row r="371">
      <c r="A371" s="262"/>
      <c r="B371" s="266"/>
      <c r="C371" s="34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</row>
    <row r="372">
      <c r="A372" s="262"/>
      <c r="B372" s="266"/>
      <c r="C372" s="34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</row>
    <row r="373">
      <c r="A373" s="262"/>
      <c r="B373" s="266"/>
      <c r="C373" s="34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</row>
    <row r="374">
      <c r="A374" s="262"/>
      <c r="B374" s="266"/>
      <c r="C374" s="34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</row>
    <row r="375">
      <c r="A375" s="262"/>
      <c r="B375" s="266"/>
      <c r="C375" s="34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</row>
    <row r="376">
      <c r="A376" s="262"/>
      <c r="B376" s="266"/>
      <c r="C376" s="34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</row>
    <row r="377">
      <c r="A377" s="262"/>
      <c r="B377" s="266"/>
      <c r="C377" s="34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</row>
    <row r="378">
      <c r="A378" s="262"/>
      <c r="B378" s="266"/>
      <c r="C378" s="34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</row>
    <row r="379">
      <c r="A379" s="262"/>
      <c r="B379" s="266"/>
      <c r="C379" s="34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</row>
    <row r="380">
      <c r="A380" s="262"/>
      <c r="B380" s="266"/>
      <c r="C380" s="34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</row>
    <row r="381">
      <c r="A381" s="262"/>
      <c r="B381" s="266"/>
      <c r="C381" s="34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</row>
    <row r="382">
      <c r="A382" s="262"/>
      <c r="B382" s="266"/>
      <c r="C382" s="34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</row>
    <row r="383">
      <c r="A383" s="262"/>
      <c r="B383" s="266"/>
      <c r="C383" s="34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</row>
    <row r="384">
      <c r="A384" s="262"/>
      <c r="B384" s="266"/>
      <c r="C384" s="34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</row>
    <row r="385">
      <c r="A385" s="262"/>
      <c r="B385" s="266"/>
      <c r="C385" s="34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</row>
    <row r="386">
      <c r="A386" s="262"/>
      <c r="B386" s="266"/>
      <c r="C386" s="34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</row>
    <row r="387">
      <c r="A387" s="262"/>
      <c r="B387" s="266"/>
      <c r="C387" s="34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</row>
    <row r="388">
      <c r="A388" s="262"/>
      <c r="B388" s="266"/>
      <c r="C388" s="34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</row>
    <row r="389">
      <c r="A389" s="262"/>
      <c r="B389" s="266"/>
      <c r="C389" s="34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</row>
    <row r="390">
      <c r="A390" s="262"/>
      <c r="B390" s="266"/>
      <c r="C390" s="34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</row>
    <row r="391">
      <c r="A391" s="262"/>
      <c r="B391" s="266"/>
      <c r="C391" s="34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</row>
    <row r="392">
      <c r="A392" s="262"/>
      <c r="B392" s="266"/>
      <c r="C392" s="34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</row>
    <row r="393">
      <c r="A393" s="262"/>
      <c r="B393" s="266"/>
      <c r="C393" s="34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</row>
    <row r="394">
      <c r="A394" s="262"/>
      <c r="B394" s="266"/>
      <c r="C394" s="34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</row>
    <row r="395">
      <c r="A395" s="262"/>
      <c r="B395" s="266"/>
      <c r="C395" s="34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</row>
    <row r="396">
      <c r="A396" s="262"/>
      <c r="B396" s="266"/>
      <c r="C396" s="34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</row>
    <row r="397">
      <c r="A397" s="262"/>
      <c r="B397" s="266"/>
      <c r="C397" s="34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</row>
    <row r="398">
      <c r="A398" s="262"/>
      <c r="B398" s="266"/>
      <c r="C398" s="34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</row>
    <row r="399">
      <c r="A399" s="262"/>
      <c r="B399" s="266"/>
      <c r="C399" s="34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</row>
    <row r="400">
      <c r="A400" s="262"/>
      <c r="B400" s="266"/>
      <c r="C400" s="34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</row>
    <row r="401">
      <c r="A401" s="262"/>
      <c r="B401" s="266"/>
      <c r="C401" s="34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</row>
    <row r="402">
      <c r="A402" s="262"/>
      <c r="B402" s="266"/>
      <c r="C402" s="34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</row>
    <row r="403">
      <c r="A403" s="262"/>
      <c r="B403" s="266"/>
      <c r="C403" s="34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</row>
    <row r="404">
      <c r="A404" s="262"/>
      <c r="B404" s="266"/>
      <c r="C404" s="34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</row>
    <row r="405">
      <c r="A405" s="262"/>
      <c r="B405" s="266"/>
      <c r="C405" s="34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</row>
    <row r="406">
      <c r="A406" s="262"/>
      <c r="B406" s="266"/>
      <c r="C406" s="34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</row>
    <row r="407">
      <c r="A407" s="262"/>
      <c r="B407" s="266"/>
      <c r="C407" s="34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</row>
    <row r="408">
      <c r="A408" s="262"/>
      <c r="B408" s="266"/>
      <c r="C408" s="34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</row>
    <row r="409">
      <c r="A409" s="262"/>
      <c r="B409" s="266"/>
      <c r="C409" s="34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</row>
    <row r="410">
      <c r="A410" s="262"/>
      <c r="B410" s="266"/>
      <c r="C410" s="34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</row>
    <row r="411">
      <c r="A411" s="262"/>
      <c r="B411" s="266"/>
      <c r="C411" s="34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</row>
    <row r="412">
      <c r="A412" s="262"/>
      <c r="B412" s="266"/>
      <c r="C412" s="34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</row>
    <row r="413">
      <c r="A413" s="262"/>
      <c r="B413" s="266"/>
      <c r="C413" s="34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</row>
    <row r="414">
      <c r="A414" s="262"/>
      <c r="B414" s="266"/>
      <c r="C414" s="34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</row>
    <row r="415">
      <c r="A415" s="262"/>
      <c r="B415" s="266"/>
      <c r="C415" s="34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</row>
    <row r="416">
      <c r="A416" s="262"/>
      <c r="B416" s="266"/>
      <c r="C416" s="34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</row>
    <row r="417">
      <c r="A417" s="262"/>
      <c r="B417" s="266"/>
      <c r="C417" s="34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</row>
    <row r="418">
      <c r="A418" s="262"/>
      <c r="B418" s="266"/>
      <c r="C418" s="34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</row>
    <row r="419">
      <c r="A419" s="262"/>
      <c r="B419" s="266"/>
      <c r="C419" s="34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</row>
    <row r="420">
      <c r="A420" s="262"/>
      <c r="B420" s="266"/>
      <c r="C420" s="34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</row>
    <row r="421">
      <c r="A421" s="262"/>
      <c r="B421" s="266"/>
      <c r="C421" s="34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</row>
    <row r="422">
      <c r="A422" s="262"/>
      <c r="B422" s="266"/>
      <c r="C422" s="34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</row>
    <row r="423">
      <c r="A423" s="262"/>
      <c r="B423" s="266"/>
      <c r="C423" s="34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</row>
    <row r="424">
      <c r="A424" s="262"/>
      <c r="B424" s="266"/>
      <c r="C424" s="34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</row>
    <row r="425">
      <c r="A425" s="262"/>
      <c r="B425" s="266"/>
      <c r="C425" s="34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</row>
    <row r="426">
      <c r="A426" s="262"/>
      <c r="B426" s="266"/>
      <c r="C426" s="34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</row>
    <row r="427">
      <c r="A427" s="262"/>
      <c r="B427" s="266"/>
      <c r="C427" s="34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</row>
    <row r="428">
      <c r="A428" s="262"/>
      <c r="B428" s="266"/>
      <c r="C428" s="34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</row>
    <row r="429">
      <c r="A429" s="262"/>
      <c r="B429" s="266"/>
      <c r="C429" s="34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</row>
    <row r="430">
      <c r="A430" s="262"/>
      <c r="B430" s="266"/>
      <c r="C430" s="34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</row>
    <row r="431">
      <c r="A431" s="262"/>
      <c r="B431" s="266"/>
      <c r="C431" s="34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</row>
    <row r="432">
      <c r="A432" s="262"/>
      <c r="B432" s="266"/>
      <c r="C432" s="34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</row>
    <row r="433">
      <c r="A433" s="262"/>
      <c r="B433" s="266"/>
      <c r="C433" s="34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</row>
    <row r="434">
      <c r="A434" s="262"/>
      <c r="B434" s="266"/>
      <c r="C434" s="34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</row>
    <row r="435">
      <c r="A435" s="262"/>
      <c r="B435" s="266"/>
      <c r="C435" s="34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</row>
    <row r="436">
      <c r="A436" s="262"/>
      <c r="B436" s="266"/>
      <c r="C436" s="34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</row>
    <row r="437">
      <c r="A437" s="262"/>
      <c r="B437" s="266"/>
      <c r="C437" s="34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</row>
    <row r="438">
      <c r="A438" s="262"/>
      <c r="B438" s="266"/>
      <c r="C438" s="34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</row>
    <row r="439">
      <c r="A439" s="262"/>
      <c r="B439" s="266"/>
      <c r="C439" s="34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</row>
    <row r="440">
      <c r="A440" s="262"/>
      <c r="B440" s="266"/>
      <c r="C440" s="34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</row>
    <row r="441">
      <c r="A441" s="262"/>
      <c r="B441" s="266"/>
      <c r="C441" s="34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</row>
    <row r="442">
      <c r="A442" s="262"/>
      <c r="B442" s="266"/>
      <c r="C442" s="34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</row>
    <row r="443">
      <c r="A443" s="262"/>
      <c r="B443" s="266"/>
      <c r="C443" s="34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</row>
    <row r="444">
      <c r="A444" s="262"/>
      <c r="B444" s="266"/>
      <c r="C444" s="34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</row>
    <row r="445">
      <c r="A445" s="262"/>
      <c r="B445" s="266"/>
      <c r="C445" s="34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</row>
    <row r="446">
      <c r="A446" s="262"/>
      <c r="B446" s="266"/>
      <c r="C446" s="34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</row>
    <row r="447">
      <c r="A447" s="262"/>
      <c r="B447" s="266"/>
      <c r="C447" s="34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</row>
    <row r="448">
      <c r="A448" s="262"/>
      <c r="B448" s="266"/>
      <c r="C448" s="34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</row>
    <row r="449">
      <c r="A449" s="262"/>
      <c r="B449" s="266"/>
      <c r="C449" s="34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</row>
    <row r="450">
      <c r="A450" s="262"/>
      <c r="B450" s="266"/>
      <c r="C450" s="34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</row>
    <row r="451">
      <c r="A451" s="262"/>
      <c r="B451" s="266"/>
      <c r="C451" s="34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</row>
    <row r="452">
      <c r="A452" s="262"/>
      <c r="B452" s="266"/>
      <c r="C452" s="34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</row>
    <row r="453">
      <c r="A453" s="262"/>
      <c r="B453" s="266"/>
      <c r="C453" s="34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</row>
    <row r="454">
      <c r="A454" s="262"/>
      <c r="B454" s="266"/>
      <c r="C454" s="34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</row>
    <row r="455">
      <c r="A455" s="262"/>
      <c r="B455" s="266"/>
      <c r="C455" s="34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</row>
    <row r="456">
      <c r="A456" s="262"/>
      <c r="B456" s="266"/>
      <c r="C456" s="34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</row>
    <row r="457">
      <c r="A457" s="262"/>
      <c r="B457" s="266"/>
      <c r="C457" s="34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</row>
    <row r="458">
      <c r="A458" s="262"/>
      <c r="B458" s="266"/>
      <c r="C458" s="34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</row>
    <row r="459">
      <c r="A459" s="262"/>
      <c r="B459" s="266"/>
      <c r="C459" s="34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</row>
    <row r="460">
      <c r="A460" s="262"/>
      <c r="B460" s="266"/>
      <c r="C460" s="34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</row>
    <row r="461">
      <c r="A461" s="262"/>
      <c r="B461" s="266"/>
      <c r="C461" s="34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</row>
    <row r="462">
      <c r="A462" s="262"/>
      <c r="B462" s="266"/>
      <c r="C462" s="34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</row>
    <row r="463">
      <c r="A463" s="262"/>
      <c r="B463" s="266"/>
      <c r="C463" s="34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</row>
    <row r="464">
      <c r="A464" s="262"/>
      <c r="B464" s="266"/>
      <c r="C464" s="34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</row>
    <row r="465">
      <c r="A465" s="262"/>
      <c r="B465" s="266"/>
      <c r="C465" s="34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</row>
    <row r="466">
      <c r="A466" s="262"/>
      <c r="B466" s="266"/>
      <c r="C466" s="34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</row>
    <row r="467">
      <c r="A467" s="262"/>
      <c r="B467" s="266"/>
      <c r="C467" s="34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</row>
    <row r="468">
      <c r="A468" s="262"/>
      <c r="B468" s="266"/>
      <c r="C468" s="34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</row>
    <row r="469">
      <c r="A469" s="262"/>
      <c r="B469" s="266"/>
      <c r="C469" s="34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</row>
    <row r="470">
      <c r="A470" s="262"/>
      <c r="B470" s="266"/>
      <c r="C470" s="34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</row>
    <row r="471">
      <c r="A471" s="262"/>
      <c r="B471" s="266"/>
      <c r="C471" s="34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</row>
    <row r="472">
      <c r="A472" s="262"/>
      <c r="B472" s="266"/>
      <c r="C472" s="34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</row>
    <row r="473">
      <c r="A473" s="262"/>
      <c r="B473" s="266"/>
      <c r="C473" s="34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</row>
    <row r="474">
      <c r="A474" s="262"/>
      <c r="B474" s="266"/>
      <c r="C474" s="34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</row>
    <row r="475">
      <c r="A475" s="262"/>
      <c r="B475" s="266"/>
      <c r="C475" s="34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</row>
    <row r="476">
      <c r="A476" s="262"/>
      <c r="B476" s="266"/>
      <c r="C476" s="34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</row>
    <row r="477">
      <c r="A477" s="262"/>
      <c r="B477" s="266"/>
      <c r="C477" s="34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</row>
    <row r="478">
      <c r="A478" s="262"/>
      <c r="B478" s="266"/>
      <c r="C478" s="34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</row>
    <row r="479">
      <c r="A479" s="262"/>
      <c r="B479" s="266"/>
      <c r="C479" s="34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</row>
    <row r="480">
      <c r="A480" s="262"/>
      <c r="B480" s="266"/>
      <c r="C480" s="34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</row>
    <row r="481">
      <c r="A481" s="262"/>
      <c r="B481" s="266"/>
      <c r="C481" s="34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</row>
    <row r="482">
      <c r="A482" s="262"/>
      <c r="B482" s="266"/>
      <c r="C482" s="34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</row>
    <row r="483">
      <c r="A483" s="262"/>
      <c r="B483" s="266"/>
      <c r="C483" s="34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</row>
    <row r="484">
      <c r="A484" s="262"/>
      <c r="B484" s="266"/>
      <c r="C484" s="34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</row>
    <row r="485">
      <c r="A485" s="262"/>
      <c r="B485" s="266"/>
      <c r="C485" s="34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</row>
    <row r="486">
      <c r="A486" s="262"/>
      <c r="B486" s="266"/>
      <c r="C486" s="34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</row>
    <row r="487">
      <c r="A487" s="262"/>
      <c r="B487" s="266"/>
      <c r="C487" s="34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</row>
    <row r="488">
      <c r="A488" s="262"/>
      <c r="B488" s="266"/>
      <c r="C488" s="34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</row>
    <row r="489">
      <c r="A489" s="262"/>
      <c r="B489" s="266"/>
      <c r="C489" s="34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</row>
    <row r="490">
      <c r="A490" s="262"/>
      <c r="B490" s="266"/>
      <c r="C490" s="34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</row>
    <row r="491">
      <c r="A491" s="262"/>
      <c r="B491" s="266"/>
      <c r="C491" s="34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</row>
    <row r="492">
      <c r="A492" s="262"/>
      <c r="B492" s="266"/>
      <c r="C492" s="34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</row>
    <row r="493">
      <c r="A493" s="262"/>
      <c r="B493" s="266"/>
      <c r="C493" s="34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</row>
    <row r="494">
      <c r="A494" s="262"/>
      <c r="B494" s="266"/>
      <c r="C494" s="34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</row>
    <row r="495">
      <c r="A495" s="262"/>
      <c r="B495" s="266"/>
      <c r="C495" s="34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</row>
    <row r="496">
      <c r="A496" s="262"/>
      <c r="B496" s="266"/>
      <c r="C496" s="34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</row>
    <row r="497">
      <c r="A497" s="262"/>
      <c r="B497" s="266"/>
      <c r="C497" s="34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</row>
    <row r="498">
      <c r="A498" s="262"/>
      <c r="B498" s="266"/>
      <c r="C498" s="34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</row>
    <row r="499">
      <c r="A499" s="262"/>
      <c r="B499" s="266"/>
      <c r="C499" s="34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</row>
    <row r="500">
      <c r="A500" s="262"/>
      <c r="B500" s="266"/>
      <c r="C500" s="34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</row>
    <row r="501">
      <c r="A501" s="262"/>
      <c r="B501" s="266"/>
      <c r="C501" s="34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</row>
    <row r="502">
      <c r="A502" s="262"/>
      <c r="B502" s="266"/>
      <c r="C502" s="34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</row>
    <row r="503">
      <c r="A503" s="262"/>
      <c r="B503" s="266"/>
      <c r="C503" s="34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</row>
    <row r="504">
      <c r="A504" s="262"/>
      <c r="B504" s="266"/>
      <c r="C504" s="34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</row>
    <row r="505">
      <c r="A505" s="262"/>
      <c r="B505" s="266"/>
      <c r="C505" s="34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</row>
    <row r="506">
      <c r="A506" s="262"/>
      <c r="B506" s="266"/>
      <c r="C506" s="34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</row>
    <row r="507">
      <c r="A507" s="262"/>
      <c r="B507" s="266"/>
      <c r="C507" s="34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</row>
    <row r="508">
      <c r="A508" s="262"/>
      <c r="B508" s="266"/>
      <c r="C508" s="34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</row>
    <row r="509">
      <c r="A509" s="262"/>
      <c r="B509" s="266"/>
      <c r="C509" s="34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</row>
    <row r="510">
      <c r="A510" s="262"/>
      <c r="B510" s="266"/>
      <c r="C510" s="34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</row>
    <row r="511">
      <c r="A511" s="262"/>
      <c r="B511" s="266"/>
      <c r="C511" s="34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</row>
    <row r="512">
      <c r="A512" s="262"/>
      <c r="B512" s="266"/>
      <c r="C512" s="34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</row>
    <row r="513">
      <c r="A513" s="262"/>
      <c r="B513" s="266"/>
      <c r="C513" s="34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</row>
    <row r="514">
      <c r="A514" s="262"/>
      <c r="B514" s="266"/>
      <c r="C514" s="34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</row>
    <row r="515">
      <c r="A515" s="262"/>
      <c r="B515" s="266"/>
      <c r="C515" s="34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</row>
    <row r="516">
      <c r="A516" s="262"/>
      <c r="B516" s="266"/>
      <c r="C516" s="34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</row>
    <row r="517">
      <c r="A517" s="262"/>
      <c r="B517" s="266"/>
      <c r="C517" s="34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</row>
    <row r="518">
      <c r="A518" s="262"/>
      <c r="B518" s="266"/>
      <c r="C518" s="34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</row>
    <row r="519">
      <c r="A519" s="262"/>
      <c r="B519" s="266"/>
      <c r="C519" s="34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</row>
    <row r="520">
      <c r="A520" s="262"/>
      <c r="B520" s="266"/>
      <c r="C520" s="34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</row>
    <row r="521">
      <c r="A521" s="262"/>
      <c r="B521" s="266"/>
      <c r="C521" s="34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</row>
    <row r="522">
      <c r="A522" s="262"/>
      <c r="B522" s="266"/>
      <c r="C522" s="34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</row>
    <row r="523">
      <c r="A523" s="262"/>
      <c r="B523" s="266"/>
      <c r="C523" s="34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</row>
    <row r="524">
      <c r="A524" s="262"/>
      <c r="B524" s="266"/>
      <c r="C524" s="34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</row>
    <row r="525">
      <c r="A525" s="262"/>
      <c r="B525" s="266"/>
      <c r="C525" s="34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</row>
    <row r="526">
      <c r="A526" s="262"/>
      <c r="B526" s="266"/>
      <c r="C526" s="34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</row>
    <row r="527">
      <c r="A527" s="262"/>
      <c r="B527" s="266"/>
      <c r="C527" s="34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</row>
    <row r="528">
      <c r="A528" s="262"/>
      <c r="B528" s="266"/>
      <c r="C528" s="34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</row>
    <row r="529">
      <c r="A529" s="262"/>
      <c r="B529" s="266"/>
      <c r="C529" s="34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</row>
    <row r="530">
      <c r="A530" s="262"/>
      <c r="B530" s="266"/>
      <c r="C530" s="34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</row>
    <row r="531">
      <c r="A531" s="262"/>
      <c r="B531" s="266"/>
      <c r="C531" s="34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</row>
    <row r="532">
      <c r="A532" s="262"/>
      <c r="B532" s="266"/>
      <c r="C532" s="34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</row>
    <row r="533">
      <c r="A533" s="262"/>
      <c r="B533" s="266"/>
      <c r="C533" s="34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</row>
    <row r="534">
      <c r="A534" s="262"/>
      <c r="B534" s="266"/>
      <c r="C534" s="34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</row>
    <row r="535">
      <c r="A535" s="262"/>
      <c r="B535" s="266"/>
      <c r="C535" s="34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</row>
    <row r="536">
      <c r="A536" s="262"/>
      <c r="B536" s="266"/>
      <c r="C536" s="34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</row>
    <row r="537">
      <c r="A537" s="262"/>
      <c r="B537" s="266"/>
      <c r="C537" s="34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</row>
    <row r="538">
      <c r="A538" s="262"/>
      <c r="B538" s="266"/>
      <c r="C538" s="34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</row>
    <row r="539">
      <c r="A539" s="262"/>
      <c r="B539" s="266"/>
      <c r="C539" s="34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</row>
    <row r="540">
      <c r="A540" s="262"/>
      <c r="B540" s="266"/>
      <c r="C540" s="34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</row>
    <row r="541">
      <c r="A541" s="262"/>
      <c r="B541" s="266"/>
      <c r="C541" s="34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</row>
    <row r="542">
      <c r="A542" s="262"/>
      <c r="B542" s="266"/>
      <c r="C542" s="34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</row>
    <row r="543">
      <c r="A543" s="262"/>
      <c r="B543" s="266"/>
      <c r="C543" s="34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</row>
    <row r="544">
      <c r="A544" s="262"/>
      <c r="B544" s="266"/>
      <c r="C544" s="34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</row>
    <row r="545">
      <c r="A545" s="262"/>
      <c r="B545" s="266"/>
      <c r="C545" s="34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</row>
    <row r="546">
      <c r="A546" s="262"/>
      <c r="B546" s="266"/>
      <c r="C546" s="34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</row>
    <row r="547">
      <c r="A547" s="262"/>
      <c r="B547" s="266"/>
      <c r="C547" s="34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</row>
    <row r="548">
      <c r="A548" s="262"/>
      <c r="B548" s="266"/>
      <c r="C548" s="34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</row>
    <row r="549">
      <c r="A549" s="262"/>
      <c r="B549" s="266"/>
      <c r="C549" s="34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</row>
    <row r="550">
      <c r="A550" s="262"/>
      <c r="B550" s="266"/>
      <c r="C550" s="34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</row>
    <row r="551">
      <c r="A551" s="262"/>
      <c r="B551" s="266"/>
      <c r="C551" s="34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</row>
    <row r="552">
      <c r="A552" s="262"/>
      <c r="B552" s="266"/>
      <c r="C552" s="34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</row>
    <row r="553">
      <c r="A553" s="262"/>
      <c r="B553" s="266"/>
      <c r="C553" s="34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</row>
    <row r="554">
      <c r="A554" s="262"/>
      <c r="B554" s="266"/>
      <c r="C554" s="34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</row>
    <row r="555">
      <c r="A555" s="262"/>
      <c r="B555" s="266"/>
      <c r="C555" s="34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</row>
    <row r="556">
      <c r="A556" s="262"/>
      <c r="B556" s="266"/>
      <c r="C556" s="34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</row>
    <row r="557">
      <c r="A557" s="262"/>
      <c r="B557" s="266"/>
      <c r="C557" s="34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</row>
    <row r="558">
      <c r="A558" s="262"/>
      <c r="B558" s="266"/>
      <c r="C558" s="34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</row>
    <row r="559">
      <c r="A559" s="262"/>
      <c r="B559" s="266"/>
      <c r="C559" s="34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</row>
    <row r="560">
      <c r="A560" s="262"/>
      <c r="B560" s="266"/>
      <c r="C560" s="34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</row>
    <row r="561">
      <c r="A561" s="262"/>
      <c r="B561" s="266"/>
      <c r="C561" s="34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</row>
    <row r="562">
      <c r="A562" s="262"/>
      <c r="B562" s="266"/>
      <c r="C562" s="34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</row>
    <row r="563">
      <c r="A563" s="262"/>
      <c r="B563" s="266"/>
      <c r="C563" s="34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</row>
    <row r="564">
      <c r="A564" s="262"/>
      <c r="B564" s="266"/>
      <c r="C564" s="34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</row>
    <row r="565">
      <c r="A565" s="262"/>
      <c r="B565" s="266"/>
      <c r="C565" s="34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</row>
    <row r="566">
      <c r="A566" s="262"/>
      <c r="B566" s="266"/>
      <c r="C566" s="34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</row>
    <row r="567">
      <c r="A567" s="262"/>
      <c r="B567" s="266"/>
      <c r="C567" s="34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</row>
    <row r="568">
      <c r="A568" s="262"/>
      <c r="B568" s="266"/>
      <c r="C568" s="34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</row>
    <row r="569">
      <c r="A569" s="262"/>
      <c r="B569" s="266"/>
      <c r="C569" s="34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</row>
    <row r="570">
      <c r="A570" s="262"/>
      <c r="B570" s="266"/>
      <c r="C570" s="34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</row>
    <row r="571">
      <c r="A571" s="262"/>
      <c r="B571" s="266"/>
      <c r="C571" s="34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</row>
    <row r="572">
      <c r="A572" s="262"/>
      <c r="B572" s="266"/>
      <c r="C572" s="34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</row>
    <row r="573">
      <c r="A573" s="262"/>
      <c r="B573" s="266"/>
      <c r="C573" s="34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</row>
    <row r="574">
      <c r="A574" s="262"/>
      <c r="B574" s="266"/>
      <c r="C574" s="34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</row>
    <row r="575">
      <c r="A575" s="262"/>
      <c r="B575" s="266"/>
      <c r="C575" s="34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</row>
    <row r="576">
      <c r="A576" s="262"/>
      <c r="B576" s="266"/>
      <c r="C576" s="34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</row>
    <row r="577">
      <c r="A577" s="262"/>
      <c r="B577" s="266"/>
      <c r="C577" s="34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</row>
    <row r="578">
      <c r="A578" s="262"/>
      <c r="B578" s="266"/>
      <c r="C578" s="34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</row>
    <row r="579">
      <c r="A579" s="262"/>
      <c r="B579" s="266"/>
      <c r="C579" s="34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</row>
    <row r="580">
      <c r="A580" s="262"/>
      <c r="B580" s="266"/>
      <c r="C580" s="34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</row>
    <row r="581">
      <c r="A581" s="262"/>
      <c r="B581" s="266"/>
      <c r="C581" s="34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</row>
    <row r="582">
      <c r="A582" s="262"/>
      <c r="B582" s="266"/>
      <c r="C582" s="34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</row>
    <row r="583">
      <c r="A583" s="262"/>
      <c r="B583" s="266"/>
      <c r="C583" s="34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</row>
    <row r="584">
      <c r="A584" s="262"/>
      <c r="B584" s="266"/>
      <c r="C584" s="34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</row>
    <row r="585">
      <c r="A585" s="262"/>
      <c r="B585" s="266"/>
      <c r="C585" s="34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</row>
    <row r="586">
      <c r="A586" s="262"/>
      <c r="B586" s="266"/>
      <c r="C586" s="34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</row>
    <row r="587">
      <c r="A587" s="262"/>
      <c r="B587" s="266"/>
      <c r="C587" s="34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</row>
    <row r="588">
      <c r="A588" s="262"/>
      <c r="B588" s="266"/>
      <c r="C588" s="34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</row>
    <row r="589">
      <c r="A589" s="262"/>
      <c r="B589" s="266"/>
      <c r="C589" s="34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</row>
    <row r="590">
      <c r="A590" s="262"/>
      <c r="B590" s="266"/>
      <c r="C590" s="34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</row>
    <row r="591">
      <c r="A591" s="262"/>
      <c r="B591" s="266"/>
      <c r="C591" s="34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</row>
    <row r="592">
      <c r="A592" s="262"/>
      <c r="B592" s="266"/>
      <c r="C592" s="34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</row>
    <row r="593">
      <c r="A593" s="262"/>
      <c r="B593" s="266"/>
      <c r="C593" s="34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</row>
    <row r="594">
      <c r="A594" s="262"/>
      <c r="B594" s="266"/>
      <c r="C594" s="34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</row>
    <row r="595">
      <c r="A595" s="262"/>
      <c r="B595" s="266"/>
      <c r="C595" s="34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</row>
    <row r="596">
      <c r="A596" s="262"/>
      <c r="B596" s="266"/>
      <c r="C596" s="34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</row>
    <row r="597">
      <c r="A597" s="262"/>
      <c r="B597" s="266"/>
      <c r="C597" s="34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</row>
    <row r="598">
      <c r="A598" s="262"/>
      <c r="B598" s="266"/>
      <c r="C598" s="34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</row>
    <row r="599">
      <c r="A599" s="262"/>
      <c r="B599" s="266"/>
      <c r="C599" s="34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</row>
    <row r="600">
      <c r="A600" s="262"/>
      <c r="B600" s="266"/>
      <c r="C600" s="34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</row>
    <row r="601">
      <c r="A601" s="262"/>
      <c r="B601" s="266"/>
      <c r="C601" s="34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</row>
    <row r="602">
      <c r="A602" s="262"/>
      <c r="B602" s="266"/>
      <c r="C602" s="34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</row>
    <row r="603">
      <c r="A603" s="262"/>
      <c r="B603" s="266"/>
      <c r="C603" s="34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</row>
    <row r="604">
      <c r="A604" s="262"/>
      <c r="B604" s="266"/>
      <c r="C604" s="34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</row>
    <row r="605">
      <c r="A605" s="262"/>
      <c r="B605" s="266"/>
      <c r="C605" s="34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</row>
    <row r="606">
      <c r="A606" s="262"/>
      <c r="B606" s="266"/>
      <c r="C606" s="34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</row>
    <row r="607">
      <c r="A607" s="262"/>
      <c r="B607" s="266"/>
      <c r="C607" s="34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</row>
    <row r="608">
      <c r="A608" s="262"/>
      <c r="B608" s="266"/>
      <c r="C608" s="34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</row>
    <row r="609">
      <c r="A609" s="262"/>
      <c r="B609" s="266"/>
      <c r="C609" s="34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</row>
    <row r="610">
      <c r="A610" s="262"/>
      <c r="B610" s="266"/>
      <c r="C610" s="34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</row>
    <row r="611">
      <c r="A611" s="262"/>
      <c r="B611" s="266"/>
      <c r="C611" s="34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</row>
    <row r="612">
      <c r="A612" s="262"/>
      <c r="B612" s="266"/>
      <c r="C612" s="34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</row>
    <row r="613">
      <c r="A613" s="262"/>
      <c r="B613" s="266"/>
      <c r="C613" s="34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</row>
    <row r="614">
      <c r="A614" s="262"/>
      <c r="B614" s="266"/>
      <c r="C614" s="34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</row>
    <row r="615">
      <c r="A615" s="262"/>
      <c r="B615" s="266"/>
      <c r="C615" s="34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</row>
    <row r="616">
      <c r="A616" s="262"/>
      <c r="B616" s="266"/>
      <c r="C616" s="34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</row>
    <row r="617">
      <c r="A617" s="262"/>
      <c r="B617" s="266"/>
      <c r="C617" s="34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</row>
    <row r="618">
      <c r="A618" s="262"/>
      <c r="B618" s="266"/>
      <c r="C618" s="34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</row>
    <row r="619">
      <c r="A619" s="262"/>
      <c r="B619" s="266"/>
      <c r="C619" s="34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</row>
    <row r="620">
      <c r="A620" s="262"/>
      <c r="B620" s="266"/>
      <c r="C620" s="34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</row>
    <row r="621">
      <c r="A621" s="262"/>
      <c r="B621" s="266"/>
      <c r="C621" s="34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</row>
    <row r="622">
      <c r="A622" s="262"/>
      <c r="B622" s="266"/>
      <c r="C622" s="34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</row>
    <row r="623">
      <c r="A623" s="262"/>
      <c r="B623" s="266"/>
      <c r="C623" s="34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</row>
    <row r="624">
      <c r="A624" s="262"/>
      <c r="B624" s="266"/>
      <c r="C624" s="34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</row>
    <row r="625">
      <c r="A625" s="262"/>
      <c r="B625" s="266"/>
      <c r="C625" s="34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</row>
    <row r="626">
      <c r="A626" s="262"/>
      <c r="B626" s="266"/>
      <c r="C626" s="34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</row>
    <row r="627">
      <c r="A627" s="262"/>
      <c r="B627" s="266"/>
      <c r="C627" s="34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</row>
    <row r="628">
      <c r="A628" s="262"/>
      <c r="B628" s="266"/>
      <c r="C628" s="34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</row>
    <row r="629">
      <c r="A629" s="262"/>
      <c r="B629" s="266"/>
      <c r="C629" s="34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</row>
    <row r="630">
      <c r="A630" s="262"/>
      <c r="B630" s="266"/>
      <c r="C630" s="34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</row>
    <row r="631">
      <c r="A631" s="262"/>
      <c r="B631" s="266"/>
      <c r="C631" s="34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</row>
    <row r="632">
      <c r="A632" s="262"/>
      <c r="B632" s="266"/>
      <c r="C632" s="34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</row>
    <row r="633">
      <c r="A633" s="262"/>
      <c r="B633" s="266"/>
      <c r="C633" s="34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</row>
    <row r="634">
      <c r="A634" s="262"/>
      <c r="B634" s="266"/>
      <c r="C634" s="34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</row>
    <row r="635">
      <c r="A635" s="262"/>
      <c r="B635" s="266"/>
      <c r="C635" s="34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</row>
    <row r="636">
      <c r="A636" s="262"/>
      <c r="B636" s="266"/>
      <c r="C636" s="34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</row>
    <row r="637">
      <c r="A637" s="262"/>
      <c r="B637" s="266"/>
      <c r="C637" s="34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</row>
    <row r="638">
      <c r="A638" s="262"/>
      <c r="B638" s="266"/>
      <c r="C638" s="34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</row>
    <row r="639">
      <c r="A639" s="262"/>
      <c r="B639" s="266"/>
      <c r="C639" s="34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</row>
    <row r="640">
      <c r="A640" s="262"/>
      <c r="B640" s="266"/>
      <c r="C640" s="34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</row>
    <row r="641">
      <c r="A641" s="262"/>
      <c r="B641" s="266"/>
      <c r="C641" s="34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</row>
    <row r="642">
      <c r="A642" s="262"/>
      <c r="B642" s="266"/>
      <c r="C642" s="34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</row>
    <row r="643">
      <c r="A643" s="262"/>
      <c r="B643" s="266"/>
      <c r="C643" s="34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</row>
    <row r="644">
      <c r="A644" s="262"/>
      <c r="B644" s="266"/>
      <c r="C644" s="34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</row>
    <row r="645">
      <c r="A645" s="262"/>
      <c r="B645" s="266"/>
      <c r="C645" s="34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</row>
    <row r="646">
      <c r="A646" s="262"/>
      <c r="B646" s="266"/>
      <c r="C646" s="34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</row>
    <row r="647">
      <c r="A647" s="262"/>
      <c r="B647" s="266"/>
      <c r="C647" s="34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</row>
    <row r="648">
      <c r="A648" s="262"/>
      <c r="B648" s="266"/>
      <c r="C648" s="34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</row>
    <row r="649">
      <c r="A649" s="262"/>
      <c r="B649" s="266"/>
      <c r="C649" s="34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</row>
    <row r="650">
      <c r="A650" s="262"/>
      <c r="B650" s="266"/>
      <c r="C650" s="34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</row>
    <row r="651">
      <c r="A651" s="262"/>
      <c r="B651" s="266"/>
      <c r="C651" s="34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</row>
    <row r="652">
      <c r="A652" s="262"/>
      <c r="B652" s="266"/>
      <c r="C652" s="34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</row>
    <row r="653">
      <c r="A653" s="262"/>
      <c r="B653" s="266"/>
      <c r="C653" s="34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</row>
    <row r="654">
      <c r="A654" s="262"/>
      <c r="B654" s="266"/>
      <c r="C654" s="34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</row>
    <row r="655">
      <c r="A655" s="262"/>
      <c r="B655" s="266"/>
      <c r="C655" s="34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</row>
    <row r="656">
      <c r="A656" s="262"/>
      <c r="B656" s="266"/>
      <c r="C656" s="34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</row>
    <row r="657">
      <c r="A657" s="262"/>
      <c r="B657" s="266"/>
      <c r="C657" s="34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</row>
    <row r="658">
      <c r="A658" s="262"/>
      <c r="B658" s="266"/>
      <c r="C658" s="34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</row>
    <row r="659">
      <c r="A659" s="262"/>
      <c r="B659" s="266"/>
      <c r="C659" s="34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</row>
    <row r="660">
      <c r="A660" s="262"/>
      <c r="B660" s="266"/>
      <c r="C660" s="34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</row>
    <row r="661">
      <c r="A661" s="262"/>
      <c r="B661" s="266"/>
      <c r="C661" s="34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</row>
    <row r="662">
      <c r="A662" s="262"/>
      <c r="B662" s="266"/>
      <c r="C662" s="34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</row>
    <row r="663">
      <c r="A663" s="262"/>
      <c r="B663" s="266"/>
      <c r="C663" s="34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</row>
    <row r="664">
      <c r="A664" s="262"/>
      <c r="B664" s="266"/>
      <c r="C664" s="34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</row>
    <row r="665">
      <c r="A665" s="262"/>
      <c r="B665" s="266"/>
      <c r="C665" s="34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</row>
    <row r="666">
      <c r="A666" s="262"/>
      <c r="B666" s="266"/>
      <c r="C666" s="34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</row>
    <row r="667">
      <c r="A667" s="262"/>
      <c r="B667" s="266"/>
      <c r="C667" s="34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</row>
    <row r="668">
      <c r="A668" s="262"/>
      <c r="B668" s="266"/>
      <c r="C668" s="34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</row>
    <row r="669">
      <c r="A669" s="262"/>
      <c r="B669" s="266"/>
      <c r="C669" s="34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</row>
    <row r="670">
      <c r="A670" s="262"/>
      <c r="B670" s="266"/>
      <c r="C670" s="34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</row>
    <row r="671">
      <c r="A671" s="262"/>
      <c r="B671" s="266"/>
      <c r="C671" s="34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</row>
    <row r="672">
      <c r="A672" s="262"/>
      <c r="B672" s="266"/>
      <c r="C672" s="34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</row>
    <row r="673">
      <c r="A673" s="262"/>
      <c r="B673" s="266"/>
      <c r="C673" s="34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</row>
    <row r="674">
      <c r="A674" s="262"/>
      <c r="B674" s="266"/>
      <c r="C674" s="34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</row>
    <row r="675">
      <c r="A675" s="262"/>
      <c r="B675" s="266"/>
      <c r="C675" s="34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</row>
    <row r="676">
      <c r="A676" s="262"/>
      <c r="B676" s="266"/>
      <c r="C676" s="34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</row>
    <row r="677">
      <c r="A677" s="262"/>
      <c r="B677" s="266"/>
      <c r="C677" s="34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</row>
    <row r="678">
      <c r="A678" s="262"/>
      <c r="B678" s="266"/>
      <c r="C678" s="34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</row>
    <row r="679">
      <c r="A679" s="262"/>
      <c r="B679" s="266"/>
      <c r="C679" s="34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</row>
    <row r="680">
      <c r="A680" s="262"/>
      <c r="B680" s="266"/>
      <c r="C680" s="34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</row>
    <row r="681">
      <c r="A681" s="262"/>
      <c r="B681" s="266"/>
      <c r="C681" s="34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</row>
    <row r="682">
      <c r="A682" s="262"/>
      <c r="B682" s="266"/>
      <c r="C682" s="34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</row>
    <row r="683">
      <c r="A683" s="262"/>
      <c r="B683" s="266"/>
      <c r="C683" s="34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</row>
    <row r="684">
      <c r="A684" s="262"/>
      <c r="B684" s="266"/>
      <c r="C684" s="34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</row>
    <row r="685">
      <c r="A685" s="262"/>
      <c r="B685" s="266"/>
      <c r="C685" s="34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</row>
    <row r="686">
      <c r="A686" s="262"/>
      <c r="B686" s="266"/>
      <c r="C686" s="34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</row>
    <row r="687">
      <c r="A687" s="262"/>
      <c r="B687" s="266"/>
      <c r="C687" s="34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</row>
    <row r="688">
      <c r="A688" s="262"/>
      <c r="B688" s="266"/>
      <c r="C688" s="34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</row>
    <row r="689">
      <c r="A689" s="262"/>
      <c r="B689" s="266"/>
      <c r="C689" s="34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</row>
    <row r="690">
      <c r="A690" s="262"/>
      <c r="B690" s="266"/>
      <c r="C690" s="34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</row>
    <row r="691">
      <c r="A691" s="262"/>
      <c r="B691" s="266"/>
      <c r="C691" s="34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</row>
    <row r="692">
      <c r="A692" s="262"/>
      <c r="B692" s="266"/>
      <c r="C692" s="34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</row>
    <row r="693">
      <c r="A693" s="262"/>
      <c r="B693" s="266"/>
      <c r="C693" s="34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</row>
    <row r="694">
      <c r="A694" s="262"/>
      <c r="B694" s="266"/>
      <c r="C694" s="34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</row>
    <row r="695">
      <c r="A695" s="262"/>
      <c r="B695" s="266"/>
      <c r="C695" s="34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</row>
    <row r="696">
      <c r="A696" s="262"/>
      <c r="B696" s="266"/>
      <c r="C696" s="34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</row>
    <row r="697">
      <c r="A697" s="262"/>
      <c r="B697" s="266"/>
      <c r="C697" s="34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</row>
    <row r="698">
      <c r="A698" s="262"/>
      <c r="B698" s="266"/>
      <c r="C698" s="34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</row>
    <row r="699">
      <c r="A699" s="262"/>
      <c r="B699" s="266"/>
      <c r="C699" s="34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</row>
    <row r="700">
      <c r="A700" s="262"/>
      <c r="B700" s="266"/>
      <c r="C700" s="34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</row>
    <row r="701">
      <c r="A701" s="262"/>
      <c r="B701" s="266"/>
      <c r="C701" s="34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</row>
    <row r="702">
      <c r="A702" s="262"/>
      <c r="B702" s="266"/>
      <c r="C702" s="34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</row>
    <row r="703">
      <c r="A703" s="262"/>
      <c r="B703" s="266"/>
      <c r="C703" s="34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</row>
    <row r="704">
      <c r="A704" s="262"/>
      <c r="B704" s="266"/>
      <c r="C704" s="34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</row>
    <row r="705">
      <c r="A705" s="262"/>
      <c r="B705" s="266"/>
      <c r="C705" s="34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</row>
    <row r="706">
      <c r="A706" s="262"/>
      <c r="B706" s="266"/>
      <c r="C706" s="34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</row>
    <row r="707">
      <c r="A707" s="262"/>
      <c r="B707" s="266"/>
      <c r="C707" s="34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</row>
    <row r="708">
      <c r="A708" s="262"/>
      <c r="B708" s="266"/>
      <c r="C708" s="34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</row>
    <row r="709">
      <c r="A709" s="262"/>
      <c r="B709" s="266"/>
      <c r="C709" s="34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</row>
    <row r="710">
      <c r="A710" s="262"/>
      <c r="B710" s="266"/>
      <c r="C710" s="34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</row>
    <row r="711">
      <c r="A711" s="262"/>
      <c r="B711" s="266"/>
      <c r="C711" s="34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</row>
    <row r="712">
      <c r="A712" s="262"/>
      <c r="B712" s="266"/>
      <c r="C712" s="34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</row>
    <row r="713">
      <c r="A713" s="262"/>
      <c r="B713" s="266"/>
      <c r="C713" s="34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</row>
    <row r="714">
      <c r="A714" s="262"/>
      <c r="B714" s="266"/>
      <c r="C714" s="34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</row>
    <row r="715">
      <c r="A715" s="262"/>
      <c r="B715" s="266"/>
      <c r="C715" s="34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</row>
    <row r="716">
      <c r="A716" s="262"/>
      <c r="B716" s="266"/>
      <c r="C716" s="34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</row>
    <row r="717">
      <c r="A717" s="262"/>
      <c r="B717" s="266"/>
      <c r="C717" s="34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</row>
    <row r="718">
      <c r="A718" s="262"/>
      <c r="B718" s="266"/>
      <c r="C718" s="34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</row>
    <row r="719">
      <c r="A719" s="262"/>
      <c r="B719" s="266"/>
      <c r="C719" s="34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</row>
    <row r="720">
      <c r="A720" s="262"/>
      <c r="B720" s="266"/>
      <c r="C720" s="34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</row>
    <row r="721">
      <c r="A721" s="262"/>
      <c r="B721" s="266"/>
      <c r="C721" s="34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</row>
    <row r="722">
      <c r="A722" s="262"/>
      <c r="B722" s="266"/>
      <c r="C722" s="34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</row>
    <row r="723">
      <c r="A723" s="262"/>
      <c r="B723" s="266"/>
      <c r="C723" s="34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</row>
    <row r="724">
      <c r="A724" s="262"/>
      <c r="B724" s="266"/>
      <c r="C724" s="34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</row>
    <row r="725">
      <c r="A725" s="262"/>
      <c r="B725" s="266"/>
      <c r="C725" s="34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</row>
    <row r="726">
      <c r="A726" s="262"/>
      <c r="B726" s="266"/>
      <c r="C726" s="34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</row>
    <row r="727">
      <c r="A727" s="262"/>
      <c r="B727" s="266"/>
      <c r="C727" s="34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</row>
    <row r="728">
      <c r="A728" s="262"/>
      <c r="B728" s="266"/>
      <c r="C728" s="34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</row>
    <row r="729">
      <c r="A729" s="262"/>
      <c r="B729" s="266"/>
      <c r="C729" s="34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</row>
    <row r="730">
      <c r="A730" s="262"/>
      <c r="B730" s="266"/>
      <c r="C730" s="34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</row>
    <row r="731">
      <c r="A731" s="262"/>
      <c r="B731" s="266"/>
      <c r="C731" s="34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</row>
    <row r="732">
      <c r="A732" s="262"/>
      <c r="B732" s="266"/>
      <c r="C732" s="34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</row>
    <row r="733">
      <c r="A733" s="262"/>
      <c r="B733" s="266"/>
      <c r="C733" s="34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</row>
    <row r="734">
      <c r="A734" s="262"/>
      <c r="B734" s="266"/>
      <c r="C734" s="34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</row>
    <row r="735">
      <c r="A735" s="262"/>
      <c r="B735" s="266"/>
      <c r="C735" s="34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</row>
    <row r="736">
      <c r="A736" s="262"/>
      <c r="B736" s="266"/>
      <c r="C736" s="34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</row>
    <row r="737">
      <c r="A737" s="262"/>
      <c r="B737" s="266"/>
      <c r="C737" s="34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</row>
    <row r="738">
      <c r="A738" s="262"/>
      <c r="B738" s="266"/>
      <c r="C738" s="34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</row>
    <row r="739">
      <c r="A739" s="262"/>
      <c r="B739" s="266"/>
      <c r="C739" s="34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</row>
    <row r="740">
      <c r="A740" s="262"/>
      <c r="B740" s="266"/>
      <c r="C740" s="34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</row>
    <row r="741">
      <c r="A741" s="262"/>
      <c r="B741" s="266"/>
      <c r="C741" s="34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</row>
    <row r="742">
      <c r="A742" s="262"/>
      <c r="B742" s="266"/>
      <c r="C742" s="34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</row>
    <row r="743">
      <c r="A743" s="262"/>
      <c r="B743" s="266"/>
      <c r="C743" s="34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</row>
    <row r="744">
      <c r="A744" s="262"/>
      <c r="B744" s="266"/>
      <c r="C744" s="34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</row>
    <row r="745">
      <c r="A745" s="262"/>
      <c r="B745" s="266"/>
      <c r="C745" s="34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</row>
    <row r="746">
      <c r="A746" s="262"/>
      <c r="B746" s="266"/>
      <c r="C746" s="34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</row>
    <row r="747">
      <c r="A747" s="262"/>
      <c r="B747" s="266"/>
      <c r="C747" s="34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</row>
    <row r="748">
      <c r="A748" s="262"/>
      <c r="B748" s="266"/>
      <c r="C748" s="34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</row>
    <row r="749">
      <c r="A749" s="262"/>
      <c r="B749" s="266"/>
      <c r="C749" s="34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</row>
    <row r="750">
      <c r="A750" s="262"/>
      <c r="B750" s="266"/>
      <c r="C750" s="34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</row>
    <row r="751">
      <c r="A751" s="262"/>
      <c r="B751" s="266"/>
      <c r="C751" s="34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</row>
    <row r="752">
      <c r="A752" s="262"/>
      <c r="B752" s="266"/>
      <c r="C752" s="34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</row>
    <row r="753">
      <c r="A753" s="262"/>
      <c r="B753" s="266"/>
      <c r="C753" s="34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</row>
    <row r="754">
      <c r="A754" s="262"/>
      <c r="B754" s="266"/>
      <c r="C754" s="34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</row>
    <row r="755">
      <c r="A755" s="262"/>
      <c r="B755" s="266"/>
      <c r="C755" s="34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</row>
    <row r="756">
      <c r="A756" s="262"/>
      <c r="B756" s="266"/>
      <c r="C756" s="34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</row>
    <row r="757">
      <c r="A757" s="262"/>
      <c r="B757" s="266"/>
      <c r="C757" s="34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</row>
    <row r="758">
      <c r="A758" s="262"/>
      <c r="B758" s="266"/>
      <c r="C758" s="34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</row>
    <row r="759">
      <c r="A759" s="262"/>
      <c r="B759" s="266"/>
      <c r="C759" s="34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</row>
    <row r="760">
      <c r="A760" s="262"/>
      <c r="B760" s="266"/>
      <c r="C760" s="34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</row>
    <row r="761">
      <c r="A761" s="262"/>
      <c r="B761" s="266"/>
      <c r="C761" s="34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</row>
    <row r="762">
      <c r="A762" s="262"/>
      <c r="B762" s="266"/>
      <c r="C762" s="34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</row>
    <row r="763">
      <c r="A763" s="262"/>
      <c r="B763" s="266"/>
      <c r="C763" s="34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</row>
    <row r="764">
      <c r="A764" s="262"/>
      <c r="B764" s="266"/>
      <c r="C764" s="34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</row>
    <row r="765">
      <c r="A765" s="262"/>
      <c r="B765" s="266"/>
      <c r="C765" s="34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</row>
    <row r="766">
      <c r="A766" s="262"/>
      <c r="B766" s="266"/>
      <c r="C766" s="34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</row>
    <row r="767">
      <c r="A767" s="262"/>
      <c r="B767" s="266"/>
      <c r="C767" s="34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</row>
    <row r="768">
      <c r="A768" s="262"/>
      <c r="B768" s="266"/>
      <c r="C768" s="34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</row>
    <row r="769">
      <c r="A769" s="262"/>
      <c r="B769" s="266"/>
      <c r="C769" s="34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</row>
    <row r="770">
      <c r="A770" s="262"/>
      <c r="B770" s="266"/>
      <c r="C770" s="34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</row>
    <row r="771">
      <c r="A771" s="262"/>
      <c r="B771" s="266"/>
      <c r="C771" s="34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</row>
    <row r="772">
      <c r="A772" s="262"/>
      <c r="B772" s="266"/>
      <c r="C772" s="34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</row>
    <row r="773">
      <c r="A773" s="262"/>
      <c r="B773" s="266"/>
      <c r="C773" s="34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</row>
    <row r="774">
      <c r="A774" s="262"/>
      <c r="B774" s="266"/>
      <c r="C774" s="34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</row>
    <row r="775">
      <c r="A775" s="262"/>
      <c r="B775" s="266"/>
      <c r="C775" s="34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</row>
    <row r="776">
      <c r="A776" s="262"/>
      <c r="B776" s="266"/>
      <c r="C776" s="34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</row>
    <row r="777">
      <c r="A777" s="262"/>
      <c r="B777" s="266"/>
      <c r="C777" s="34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</row>
    <row r="778">
      <c r="A778" s="262"/>
      <c r="B778" s="266"/>
      <c r="C778" s="34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</row>
    <row r="779">
      <c r="A779" s="262"/>
      <c r="B779" s="266"/>
      <c r="C779" s="34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</row>
    <row r="780">
      <c r="A780" s="262"/>
      <c r="B780" s="266"/>
      <c r="C780" s="34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</row>
    <row r="781">
      <c r="A781" s="262"/>
      <c r="B781" s="266"/>
      <c r="C781" s="34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</row>
    <row r="782">
      <c r="A782" s="262"/>
      <c r="B782" s="266"/>
      <c r="C782" s="34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</row>
    <row r="783">
      <c r="A783" s="262"/>
      <c r="B783" s="266"/>
      <c r="C783" s="34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</row>
    <row r="784">
      <c r="A784" s="262"/>
      <c r="B784" s="266"/>
      <c r="C784" s="34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</row>
    <row r="785">
      <c r="A785" s="262"/>
      <c r="B785" s="266"/>
      <c r="C785" s="34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</row>
    <row r="786">
      <c r="A786" s="262"/>
      <c r="B786" s="266"/>
      <c r="C786" s="34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</row>
    <row r="787">
      <c r="A787" s="262"/>
      <c r="B787" s="266"/>
      <c r="C787" s="34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</row>
    <row r="788">
      <c r="A788" s="262"/>
      <c r="B788" s="266"/>
      <c r="C788" s="34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</row>
    <row r="789">
      <c r="A789" s="262"/>
      <c r="B789" s="266"/>
      <c r="C789" s="34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</row>
    <row r="790">
      <c r="A790" s="262"/>
      <c r="B790" s="266"/>
      <c r="C790" s="34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</row>
    <row r="791">
      <c r="A791" s="262"/>
      <c r="B791" s="266"/>
      <c r="C791" s="34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</row>
    <row r="792">
      <c r="A792" s="262"/>
      <c r="B792" s="266"/>
      <c r="C792" s="34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</row>
    <row r="793">
      <c r="A793" s="262"/>
      <c r="B793" s="266"/>
      <c r="C793" s="34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</row>
    <row r="794">
      <c r="A794" s="262"/>
      <c r="B794" s="266"/>
      <c r="C794" s="34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</row>
    <row r="795">
      <c r="A795" s="262"/>
      <c r="B795" s="266"/>
      <c r="C795" s="34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</row>
    <row r="796">
      <c r="A796" s="262"/>
      <c r="B796" s="266"/>
      <c r="C796" s="34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</row>
    <row r="797">
      <c r="A797" s="262"/>
      <c r="B797" s="266"/>
      <c r="C797" s="34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</row>
    <row r="798">
      <c r="A798" s="262"/>
      <c r="B798" s="266"/>
      <c r="C798" s="34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</row>
    <row r="799">
      <c r="A799" s="262"/>
      <c r="B799" s="266"/>
      <c r="C799" s="34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</row>
    <row r="800">
      <c r="A800" s="262"/>
      <c r="B800" s="266"/>
      <c r="C800" s="34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</row>
    <row r="801">
      <c r="A801" s="262"/>
      <c r="B801" s="266"/>
      <c r="C801" s="34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</row>
    <row r="802">
      <c r="A802" s="262"/>
      <c r="B802" s="266"/>
      <c r="C802" s="34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</row>
    <row r="803">
      <c r="A803" s="262"/>
      <c r="B803" s="266"/>
      <c r="C803" s="34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</row>
    <row r="804">
      <c r="A804" s="262"/>
      <c r="B804" s="266"/>
      <c r="C804" s="34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</row>
    <row r="805">
      <c r="A805" s="262"/>
      <c r="B805" s="266"/>
      <c r="C805" s="34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</row>
    <row r="806">
      <c r="A806" s="262"/>
      <c r="B806" s="266"/>
      <c r="C806" s="34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</row>
    <row r="807">
      <c r="A807" s="262"/>
      <c r="B807" s="266"/>
      <c r="C807" s="34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</row>
    <row r="808">
      <c r="A808" s="262"/>
      <c r="B808" s="266"/>
      <c r="C808" s="34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</row>
    <row r="809">
      <c r="A809" s="262"/>
      <c r="B809" s="266"/>
      <c r="C809" s="34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</row>
    <row r="810">
      <c r="A810" s="262"/>
      <c r="B810" s="266"/>
      <c r="C810" s="34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</row>
    <row r="811">
      <c r="A811" s="262"/>
      <c r="B811" s="266"/>
      <c r="C811" s="34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</row>
    <row r="812">
      <c r="A812" s="262"/>
      <c r="B812" s="266"/>
      <c r="C812" s="34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</row>
    <row r="813">
      <c r="A813" s="262"/>
      <c r="B813" s="266"/>
      <c r="C813" s="34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</row>
    <row r="814">
      <c r="A814" s="262"/>
      <c r="B814" s="266"/>
      <c r="C814" s="34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</row>
    <row r="815">
      <c r="A815" s="262"/>
      <c r="B815" s="266"/>
      <c r="C815" s="34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</row>
    <row r="816">
      <c r="A816" s="262"/>
      <c r="B816" s="266"/>
      <c r="C816" s="34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</row>
    <row r="817">
      <c r="A817" s="262"/>
      <c r="B817" s="266"/>
      <c r="C817" s="34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</row>
    <row r="818">
      <c r="A818" s="262"/>
      <c r="B818" s="266"/>
      <c r="C818" s="34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</row>
    <row r="819">
      <c r="A819" s="262"/>
      <c r="B819" s="266"/>
      <c r="C819" s="34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</row>
    <row r="820">
      <c r="A820" s="262"/>
      <c r="B820" s="266"/>
      <c r="C820" s="34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</row>
    <row r="821">
      <c r="A821" s="262"/>
      <c r="B821" s="266"/>
      <c r="C821" s="34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</row>
    <row r="822">
      <c r="A822" s="262"/>
      <c r="B822" s="266"/>
      <c r="C822" s="34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</row>
    <row r="823">
      <c r="A823" s="262"/>
      <c r="B823" s="266"/>
      <c r="C823" s="34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</row>
    <row r="824">
      <c r="A824" s="262"/>
      <c r="B824" s="266"/>
      <c r="C824" s="34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</row>
    <row r="825">
      <c r="A825" s="262"/>
      <c r="B825" s="266"/>
      <c r="C825" s="34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</row>
    <row r="826">
      <c r="A826" s="262"/>
      <c r="B826" s="266"/>
      <c r="C826" s="34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</row>
    <row r="827">
      <c r="A827" s="262"/>
      <c r="B827" s="266"/>
      <c r="C827" s="34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</row>
    <row r="828">
      <c r="A828" s="262"/>
      <c r="B828" s="266"/>
      <c r="C828" s="34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</row>
    <row r="829">
      <c r="A829" s="262"/>
      <c r="B829" s="266"/>
      <c r="C829" s="34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</row>
    <row r="830">
      <c r="A830" s="262"/>
      <c r="B830" s="266"/>
      <c r="C830" s="34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</row>
    <row r="831">
      <c r="A831" s="262"/>
      <c r="B831" s="266"/>
      <c r="C831" s="34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</row>
    <row r="832">
      <c r="A832" s="262"/>
      <c r="B832" s="266"/>
      <c r="C832" s="34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</row>
    <row r="833">
      <c r="A833" s="262"/>
      <c r="B833" s="266"/>
      <c r="C833" s="34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</row>
    <row r="834">
      <c r="A834" s="262"/>
      <c r="B834" s="266"/>
      <c r="C834" s="34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</row>
    <row r="835">
      <c r="A835" s="262"/>
      <c r="B835" s="266"/>
      <c r="C835" s="34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</row>
    <row r="836">
      <c r="A836" s="262"/>
      <c r="B836" s="266"/>
      <c r="C836" s="34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</row>
    <row r="837">
      <c r="A837" s="262"/>
      <c r="B837" s="266"/>
      <c r="C837" s="34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</row>
    <row r="838">
      <c r="A838" s="262"/>
      <c r="B838" s="266"/>
      <c r="C838" s="34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</row>
    <row r="839">
      <c r="A839" s="262"/>
      <c r="B839" s="266"/>
      <c r="C839" s="34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</row>
    <row r="840">
      <c r="A840" s="262"/>
      <c r="B840" s="266"/>
      <c r="C840" s="34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</row>
    <row r="841">
      <c r="A841" s="262"/>
      <c r="B841" s="266"/>
      <c r="C841" s="34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</row>
    <row r="842">
      <c r="A842" s="262"/>
      <c r="B842" s="266"/>
      <c r="C842" s="34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</row>
    <row r="843">
      <c r="A843" s="262"/>
      <c r="B843" s="266"/>
      <c r="C843" s="34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</row>
    <row r="844">
      <c r="A844" s="262"/>
      <c r="B844" s="266"/>
      <c r="C844" s="34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</row>
    <row r="845">
      <c r="A845" s="262"/>
      <c r="B845" s="266"/>
      <c r="C845" s="34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</row>
    <row r="846">
      <c r="A846" s="262"/>
      <c r="B846" s="266"/>
      <c r="C846" s="34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</row>
    <row r="847">
      <c r="A847" s="262"/>
      <c r="B847" s="266"/>
      <c r="C847" s="34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</row>
    <row r="848">
      <c r="A848" s="262"/>
      <c r="B848" s="266"/>
      <c r="C848" s="34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</row>
    <row r="849">
      <c r="A849" s="262"/>
      <c r="B849" s="266"/>
      <c r="C849" s="34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</row>
    <row r="850">
      <c r="A850" s="262"/>
      <c r="B850" s="266"/>
      <c r="C850" s="34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</row>
    <row r="851">
      <c r="A851" s="262"/>
      <c r="B851" s="266"/>
      <c r="C851" s="34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</row>
    <row r="852">
      <c r="A852" s="262"/>
      <c r="B852" s="266"/>
      <c r="C852" s="34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</row>
    <row r="853">
      <c r="A853" s="262"/>
      <c r="B853" s="266"/>
      <c r="C853" s="34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</row>
    <row r="854">
      <c r="A854" s="262"/>
      <c r="B854" s="266"/>
      <c r="C854" s="34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</row>
    <row r="855">
      <c r="A855" s="262"/>
      <c r="B855" s="266"/>
      <c r="C855" s="34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</row>
    <row r="856">
      <c r="A856" s="262"/>
      <c r="B856" s="266"/>
      <c r="C856" s="34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</row>
    <row r="857">
      <c r="A857" s="262"/>
      <c r="B857" s="266"/>
      <c r="C857" s="34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</row>
    <row r="858">
      <c r="A858" s="262"/>
      <c r="B858" s="266"/>
      <c r="C858" s="34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</row>
    <row r="859">
      <c r="A859" s="262"/>
      <c r="B859" s="266"/>
      <c r="C859" s="34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</row>
    <row r="860">
      <c r="A860" s="262"/>
      <c r="B860" s="266"/>
      <c r="C860" s="34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</row>
    <row r="861">
      <c r="A861" s="262"/>
      <c r="B861" s="266"/>
      <c r="C861" s="34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</row>
    <row r="862">
      <c r="A862" s="262"/>
      <c r="B862" s="266"/>
      <c r="C862" s="34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</row>
    <row r="863">
      <c r="A863" s="262"/>
      <c r="B863" s="266"/>
      <c r="C863" s="34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</row>
    <row r="864">
      <c r="A864" s="262"/>
      <c r="B864" s="266"/>
      <c r="C864" s="34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</row>
    <row r="865">
      <c r="A865" s="262"/>
      <c r="B865" s="266"/>
      <c r="C865" s="34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</row>
    <row r="866">
      <c r="A866" s="262"/>
      <c r="B866" s="266"/>
      <c r="C866" s="34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</row>
    <row r="867">
      <c r="A867" s="262"/>
      <c r="B867" s="266"/>
      <c r="C867" s="34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</row>
    <row r="868">
      <c r="A868" s="262"/>
      <c r="B868" s="266"/>
      <c r="C868" s="34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</row>
    <row r="869">
      <c r="A869" s="262"/>
      <c r="B869" s="266"/>
      <c r="C869" s="34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</row>
    <row r="870">
      <c r="A870" s="262"/>
      <c r="B870" s="266"/>
      <c r="C870" s="34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</row>
    <row r="871">
      <c r="A871" s="262"/>
      <c r="B871" s="266"/>
      <c r="C871" s="34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</row>
    <row r="872">
      <c r="A872" s="262"/>
      <c r="B872" s="266"/>
      <c r="C872" s="34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</row>
    <row r="873">
      <c r="A873" s="262"/>
      <c r="B873" s="266"/>
      <c r="C873" s="34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</row>
    <row r="874">
      <c r="A874" s="262"/>
      <c r="B874" s="266"/>
      <c r="C874" s="34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</row>
    <row r="875">
      <c r="A875" s="262"/>
      <c r="B875" s="266"/>
      <c r="C875" s="34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</row>
    <row r="876">
      <c r="A876" s="262"/>
      <c r="B876" s="266"/>
      <c r="C876" s="34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</row>
    <row r="877">
      <c r="A877" s="262"/>
      <c r="B877" s="266"/>
      <c r="C877" s="34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</row>
    <row r="878">
      <c r="A878" s="262"/>
      <c r="B878" s="266"/>
      <c r="C878" s="34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</row>
    <row r="879">
      <c r="A879" s="262"/>
      <c r="B879" s="266"/>
      <c r="C879" s="34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</row>
    <row r="880">
      <c r="A880" s="262"/>
      <c r="B880" s="266"/>
      <c r="C880" s="34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</row>
    <row r="881">
      <c r="A881" s="262"/>
      <c r="B881" s="266"/>
      <c r="C881" s="34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</row>
    <row r="882">
      <c r="A882" s="262"/>
      <c r="B882" s="266"/>
      <c r="C882" s="34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</row>
    <row r="883">
      <c r="A883" s="262"/>
      <c r="B883" s="266"/>
      <c r="C883" s="34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</row>
    <row r="884">
      <c r="A884" s="262"/>
      <c r="B884" s="266"/>
      <c r="C884" s="34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</row>
    <row r="885">
      <c r="A885" s="262"/>
      <c r="B885" s="266"/>
      <c r="C885" s="34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</row>
    <row r="886">
      <c r="A886" s="262"/>
      <c r="B886" s="266"/>
      <c r="C886" s="34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</row>
    <row r="887">
      <c r="A887" s="262"/>
      <c r="B887" s="266"/>
      <c r="C887" s="34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</row>
    <row r="888">
      <c r="A888" s="262"/>
      <c r="B888" s="266"/>
      <c r="C888" s="34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</row>
    <row r="889">
      <c r="A889" s="262"/>
      <c r="B889" s="266"/>
      <c r="C889" s="34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</row>
    <row r="890">
      <c r="A890" s="262"/>
      <c r="B890" s="266"/>
      <c r="C890" s="34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</row>
    <row r="891">
      <c r="A891" s="262"/>
      <c r="B891" s="266"/>
      <c r="C891" s="34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</row>
    <row r="892">
      <c r="A892" s="262"/>
      <c r="B892" s="266"/>
      <c r="C892" s="34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</row>
    <row r="893">
      <c r="A893" s="262"/>
      <c r="B893" s="266"/>
      <c r="C893" s="34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</row>
    <row r="894">
      <c r="A894" s="262"/>
      <c r="B894" s="266"/>
      <c r="C894" s="34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</row>
    <row r="895">
      <c r="A895" s="262"/>
      <c r="B895" s="266"/>
      <c r="C895" s="34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</row>
    <row r="896">
      <c r="A896" s="262"/>
      <c r="B896" s="266"/>
      <c r="C896" s="34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</row>
    <row r="897">
      <c r="A897" s="262"/>
      <c r="B897" s="266"/>
      <c r="C897" s="34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</row>
    <row r="898">
      <c r="A898" s="262"/>
      <c r="B898" s="266"/>
      <c r="C898" s="34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</row>
    <row r="899">
      <c r="A899" s="262"/>
      <c r="B899" s="266"/>
      <c r="C899" s="34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</row>
    <row r="900">
      <c r="A900" s="262"/>
      <c r="B900" s="266"/>
      <c r="C900" s="34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</row>
    <row r="901">
      <c r="A901" s="262"/>
      <c r="B901" s="266"/>
      <c r="C901" s="34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</row>
    <row r="902">
      <c r="A902" s="262"/>
      <c r="B902" s="266"/>
      <c r="C902" s="34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</row>
    <row r="903">
      <c r="A903" s="262"/>
      <c r="B903" s="266"/>
      <c r="C903" s="34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</row>
    <row r="904">
      <c r="A904" s="262"/>
      <c r="B904" s="266"/>
      <c r="C904" s="34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</row>
    <row r="905">
      <c r="A905" s="262"/>
      <c r="B905" s="266"/>
      <c r="C905" s="34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</row>
    <row r="906">
      <c r="A906" s="262"/>
      <c r="B906" s="266"/>
      <c r="C906" s="34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</row>
    <row r="907">
      <c r="A907" s="262"/>
      <c r="B907" s="266"/>
      <c r="C907" s="34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</row>
    <row r="908">
      <c r="A908" s="262"/>
      <c r="B908" s="266"/>
      <c r="C908" s="34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</row>
    <row r="909">
      <c r="A909" s="262"/>
      <c r="B909" s="266"/>
      <c r="C909" s="34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</row>
    <row r="910">
      <c r="A910" s="262"/>
      <c r="B910" s="266"/>
      <c r="C910" s="34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</row>
    <row r="911">
      <c r="A911" s="262"/>
      <c r="B911" s="266"/>
      <c r="C911" s="34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</row>
    <row r="912">
      <c r="A912" s="262"/>
      <c r="B912" s="266"/>
      <c r="C912" s="34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</row>
    <row r="913">
      <c r="A913" s="262"/>
      <c r="B913" s="266"/>
      <c r="C913" s="34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</row>
    <row r="914">
      <c r="A914" s="262"/>
      <c r="B914" s="266"/>
      <c r="C914" s="34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</row>
    <row r="915">
      <c r="A915" s="262"/>
      <c r="B915" s="266"/>
      <c r="C915" s="34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</row>
    <row r="916">
      <c r="A916" s="262"/>
      <c r="B916" s="266"/>
      <c r="C916" s="34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</row>
    <row r="917">
      <c r="A917" s="262"/>
      <c r="B917" s="266"/>
      <c r="C917" s="34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</row>
    <row r="918">
      <c r="A918" s="262"/>
      <c r="B918" s="266"/>
      <c r="C918" s="34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</row>
    <row r="919">
      <c r="A919" s="262"/>
      <c r="B919" s="266"/>
      <c r="C919" s="34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</row>
    <row r="920">
      <c r="A920" s="262"/>
      <c r="B920" s="266"/>
      <c r="C920" s="34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</row>
    <row r="921">
      <c r="A921" s="262"/>
      <c r="B921" s="266"/>
      <c r="C921" s="34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</row>
    <row r="922">
      <c r="A922" s="262"/>
      <c r="B922" s="266"/>
      <c r="C922" s="34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</row>
    <row r="923">
      <c r="A923" s="262"/>
      <c r="B923" s="266"/>
      <c r="C923" s="34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</row>
    <row r="924">
      <c r="A924" s="262"/>
      <c r="B924" s="266"/>
      <c r="C924" s="34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</row>
    <row r="925">
      <c r="A925" s="262"/>
      <c r="B925" s="266"/>
      <c r="C925" s="34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</row>
    <row r="926">
      <c r="A926" s="262"/>
      <c r="B926" s="266"/>
      <c r="C926" s="34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</row>
    <row r="927">
      <c r="A927" s="262"/>
      <c r="B927" s="266"/>
      <c r="C927" s="34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</row>
    <row r="928">
      <c r="A928" s="262"/>
      <c r="B928" s="266"/>
      <c r="C928" s="34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</row>
    <row r="929">
      <c r="A929" s="262"/>
      <c r="B929" s="266"/>
      <c r="C929" s="34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</row>
    <row r="930">
      <c r="A930" s="262"/>
      <c r="B930" s="266"/>
      <c r="C930" s="34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</row>
    <row r="931">
      <c r="A931" s="262"/>
      <c r="B931" s="266"/>
      <c r="C931" s="34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</row>
    <row r="932">
      <c r="A932" s="262"/>
      <c r="B932" s="266"/>
      <c r="C932" s="34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</row>
    <row r="933">
      <c r="A933" s="262"/>
      <c r="B933" s="266"/>
      <c r="C933" s="34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</row>
    <row r="934">
      <c r="A934" s="262"/>
      <c r="B934" s="266"/>
      <c r="C934" s="34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</row>
    <row r="935">
      <c r="A935" s="262"/>
      <c r="B935" s="266"/>
      <c r="C935" s="34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</row>
    <row r="936">
      <c r="A936" s="262"/>
      <c r="B936" s="266"/>
      <c r="C936" s="34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</row>
    <row r="937">
      <c r="A937" s="262"/>
      <c r="B937" s="266"/>
      <c r="C937" s="34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</row>
    <row r="938">
      <c r="A938" s="262"/>
      <c r="B938" s="266"/>
      <c r="C938" s="34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</row>
    <row r="939">
      <c r="A939" s="262"/>
      <c r="B939" s="266"/>
      <c r="C939" s="34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</row>
    <row r="940">
      <c r="A940" s="262"/>
      <c r="B940" s="266"/>
      <c r="C940" s="34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</row>
    <row r="941">
      <c r="A941" s="262"/>
      <c r="B941" s="266"/>
      <c r="C941" s="34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</row>
    <row r="942">
      <c r="A942" s="262"/>
      <c r="B942" s="266"/>
      <c r="C942" s="34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</row>
    <row r="943">
      <c r="A943" s="262"/>
      <c r="B943" s="266"/>
      <c r="C943" s="34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</row>
    <row r="944">
      <c r="A944" s="262"/>
      <c r="B944" s="266"/>
      <c r="C944" s="34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</row>
    <row r="945">
      <c r="A945" s="262"/>
      <c r="B945" s="266"/>
      <c r="C945" s="34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</row>
    <row r="946">
      <c r="A946" s="262"/>
      <c r="B946" s="266"/>
      <c r="C946" s="34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</row>
    <row r="947">
      <c r="A947" s="262"/>
      <c r="B947" s="266"/>
      <c r="C947" s="34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</row>
    <row r="948">
      <c r="A948" s="262"/>
      <c r="B948" s="266"/>
      <c r="C948" s="34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</row>
    <row r="949">
      <c r="A949" s="262"/>
      <c r="B949" s="266"/>
      <c r="C949" s="34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</row>
    <row r="950">
      <c r="A950" s="262"/>
      <c r="B950" s="266"/>
      <c r="C950" s="34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</row>
    <row r="951">
      <c r="A951" s="262"/>
      <c r="B951" s="266"/>
      <c r="C951" s="34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</row>
    <row r="952">
      <c r="A952" s="262"/>
      <c r="B952" s="266"/>
      <c r="C952" s="34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</row>
    <row r="953">
      <c r="A953" s="262"/>
      <c r="B953" s="266"/>
      <c r="C953" s="34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</row>
    <row r="954">
      <c r="A954" s="262"/>
      <c r="B954" s="266"/>
      <c r="C954" s="34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</row>
    <row r="955">
      <c r="A955" s="262"/>
      <c r="B955" s="266"/>
      <c r="C955" s="34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</row>
    <row r="956">
      <c r="A956" s="262"/>
      <c r="B956" s="266"/>
      <c r="C956" s="34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</row>
    <row r="957">
      <c r="A957" s="262"/>
      <c r="B957" s="266"/>
      <c r="C957" s="34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</row>
    <row r="958">
      <c r="A958" s="262"/>
      <c r="B958" s="266"/>
      <c r="C958" s="34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</row>
    <row r="959">
      <c r="A959" s="262"/>
      <c r="B959" s="266"/>
      <c r="C959" s="34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</row>
    <row r="960">
      <c r="A960" s="262"/>
      <c r="B960" s="266"/>
      <c r="C960" s="34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</row>
    <row r="961">
      <c r="A961" s="262"/>
      <c r="B961" s="266"/>
      <c r="C961" s="34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</row>
    <row r="962">
      <c r="A962" s="262"/>
      <c r="B962" s="266"/>
      <c r="C962" s="34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</row>
    <row r="963">
      <c r="A963" s="262"/>
      <c r="B963" s="266"/>
      <c r="C963" s="34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</row>
    <row r="964">
      <c r="A964" s="262"/>
      <c r="B964" s="266"/>
      <c r="C964" s="34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</row>
    <row r="965">
      <c r="A965" s="262"/>
      <c r="B965" s="266"/>
      <c r="C965" s="34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</row>
    <row r="966">
      <c r="A966" s="262"/>
      <c r="B966" s="266"/>
      <c r="C966" s="34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</row>
    <row r="967">
      <c r="A967" s="262"/>
      <c r="B967" s="266"/>
      <c r="C967" s="34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</row>
    <row r="968">
      <c r="A968" s="262"/>
      <c r="B968" s="266"/>
      <c r="C968" s="34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</row>
    <row r="969">
      <c r="A969" s="262"/>
      <c r="B969" s="266"/>
      <c r="C969" s="34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</row>
    <row r="970">
      <c r="A970" s="262"/>
      <c r="B970" s="266"/>
      <c r="C970" s="34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</row>
    <row r="971">
      <c r="A971" s="262"/>
      <c r="B971" s="266"/>
      <c r="C971" s="34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</row>
    <row r="972">
      <c r="A972" s="262"/>
      <c r="B972" s="266"/>
      <c r="C972" s="34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</row>
    <row r="973">
      <c r="A973" s="262"/>
      <c r="B973" s="266"/>
      <c r="C973" s="34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</row>
    <row r="974">
      <c r="A974" s="262"/>
      <c r="B974" s="266"/>
      <c r="C974" s="34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</row>
    <row r="975">
      <c r="A975" s="262"/>
      <c r="B975" s="266"/>
      <c r="C975" s="34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</row>
    <row r="976">
      <c r="A976" s="262"/>
      <c r="B976" s="266"/>
      <c r="C976" s="34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</row>
    <row r="977">
      <c r="A977" s="262"/>
      <c r="B977" s="266"/>
      <c r="C977" s="34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</row>
    <row r="978">
      <c r="A978" s="262"/>
      <c r="B978" s="266"/>
      <c r="C978" s="34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</row>
    <row r="979">
      <c r="A979" s="262"/>
      <c r="B979" s="266"/>
      <c r="C979" s="34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</row>
    <row r="980">
      <c r="A980" s="262"/>
      <c r="B980" s="266"/>
      <c r="C980" s="34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</row>
    <row r="981">
      <c r="A981" s="262"/>
      <c r="B981" s="266"/>
      <c r="C981" s="34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</row>
    <row r="982">
      <c r="A982" s="262"/>
      <c r="B982" s="266"/>
      <c r="C982" s="34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</row>
    <row r="983">
      <c r="A983" s="262"/>
      <c r="B983" s="266"/>
      <c r="C983" s="34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</row>
    <row r="984">
      <c r="A984" s="262"/>
      <c r="B984" s="266"/>
      <c r="C984" s="34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</row>
    <row r="985">
      <c r="A985" s="262"/>
      <c r="B985" s="266"/>
      <c r="C985" s="34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</row>
    <row r="986">
      <c r="A986" s="262"/>
      <c r="B986" s="266"/>
      <c r="C986" s="34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</row>
    <row r="987">
      <c r="A987" s="262"/>
      <c r="B987" s="266"/>
      <c r="C987" s="34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</row>
    <row r="988">
      <c r="A988" s="262"/>
      <c r="B988" s="266"/>
      <c r="C988" s="34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</row>
    <row r="989">
      <c r="A989" s="262"/>
      <c r="B989" s="266"/>
      <c r="C989" s="34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</row>
    <row r="990">
      <c r="A990" s="262"/>
      <c r="B990" s="266"/>
      <c r="C990" s="34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</row>
    <row r="991">
      <c r="A991" s="262"/>
      <c r="B991" s="266"/>
      <c r="C991" s="34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</row>
    <row r="992">
      <c r="A992" s="262"/>
      <c r="B992" s="266"/>
      <c r="C992" s="34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</row>
    <row r="993">
      <c r="A993" s="262"/>
      <c r="B993" s="266"/>
      <c r="C993" s="34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</row>
    <row r="994">
      <c r="A994" s="262"/>
      <c r="B994" s="266"/>
      <c r="C994" s="34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</row>
    <row r="995">
      <c r="A995" s="262"/>
      <c r="B995" s="266"/>
      <c r="C995" s="34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</row>
    <row r="996">
      <c r="A996" s="262"/>
      <c r="B996" s="266"/>
      <c r="C996" s="34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</row>
    <row r="997">
      <c r="A997" s="262"/>
      <c r="B997" s="266"/>
      <c r="C997" s="34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</row>
    <row r="998">
      <c r="A998" s="262"/>
      <c r="B998" s="266"/>
      <c r="C998" s="34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</row>
    <row r="999">
      <c r="A999" s="262"/>
      <c r="B999" s="266"/>
      <c r="C999" s="34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</row>
    <row r="1000">
      <c r="A1000" s="262"/>
      <c r="B1000" s="266"/>
      <c r="C1000" s="34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</row>
    <row r="1001">
      <c r="A1001" s="262"/>
      <c r="B1001" s="266"/>
      <c r="C1001" s="346"/>
      <c r="D1001" s="266"/>
      <c r="E1001" s="266"/>
      <c r="F1001" s="266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  <c r="Y1001" s="266"/>
    </row>
    <row r="1002">
      <c r="A1002" s="262"/>
      <c r="B1002" s="266"/>
      <c r="C1002" s="346"/>
      <c r="D1002" s="266"/>
      <c r="E1002" s="266"/>
      <c r="F1002" s="266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  <c r="Y1002" s="266"/>
    </row>
    <row r="1003">
      <c r="A1003" s="262"/>
      <c r="B1003" s="266"/>
      <c r="C1003" s="346"/>
      <c r="D1003" s="266"/>
      <c r="E1003" s="266"/>
      <c r="F1003" s="266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  <c r="Y1003" s="266"/>
    </row>
    <row r="1004">
      <c r="A1004" s="262"/>
      <c r="B1004" s="266"/>
      <c r="C1004" s="346"/>
      <c r="D1004" s="266"/>
      <c r="E1004" s="266"/>
      <c r="F1004" s="266"/>
      <c r="G1004" s="266"/>
      <c r="H1004" s="266"/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  <c r="W1004" s="266"/>
      <c r="X1004" s="266"/>
      <c r="Y1004" s="266"/>
    </row>
    <row r="1005">
      <c r="A1005" s="262"/>
      <c r="B1005" s="266"/>
      <c r="C1005" s="346"/>
      <c r="D1005" s="266"/>
      <c r="E1005" s="266"/>
      <c r="F1005" s="266"/>
      <c r="G1005" s="266"/>
      <c r="H1005" s="266"/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  <c r="W1005" s="266"/>
      <c r="X1005" s="266"/>
      <c r="Y1005" s="266"/>
    </row>
    <row r="1006">
      <c r="A1006" s="262"/>
      <c r="B1006" s="266"/>
      <c r="C1006" s="346"/>
      <c r="D1006" s="266"/>
      <c r="E1006" s="266"/>
      <c r="F1006" s="266"/>
      <c r="G1006" s="266"/>
      <c r="H1006" s="266"/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  <c r="W1006" s="266"/>
      <c r="X1006" s="266"/>
      <c r="Y1006" s="266"/>
    </row>
    <row r="1007">
      <c r="A1007" s="262"/>
      <c r="B1007" s="266"/>
      <c r="C1007" s="346"/>
      <c r="D1007" s="266"/>
      <c r="E1007" s="266"/>
      <c r="F1007" s="266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  <c r="W1007" s="266"/>
      <c r="X1007" s="266"/>
      <c r="Y1007" s="266"/>
    </row>
    <row r="1008">
      <c r="A1008" s="262"/>
      <c r="B1008" s="266"/>
      <c r="C1008" s="346"/>
      <c r="D1008" s="266"/>
      <c r="E1008" s="266"/>
      <c r="F1008" s="266"/>
      <c r="G1008" s="266"/>
      <c r="H1008" s="266"/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  <c r="W1008" s="266"/>
      <c r="X1008" s="266"/>
      <c r="Y1008" s="266"/>
    </row>
    <row r="1009">
      <c r="A1009" s="262"/>
      <c r="B1009" s="266"/>
      <c r="C1009" s="346"/>
      <c r="D1009" s="266"/>
      <c r="E1009" s="266"/>
      <c r="F1009" s="266"/>
      <c r="G1009" s="266"/>
      <c r="H1009" s="266"/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  <c r="W1009" s="266"/>
      <c r="X1009" s="266"/>
      <c r="Y1009" s="266"/>
    </row>
    <row r="1010">
      <c r="A1010" s="262"/>
      <c r="B1010" s="266"/>
      <c r="C1010" s="346"/>
      <c r="D1010" s="266"/>
      <c r="E1010" s="266"/>
      <c r="F1010" s="266"/>
      <c r="G1010" s="266"/>
      <c r="H1010" s="266"/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  <c r="W1010" s="266"/>
      <c r="X1010" s="266"/>
      <c r="Y1010" s="266"/>
    </row>
    <row r="1011">
      <c r="A1011" s="262"/>
      <c r="B1011" s="266"/>
      <c r="C1011" s="346"/>
      <c r="D1011" s="266"/>
      <c r="E1011" s="266"/>
      <c r="F1011" s="266"/>
      <c r="G1011" s="266"/>
      <c r="H1011" s="266"/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  <c r="Y1011" s="266"/>
    </row>
    <row r="1012">
      <c r="A1012" s="262"/>
      <c r="B1012" s="266"/>
      <c r="C1012" s="346"/>
      <c r="D1012" s="266"/>
      <c r="E1012" s="266"/>
      <c r="F1012" s="266"/>
      <c r="G1012" s="266"/>
      <c r="H1012" s="266"/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  <c r="Y1012" s="266"/>
    </row>
    <row r="1013">
      <c r="A1013" s="262"/>
      <c r="B1013" s="266"/>
      <c r="C1013" s="346"/>
      <c r="D1013" s="266"/>
      <c r="E1013" s="266"/>
      <c r="F1013" s="266"/>
      <c r="G1013" s="266"/>
      <c r="H1013" s="266"/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  <c r="Y1013" s="266"/>
    </row>
    <row r="1014">
      <c r="A1014" s="262"/>
      <c r="B1014" s="266"/>
      <c r="C1014" s="346"/>
      <c r="D1014" s="266"/>
      <c r="E1014" s="266"/>
      <c r="F1014" s="266"/>
      <c r="G1014" s="266"/>
      <c r="H1014" s="266"/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  <c r="W1014" s="266"/>
      <c r="X1014" s="266"/>
      <c r="Y1014" s="266"/>
    </row>
    <row r="1015">
      <c r="A1015" s="262"/>
      <c r="B1015" s="266"/>
      <c r="C1015" s="346"/>
      <c r="D1015" s="266"/>
      <c r="E1015" s="266"/>
      <c r="F1015" s="266"/>
      <c r="G1015" s="266"/>
      <c r="H1015" s="266"/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  <c r="W1015" s="266"/>
      <c r="X1015" s="266"/>
      <c r="Y1015" s="266"/>
    </row>
    <row r="1016">
      <c r="A1016" s="262"/>
      <c r="B1016" s="266"/>
      <c r="C1016" s="346"/>
      <c r="D1016" s="266"/>
      <c r="E1016" s="266"/>
      <c r="F1016" s="266"/>
      <c r="G1016" s="266"/>
      <c r="H1016" s="266"/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  <c r="W1016" s="266"/>
      <c r="X1016" s="266"/>
      <c r="Y1016" s="266"/>
    </row>
    <row r="1017">
      <c r="A1017" s="262"/>
      <c r="B1017" s="266"/>
      <c r="C1017" s="346"/>
      <c r="D1017" s="266"/>
      <c r="E1017" s="266"/>
      <c r="F1017" s="266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  <c r="Y1017" s="266"/>
    </row>
    <row r="1018">
      <c r="A1018" s="262"/>
      <c r="B1018" s="266"/>
      <c r="C1018" s="346"/>
      <c r="D1018" s="266"/>
      <c r="E1018" s="266"/>
      <c r="F1018" s="266"/>
      <c r="G1018" s="266"/>
      <c r="H1018" s="266"/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  <c r="W1018" s="266"/>
      <c r="X1018" s="266"/>
      <c r="Y1018" s="266"/>
    </row>
    <row r="1019">
      <c r="A1019" s="262"/>
      <c r="B1019" s="266"/>
      <c r="C1019" s="346"/>
      <c r="D1019" s="266"/>
      <c r="E1019" s="266"/>
      <c r="F1019" s="266"/>
      <c r="G1019" s="266"/>
      <c r="H1019" s="266"/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  <c r="W1019" s="266"/>
      <c r="X1019" s="266"/>
      <c r="Y1019" s="266"/>
    </row>
    <row r="1020">
      <c r="A1020" s="262"/>
      <c r="B1020" s="266"/>
      <c r="C1020" s="346"/>
      <c r="D1020" s="266"/>
      <c r="E1020" s="266"/>
      <c r="F1020" s="266"/>
      <c r="G1020" s="266"/>
      <c r="H1020" s="266"/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  <c r="W1020" s="266"/>
      <c r="X1020" s="266"/>
      <c r="Y1020" s="266"/>
    </row>
    <row r="1021">
      <c r="A1021" s="262"/>
      <c r="B1021" s="266"/>
      <c r="C1021" s="346"/>
      <c r="D1021" s="266"/>
      <c r="E1021" s="266"/>
      <c r="F1021" s="266"/>
      <c r="G1021" s="266"/>
      <c r="H1021" s="266"/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  <c r="W1021" s="266"/>
      <c r="X1021" s="266"/>
      <c r="Y1021" s="266"/>
    </row>
    <row r="1022">
      <c r="A1022" s="262"/>
      <c r="B1022" s="266"/>
      <c r="C1022" s="346"/>
      <c r="D1022" s="266"/>
      <c r="E1022" s="266"/>
      <c r="F1022" s="266"/>
      <c r="G1022" s="266"/>
      <c r="H1022" s="266"/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  <c r="W1022" s="266"/>
      <c r="X1022" s="266"/>
      <c r="Y1022" s="266"/>
    </row>
    <row r="1023">
      <c r="A1023" s="262"/>
      <c r="B1023" s="266"/>
      <c r="C1023" s="346"/>
      <c r="D1023" s="266"/>
      <c r="E1023" s="266"/>
      <c r="F1023" s="266"/>
      <c r="G1023" s="266"/>
      <c r="H1023" s="266"/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  <c r="W1023" s="266"/>
      <c r="X1023" s="266"/>
      <c r="Y1023" s="266"/>
    </row>
    <row r="1024">
      <c r="A1024" s="262"/>
      <c r="B1024" s="266"/>
      <c r="C1024" s="346"/>
      <c r="D1024" s="266"/>
      <c r="E1024" s="266"/>
      <c r="F1024" s="266"/>
      <c r="G1024" s="266"/>
      <c r="H1024" s="266"/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  <c r="W1024" s="266"/>
      <c r="X1024" s="266"/>
      <c r="Y1024" s="266"/>
    </row>
    <row r="1025">
      <c r="A1025" s="262"/>
      <c r="B1025" s="266"/>
      <c r="C1025" s="346"/>
      <c r="D1025" s="266"/>
      <c r="E1025" s="266"/>
      <c r="F1025" s="266"/>
      <c r="G1025" s="266"/>
      <c r="H1025" s="266"/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  <c r="W1025" s="266"/>
      <c r="X1025" s="266"/>
      <c r="Y1025" s="266"/>
    </row>
    <row r="1026">
      <c r="A1026" s="262"/>
      <c r="B1026" s="266"/>
      <c r="C1026" s="346"/>
      <c r="D1026" s="266"/>
      <c r="E1026" s="266"/>
      <c r="F1026" s="266"/>
      <c r="G1026" s="266"/>
      <c r="H1026" s="266"/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  <c r="Y1026" s="266"/>
    </row>
    <row r="1027">
      <c r="A1027" s="262"/>
      <c r="B1027" s="266"/>
      <c r="C1027" s="346"/>
      <c r="D1027" s="266"/>
      <c r="E1027" s="266"/>
      <c r="F1027" s="266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  <c r="W1027" s="266"/>
      <c r="X1027" s="266"/>
      <c r="Y1027" s="266"/>
    </row>
    <row r="1028">
      <c r="A1028" s="262"/>
      <c r="B1028" s="266"/>
      <c r="C1028" s="346"/>
      <c r="D1028" s="266"/>
      <c r="E1028" s="266"/>
      <c r="F1028" s="266"/>
      <c r="G1028" s="266"/>
      <c r="H1028" s="266"/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  <c r="W1028" s="266"/>
      <c r="X1028" s="266"/>
      <c r="Y1028" s="266"/>
    </row>
    <row r="1029">
      <c r="A1029" s="262"/>
      <c r="B1029" s="266"/>
      <c r="C1029" s="346"/>
      <c r="D1029" s="266"/>
      <c r="E1029" s="266"/>
      <c r="F1029" s="266"/>
      <c r="G1029" s="266"/>
      <c r="H1029" s="266"/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  <c r="W1029" s="266"/>
      <c r="X1029" s="266"/>
      <c r="Y1029" s="266"/>
    </row>
    <row r="1030">
      <c r="A1030" s="262"/>
      <c r="B1030" s="266"/>
      <c r="C1030" s="346"/>
      <c r="D1030" s="266"/>
      <c r="E1030" s="266"/>
      <c r="F1030" s="266"/>
      <c r="G1030" s="266"/>
      <c r="H1030" s="266"/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  <c r="Y1030" s="266"/>
    </row>
    <row r="1031">
      <c r="A1031" s="262"/>
      <c r="B1031" s="266"/>
      <c r="C1031" s="346"/>
      <c r="D1031" s="266"/>
      <c r="E1031" s="266"/>
      <c r="F1031" s="266"/>
      <c r="G1031" s="266"/>
      <c r="H1031" s="266"/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  <c r="W1031" s="266"/>
      <c r="X1031" s="266"/>
      <c r="Y1031" s="266"/>
    </row>
    <row r="1032">
      <c r="A1032" s="262"/>
      <c r="B1032" s="266"/>
      <c r="C1032" s="346"/>
      <c r="D1032" s="266"/>
      <c r="E1032" s="266"/>
      <c r="F1032" s="266"/>
      <c r="G1032" s="266"/>
      <c r="H1032" s="266"/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  <c r="W1032" s="266"/>
      <c r="X1032" s="266"/>
      <c r="Y1032" s="266"/>
    </row>
    <row r="1033">
      <c r="A1033" s="262"/>
      <c r="B1033" s="266"/>
      <c r="C1033" s="346"/>
      <c r="D1033" s="266"/>
      <c r="E1033" s="266"/>
      <c r="F1033" s="266"/>
      <c r="G1033" s="266"/>
      <c r="H1033" s="266"/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  <c r="Y1033" s="266"/>
    </row>
    <row r="1034">
      <c r="A1034" s="262"/>
      <c r="B1034" s="266"/>
      <c r="C1034" s="346"/>
      <c r="D1034" s="266"/>
      <c r="E1034" s="266"/>
      <c r="F1034" s="266"/>
      <c r="G1034" s="266"/>
      <c r="H1034" s="266"/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  <c r="W1034" s="266"/>
      <c r="X1034" s="266"/>
      <c r="Y1034" s="266"/>
    </row>
    <row r="1035">
      <c r="A1035" s="262"/>
      <c r="B1035" s="266"/>
      <c r="C1035" s="346"/>
      <c r="D1035" s="266"/>
      <c r="E1035" s="266"/>
      <c r="F1035" s="266"/>
      <c r="G1035" s="266"/>
      <c r="H1035" s="266"/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  <c r="W1035" s="266"/>
      <c r="X1035" s="266"/>
      <c r="Y1035" s="266"/>
    </row>
    <row r="1036">
      <c r="A1036" s="262"/>
      <c r="B1036" s="266"/>
      <c r="C1036" s="346"/>
      <c r="D1036" s="266"/>
      <c r="E1036" s="266"/>
      <c r="F1036" s="266"/>
      <c r="G1036" s="266"/>
      <c r="H1036" s="266"/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  <c r="W1036" s="266"/>
      <c r="X1036" s="266"/>
      <c r="Y1036" s="266"/>
    </row>
    <row r="1037">
      <c r="A1037" s="262"/>
      <c r="B1037" s="266"/>
      <c r="C1037" s="346"/>
      <c r="D1037" s="266"/>
      <c r="E1037" s="266"/>
      <c r="F1037" s="266"/>
      <c r="G1037" s="266"/>
      <c r="H1037" s="266"/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  <c r="W1037" s="266"/>
      <c r="X1037" s="266"/>
      <c r="Y1037" s="266"/>
    </row>
    <row r="1038">
      <c r="A1038" s="262"/>
      <c r="B1038" s="266"/>
      <c r="C1038" s="346"/>
      <c r="D1038" s="266"/>
      <c r="E1038" s="266"/>
      <c r="F1038" s="266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  <c r="W1038" s="266"/>
      <c r="X1038" s="266"/>
      <c r="Y1038" s="266"/>
    </row>
    <row r="1039">
      <c r="A1039" s="262"/>
      <c r="B1039" s="266"/>
      <c r="C1039" s="346"/>
      <c r="D1039" s="266"/>
      <c r="E1039" s="266"/>
      <c r="F1039" s="266"/>
      <c r="G1039" s="266"/>
      <c r="H1039" s="266"/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  <c r="W1039" s="266"/>
      <c r="X1039" s="266"/>
      <c r="Y1039" s="266"/>
    </row>
    <row r="1040">
      <c r="A1040" s="262"/>
      <c r="B1040" s="266"/>
      <c r="C1040" s="346"/>
      <c r="D1040" s="266"/>
      <c r="E1040" s="266"/>
      <c r="F1040" s="266"/>
      <c r="G1040" s="266"/>
      <c r="H1040" s="266"/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  <c r="W1040" s="266"/>
      <c r="X1040" s="266"/>
      <c r="Y1040" s="266"/>
    </row>
    <row r="1041">
      <c r="A1041" s="262"/>
      <c r="B1041" s="266"/>
      <c r="C1041" s="346"/>
      <c r="D1041" s="266"/>
      <c r="E1041" s="266"/>
      <c r="F1041" s="266"/>
      <c r="G1041" s="266"/>
      <c r="H1041" s="266"/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  <c r="W1041" s="266"/>
      <c r="X1041" s="266"/>
      <c r="Y1041" s="266"/>
    </row>
    <row r="1042">
      <c r="A1042" s="262"/>
      <c r="B1042" s="266"/>
      <c r="C1042" s="346"/>
      <c r="D1042" s="266"/>
      <c r="E1042" s="266"/>
      <c r="F1042" s="266"/>
      <c r="G1042" s="266"/>
      <c r="H1042" s="266"/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  <c r="Y1042" s="266"/>
    </row>
    <row r="1043">
      <c r="A1043" s="262"/>
      <c r="B1043" s="266"/>
      <c r="C1043" s="346"/>
      <c r="D1043" s="266"/>
      <c r="E1043" s="266"/>
      <c r="F1043" s="266"/>
      <c r="G1043" s="266"/>
      <c r="H1043" s="266"/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  <c r="W1043" s="266"/>
      <c r="X1043" s="266"/>
      <c r="Y1043" s="266"/>
    </row>
    <row r="1044">
      <c r="A1044" s="262"/>
      <c r="B1044" s="266"/>
      <c r="C1044" s="346"/>
      <c r="D1044" s="266"/>
      <c r="E1044" s="266"/>
      <c r="F1044" s="266"/>
      <c r="G1044" s="266"/>
      <c r="H1044" s="266"/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  <c r="W1044" s="266"/>
      <c r="X1044" s="266"/>
      <c r="Y1044" s="266"/>
    </row>
    <row r="1045">
      <c r="A1045" s="262"/>
      <c r="B1045" s="266"/>
      <c r="C1045" s="346"/>
      <c r="D1045" s="266"/>
      <c r="E1045" s="266"/>
      <c r="F1045" s="266"/>
      <c r="G1045" s="266"/>
      <c r="H1045" s="266"/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  <c r="W1045" s="266"/>
      <c r="X1045" s="266"/>
      <c r="Y1045" s="266"/>
    </row>
    <row r="1046">
      <c r="A1046" s="262"/>
      <c r="B1046" s="266"/>
      <c r="C1046" s="346"/>
      <c r="D1046" s="266"/>
      <c r="E1046" s="266"/>
      <c r="F1046" s="266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  <c r="Y1046" s="266"/>
    </row>
    <row r="1047">
      <c r="A1047" s="262"/>
      <c r="B1047" s="266"/>
      <c r="C1047" s="346"/>
      <c r="D1047" s="266"/>
      <c r="E1047" s="266"/>
      <c r="F1047" s="266"/>
      <c r="G1047" s="266"/>
      <c r="H1047" s="266"/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  <c r="W1047" s="266"/>
      <c r="X1047" s="266"/>
      <c r="Y1047" s="266"/>
    </row>
    <row r="1048">
      <c r="A1048" s="262"/>
      <c r="B1048" s="266"/>
      <c r="C1048" s="346"/>
      <c r="D1048" s="266"/>
      <c r="E1048" s="266"/>
      <c r="F1048" s="266"/>
      <c r="G1048" s="266"/>
      <c r="H1048" s="266"/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  <c r="W1048" s="266"/>
      <c r="X1048" s="266"/>
      <c r="Y1048" s="266"/>
    </row>
    <row r="1049">
      <c r="A1049" s="262"/>
      <c r="B1049" s="266"/>
      <c r="C1049" s="346"/>
      <c r="D1049" s="266"/>
      <c r="E1049" s="266"/>
      <c r="F1049" s="266"/>
      <c r="G1049" s="266"/>
      <c r="H1049" s="266"/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  <c r="Y1049" s="266"/>
    </row>
    <row r="1050">
      <c r="A1050" s="262"/>
      <c r="B1050" s="266"/>
      <c r="C1050" s="346"/>
      <c r="D1050" s="266"/>
      <c r="E1050" s="266"/>
      <c r="F1050" s="266"/>
      <c r="G1050" s="266"/>
      <c r="H1050" s="266"/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  <c r="W1050" s="266"/>
      <c r="X1050" s="266"/>
      <c r="Y1050" s="266"/>
    </row>
    <row r="1051">
      <c r="A1051" s="262"/>
      <c r="B1051" s="266"/>
      <c r="C1051" s="346"/>
      <c r="D1051" s="266"/>
      <c r="E1051" s="266"/>
      <c r="F1051" s="266"/>
      <c r="G1051" s="266"/>
      <c r="H1051" s="266"/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  <c r="W1051" s="266"/>
      <c r="X1051" s="266"/>
      <c r="Y1051" s="266"/>
    </row>
    <row r="1052">
      <c r="A1052" s="262"/>
      <c r="B1052" s="266"/>
      <c r="C1052" s="346"/>
      <c r="D1052" s="266"/>
      <c r="E1052" s="266"/>
      <c r="F1052" s="266"/>
      <c r="G1052" s="266"/>
      <c r="H1052" s="266"/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  <c r="W1052" s="266"/>
      <c r="X1052" s="266"/>
      <c r="Y1052" s="266"/>
    </row>
    <row r="1053">
      <c r="A1053" s="262"/>
      <c r="B1053" s="266"/>
      <c r="C1053" s="346"/>
      <c r="D1053" s="266"/>
      <c r="E1053" s="266"/>
      <c r="F1053" s="266"/>
      <c r="G1053" s="266"/>
      <c r="H1053" s="266"/>
      <c r="I1053" s="266"/>
      <c r="J1053" s="266"/>
      <c r="K1053" s="266"/>
      <c r="L1053" s="266"/>
      <c r="M1053" s="266"/>
      <c r="N1053" s="266"/>
      <c r="O1053" s="266"/>
      <c r="P1053" s="266"/>
      <c r="Q1053" s="266"/>
      <c r="R1053" s="266"/>
      <c r="S1053" s="266"/>
      <c r="T1053" s="266"/>
      <c r="U1053" s="266"/>
      <c r="V1053" s="266"/>
      <c r="W1053" s="266"/>
      <c r="X1053" s="266"/>
      <c r="Y1053" s="266"/>
    </row>
    <row r="1054">
      <c r="A1054" s="262"/>
      <c r="B1054" s="266"/>
      <c r="C1054" s="346"/>
      <c r="D1054" s="266"/>
      <c r="E1054" s="266"/>
      <c r="F1054" s="266"/>
      <c r="G1054" s="266"/>
      <c r="H1054" s="266"/>
      <c r="I1054" s="266"/>
      <c r="J1054" s="266"/>
      <c r="K1054" s="266"/>
      <c r="L1054" s="266"/>
      <c r="M1054" s="266"/>
      <c r="N1054" s="266"/>
      <c r="O1054" s="266"/>
      <c r="P1054" s="266"/>
      <c r="Q1054" s="266"/>
      <c r="R1054" s="266"/>
      <c r="S1054" s="266"/>
      <c r="T1054" s="266"/>
      <c r="U1054" s="266"/>
      <c r="V1054" s="266"/>
      <c r="W1054" s="266"/>
      <c r="X1054" s="266"/>
      <c r="Y1054" s="266"/>
    </row>
    <row r="1055">
      <c r="A1055" s="262"/>
      <c r="B1055" s="266"/>
      <c r="C1055" s="346"/>
      <c r="D1055" s="266"/>
      <c r="E1055" s="266"/>
      <c r="F1055" s="266"/>
      <c r="G1055" s="266"/>
      <c r="H1055" s="266"/>
      <c r="I1055" s="266"/>
      <c r="J1055" s="266"/>
      <c r="K1055" s="266"/>
      <c r="L1055" s="266"/>
      <c r="M1055" s="266"/>
      <c r="N1055" s="266"/>
      <c r="O1055" s="266"/>
      <c r="P1055" s="266"/>
      <c r="Q1055" s="266"/>
      <c r="R1055" s="266"/>
      <c r="S1055" s="266"/>
      <c r="T1055" s="266"/>
      <c r="U1055" s="266"/>
      <c r="V1055" s="266"/>
      <c r="W1055" s="266"/>
      <c r="X1055" s="266"/>
      <c r="Y1055" s="266"/>
    </row>
    <row r="1056">
      <c r="A1056" s="262"/>
      <c r="B1056" s="266"/>
      <c r="C1056" s="346"/>
      <c r="D1056" s="266"/>
      <c r="E1056" s="266"/>
      <c r="F1056" s="266"/>
      <c r="G1056" s="266"/>
      <c r="H1056" s="266"/>
      <c r="I1056" s="266"/>
      <c r="J1056" s="266"/>
      <c r="K1056" s="266"/>
      <c r="L1056" s="266"/>
      <c r="M1056" s="266"/>
      <c r="N1056" s="266"/>
      <c r="O1056" s="266"/>
      <c r="P1056" s="266"/>
      <c r="Q1056" s="266"/>
      <c r="R1056" s="266"/>
      <c r="S1056" s="266"/>
      <c r="T1056" s="266"/>
      <c r="U1056" s="266"/>
      <c r="V1056" s="266"/>
      <c r="W1056" s="266"/>
      <c r="X1056" s="266"/>
      <c r="Y1056" s="266"/>
    </row>
    <row r="1057">
      <c r="A1057" s="262"/>
      <c r="B1057" s="266"/>
      <c r="C1057" s="346"/>
      <c r="D1057" s="266"/>
      <c r="E1057" s="266"/>
      <c r="F1057" s="266"/>
      <c r="G1057" s="266"/>
      <c r="H1057" s="266"/>
      <c r="I1057" s="266"/>
      <c r="J1057" s="266"/>
      <c r="K1057" s="266"/>
      <c r="L1057" s="266"/>
      <c r="M1057" s="266"/>
      <c r="N1057" s="266"/>
      <c r="O1057" s="266"/>
      <c r="P1057" s="266"/>
      <c r="Q1057" s="266"/>
      <c r="R1057" s="266"/>
      <c r="S1057" s="266"/>
      <c r="T1057" s="266"/>
      <c r="U1057" s="266"/>
      <c r="V1057" s="266"/>
      <c r="W1057" s="266"/>
      <c r="X1057" s="266"/>
      <c r="Y1057" s="266"/>
    </row>
    <row r="1058">
      <c r="A1058" s="262"/>
      <c r="B1058" s="266"/>
      <c r="C1058" s="346"/>
      <c r="D1058" s="266"/>
      <c r="E1058" s="266"/>
      <c r="F1058" s="266"/>
      <c r="G1058" s="266"/>
      <c r="H1058" s="266"/>
      <c r="I1058" s="266"/>
      <c r="J1058" s="266"/>
      <c r="K1058" s="266"/>
      <c r="L1058" s="266"/>
      <c r="M1058" s="266"/>
      <c r="N1058" s="266"/>
      <c r="O1058" s="266"/>
      <c r="P1058" s="266"/>
      <c r="Q1058" s="266"/>
      <c r="R1058" s="266"/>
      <c r="S1058" s="266"/>
      <c r="T1058" s="266"/>
      <c r="U1058" s="266"/>
      <c r="V1058" s="266"/>
      <c r="W1058" s="266"/>
      <c r="X1058" s="266"/>
      <c r="Y1058" s="266"/>
    </row>
    <row r="1059">
      <c r="A1059" s="262"/>
      <c r="B1059" s="266"/>
      <c r="C1059" s="346"/>
      <c r="D1059" s="266"/>
      <c r="E1059" s="266"/>
      <c r="F1059" s="266"/>
      <c r="G1059" s="266"/>
      <c r="H1059" s="266"/>
      <c r="I1059" s="266"/>
      <c r="J1059" s="266"/>
      <c r="K1059" s="266"/>
      <c r="L1059" s="266"/>
      <c r="M1059" s="266"/>
      <c r="N1059" s="266"/>
      <c r="O1059" s="266"/>
      <c r="P1059" s="266"/>
      <c r="Q1059" s="266"/>
      <c r="R1059" s="266"/>
      <c r="S1059" s="266"/>
      <c r="T1059" s="266"/>
      <c r="U1059" s="266"/>
      <c r="V1059" s="266"/>
      <c r="W1059" s="266"/>
      <c r="X1059" s="266"/>
      <c r="Y1059" s="266"/>
    </row>
    <row r="1060">
      <c r="A1060" s="262"/>
      <c r="B1060" s="266"/>
      <c r="C1060" s="346"/>
      <c r="D1060" s="266"/>
      <c r="E1060" s="266"/>
      <c r="F1060" s="266"/>
      <c r="G1060" s="266"/>
      <c r="H1060" s="266"/>
      <c r="I1060" s="266"/>
      <c r="J1060" s="266"/>
      <c r="K1060" s="266"/>
      <c r="L1060" s="266"/>
      <c r="M1060" s="266"/>
      <c r="N1060" s="266"/>
      <c r="O1060" s="266"/>
      <c r="P1060" s="266"/>
      <c r="Q1060" s="266"/>
      <c r="R1060" s="266"/>
      <c r="S1060" s="266"/>
      <c r="T1060" s="266"/>
      <c r="U1060" s="266"/>
      <c r="V1060" s="266"/>
      <c r="W1060" s="266"/>
      <c r="X1060" s="266"/>
      <c r="Y1060" s="266"/>
    </row>
    <row r="1061">
      <c r="A1061" s="262"/>
      <c r="B1061" s="266"/>
      <c r="C1061" s="346"/>
      <c r="D1061" s="266"/>
      <c r="E1061" s="266"/>
      <c r="F1061" s="266"/>
      <c r="G1061" s="266"/>
      <c r="H1061" s="266"/>
      <c r="I1061" s="266"/>
      <c r="J1061" s="266"/>
      <c r="K1061" s="266"/>
      <c r="L1061" s="266"/>
      <c r="M1061" s="266"/>
      <c r="N1061" s="266"/>
      <c r="O1061" s="266"/>
      <c r="P1061" s="266"/>
      <c r="Q1061" s="266"/>
      <c r="R1061" s="266"/>
      <c r="S1061" s="266"/>
      <c r="T1061" s="266"/>
      <c r="U1061" s="266"/>
      <c r="V1061" s="266"/>
      <c r="W1061" s="266"/>
      <c r="X1061" s="266"/>
      <c r="Y1061" s="266"/>
    </row>
    <row r="1062">
      <c r="A1062" s="262"/>
      <c r="B1062" s="266"/>
      <c r="C1062" s="346"/>
      <c r="D1062" s="266"/>
      <c r="E1062" s="266"/>
      <c r="F1062" s="266"/>
      <c r="G1062" s="266"/>
      <c r="H1062" s="266"/>
      <c r="I1062" s="266"/>
      <c r="J1062" s="266"/>
      <c r="K1062" s="266"/>
      <c r="L1062" s="266"/>
      <c r="M1062" s="266"/>
      <c r="N1062" s="266"/>
      <c r="O1062" s="266"/>
      <c r="P1062" s="266"/>
      <c r="Q1062" s="266"/>
      <c r="R1062" s="266"/>
      <c r="S1062" s="266"/>
      <c r="T1062" s="266"/>
      <c r="U1062" s="266"/>
      <c r="V1062" s="266"/>
      <c r="W1062" s="266"/>
      <c r="X1062" s="266"/>
      <c r="Y1062" s="266"/>
    </row>
    <row r="1063">
      <c r="A1063" s="262"/>
      <c r="B1063" s="266"/>
      <c r="C1063" s="346"/>
      <c r="D1063" s="266"/>
      <c r="E1063" s="266"/>
      <c r="F1063" s="266"/>
      <c r="G1063" s="266"/>
      <c r="H1063" s="266"/>
      <c r="I1063" s="266"/>
      <c r="J1063" s="266"/>
      <c r="K1063" s="266"/>
      <c r="L1063" s="266"/>
      <c r="M1063" s="266"/>
      <c r="N1063" s="266"/>
      <c r="O1063" s="266"/>
      <c r="P1063" s="266"/>
      <c r="Q1063" s="266"/>
      <c r="R1063" s="266"/>
      <c r="S1063" s="266"/>
      <c r="T1063" s="266"/>
      <c r="U1063" s="266"/>
      <c r="V1063" s="266"/>
      <c r="W1063" s="266"/>
      <c r="X1063" s="266"/>
      <c r="Y1063" s="266"/>
    </row>
    <row r="1064">
      <c r="A1064" s="262"/>
      <c r="B1064" s="266"/>
      <c r="C1064" s="346"/>
      <c r="D1064" s="266"/>
      <c r="E1064" s="266"/>
      <c r="F1064" s="266"/>
      <c r="G1064" s="266"/>
      <c r="H1064" s="266"/>
      <c r="I1064" s="266"/>
      <c r="J1064" s="266"/>
      <c r="K1064" s="266"/>
      <c r="L1064" s="266"/>
      <c r="M1064" s="266"/>
      <c r="N1064" s="266"/>
      <c r="O1064" s="266"/>
      <c r="P1064" s="266"/>
      <c r="Q1064" s="266"/>
      <c r="R1064" s="266"/>
      <c r="S1064" s="266"/>
      <c r="T1064" s="266"/>
      <c r="U1064" s="266"/>
      <c r="V1064" s="266"/>
      <c r="W1064" s="266"/>
      <c r="X1064" s="266"/>
      <c r="Y1064" s="266"/>
    </row>
    <row r="1065">
      <c r="A1065" s="262"/>
      <c r="B1065" s="266"/>
      <c r="C1065" s="346"/>
      <c r="D1065" s="266"/>
      <c r="E1065" s="266"/>
      <c r="F1065" s="266"/>
      <c r="G1065" s="266"/>
      <c r="H1065" s="266"/>
      <c r="I1065" s="266"/>
      <c r="J1065" s="266"/>
      <c r="K1065" s="266"/>
      <c r="L1065" s="266"/>
      <c r="M1065" s="266"/>
      <c r="N1065" s="266"/>
      <c r="O1065" s="266"/>
      <c r="P1065" s="266"/>
      <c r="Q1065" s="266"/>
      <c r="R1065" s="266"/>
      <c r="S1065" s="266"/>
      <c r="T1065" s="266"/>
      <c r="U1065" s="266"/>
      <c r="V1065" s="266"/>
      <c r="W1065" s="266"/>
      <c r="X1065" s="266"/>
      <c r="Y1065" s="266"/>
    </row>
    <row r="1066">
      <c r="A1066" s="262"/>
      <c r="B1066" s="266"/>
      <c r="C1066" s="346"/>
      <c r="D1066" s="266"/>
      <c r="E1066" s="266"/>
      <c r="F1066" s="266"/>
      <c r="G1066" s="266"/>
      <c r="H1066" s="266"/>
      <c r="I1066" s="266"/>
      <c r="J1066" s="266"/>
      <c r="K1066" s="266"/>
      <c r="L1066" s="266"/>
      <c r="M1066" s="266"/>
      <c r="N1066" s="266"/>
      <c r="O1066" s="266"/>
      <c r="P1066" s="266"/>
      <c r="Q1066" s="266"/>
      <c r="R1066" s="266"/>
      <c r="S1066" s="266"/>
      <c r="T1066" s="266"/>
      <c r="U1066" s="266"/>
      <c r="V1066" s="266"/>
      <c r="W1066" s="266"/>
      <c r="X1066" s="266"/>
      <c r="Y1066" s="266"/>
    </row>
    <row r="1067">
      <c r="A1067" s="262"/>
      <c r="B1067" s="266"/>
      <c r="C1067" s="346"/>
      <c r="D1067" s="266"/>
      <c r="E1067" s="266"/>
      <c r="F1067" s="266"/>
      <c r="G1067" s="266"/>
      <c r="H1067" s="266"/>
      <c r="I1067" s="266"/>
      <c r="J1067" s="266"/>
      <c r="K1067" s="266"/>
      <c r="L1067" s="266"/>
      <c r="M1067" s="266"/>
      <c r="N1067" s="266"/>
      <c r="O1067" s="266"/>
      <c r="P1067" s="266"/>
      <c r="Q1067" s="266"/>
      <c r="R1067" s="266"/>
      <c r="S1067" s="266"/>
      <c r="T1067" s="266"/>
      <c r="U1067" s="266"/>
      <c r="V1067" s="266"/>
      <c r="W1067" s="266"/>
      <c r="X1067" s="266"/>
      <c r="Y1067" s="266"/>
    </row>
    <row r="1068">
      <c r="A1068" s="262"/>
      <c r="B1068" s="266"/>
      <c r="C1068" s="346"/>
      <c r="D1068" s="266"/>
      <c r="E1068" s="266"/>
      <c r="F1068" s="266"/>
      <c r="G1068" s="266"/>
      <c r="H1068" s="266"/>
      <c r="I1068" s="266"/>
      <c r="J1068" s="266"/>
      <c r="K1068" s="266"/>
      <c r="L1068" s="266"/>
      <c r="M1068" s="266"/>
      <c r="N1068" s="266"/>
      <c r="O1068" s="266"/>
      <c r="P1068" s="266"/>
      <c r="Q1068" s="266"/>
      <c r="R1068" s="266"/>
      <c r="S1068" s="266"/>
      <c r="T1068" s="266"/>
      <c r="U1068" s="266"/>
      <c r="V1068" s="266"/>
      <c r="W1068" s="266"/>
      <c r="X1068" s="266"/>
      <c r="Y1068" s="266"/>
    </row>
    <row r="1069">
      <c r="A1069" s="262"/>
      <c r="B1069" s="266"/>
      <c r="C1069" s="346"/>
      <c r="D1069" s="266"/>
      <c r="E1069" s="266"/>
      <c r="F1069" s="266"/>
      <c r="G1069" s="266"/>
      <c r="H1069" s="266"/>
      <c r="I1069" s="266"/>
      <c r="J1069" s="266"/>
      <c r="K1069" s="266"/>
      <c r="L1069" s="266"/>
      <c r="M1069" s="266"/>
      <c r="N1069" s="266"/>
      <c r="O1069" s="266"/>
      <c r="P1069" s="266"/>
      <c r="Q1069" s="266"/>
      <c r="R1069" s="266"/>
      <c r="S1069" s="266"/>
      <c r="T1069" s="266"/>
      <c r="U1069" s="266"/>
      <c r="V1069" s="266"/>
      <c r="W1069" s="266"/>
      <c r="X1069" s="266"/>
      <c r="Y1069" s="266"/>
    </row>
    <row r="1070">
      <c r="A1070" s="262"/>
      <c r="B1070" s="266"/>
      <c r="C1070" s="346"/>
      <c r="D1070" s="266"/>
      <c r="E1070" s="266"/>
      <c r="F1070" s="266"/>
      <c r="G1070" s="266"/>
      <c r="H1070" s="266"/>
      <c r="I1070" s="266"/>
      <c r="J1070" s="266"/>
      <c r="K1070" s="266"/>
      <c r="L1070" s="266"/>
      <c r="M1070" s="266"/>
      <c r="N1070" s="266"/>
      <c r="O1070" s="266"/>
      <c r="P1070" s="266"/>
      <c r="Q1070" s="266"/>
      <c r="R1070" s="266"/>
      <c r="S1070" s="266"/>
      <c r="T1070" s="266"/>
      <c r="U1070" s="266"/>
      <c r="V1070" s="266"/>
      <c r="W1070" s="266"/>
      <c r="X1070" s="266"/>
      <c r="Y1070" s="266"/>
    </row>
    <row r="1071">
      <c r="A1071" s="262"/>
      <c r="B1071" s="266"/>
      <c r="C1071" s="346"/>
      <c r="D1071" s="266"/>
      <c r="E1071" s="266"/>
      <c r="F1071" s="266"/>
      <c r="G1071" s="266"/>
      <c r="H1071" s="266"/>
      <c r="I1071" s="266"/>
      <c r="J1071" s="266"/>
      <c r="K1071" s="266"/>
      <c r="L1071" s="266"/>
      <c r="M1071" s="266"/>
      <c r="N1071" s="266"/>
      <c r="O1071" s="266"/>
      <c r="P1071" s="266"/>
      <c r="Q1071" s="266"/>
      <c r="R1071" s="266"/>
      <c r="S1071" s="266"/>
      <c r="T1071" s="266"/>
      <c r="U1071" s="266"/>
      <c r="V1071" s="266"/>
      <c r="W1071" s="266"/>
      <c r="X1071" s="266"/>
      <c r="Y1071" s="266"/>
    </row>
    <row r="1072">
      <c r="A1072" s="262"/>
      <c r="B1072" s="266"/>
      <c r="C1072" s="346"/>
      <c r="D1072" s="266"/>
      <c r="E1072" s="266"/>
      <c r="F1072" s="266"/>
      <c r="G1072" s="266"/>
      <c r="H1072" s="266"/>
      <c r="I1072" s="266"/>
      <c r="J1072" s="266"/>
      <c r="K1072" s="266"/>
      <c r="L1072" s="266"/>
      <c r="M1072" s="266"/>
      <c r="N1072" s="266"/>
      <c r="O1072" s="266"/>
      <c r="P1072" s="266"/>
      <c r="Q1072" s="266"/>
      <c r="R1072" s="266"/>
      <c r="S1072" s="266"/>
      <c r="T1072" s="266"/>
      <c r="U1072" s="266"/>
      <c r="V1072" s="266"/>
      <c r="W1072" s="266"/>
      <c r="X1072" s="266"/>
      <c r="Y1072" s="266"/>
    </row>
    <row r="1073">
      <c r="A1073" s="262"/>
      <c r="B1073" s="266"/>
      <c r="C1073" s="346"/>
      <c r="D1073" s="266"/>
      <c r="E1073" s="266"/>
      <c r="F1073" s="266"/>
      <c r="G1073" s="266"/>
      <c r="H1073" s="266"/>
      <c r="I1073" s="266"/>
      <c r="J1073" s="266"/>
      <c r="K1073" s="266"/>
      <c r="L1073" s="266"/>
      <c r="M1073" s="266"/>
      <c r="N1073" s="266"/>
      <c r="O1073" s="266"/>
      <c r="P1073" s="266"/>
      <c r="Q1073" s="266"/>
      <c r="R1073" s="266"/>
      <c r="S1073" s="266"/>
      <c r="T1073" s="266"/>
      <c r="U1073" s="266"/>
      <c r="V1073" s="266"/>
      <c r="W1073" s="266"/>
      <c r="X1073" s="266"/>
      <c r="Y1073" s="266"/>
    </row>
    <row r="1074">
      <c r="A1074" s="262"/>
      <c r="B1074" s="266"/>
      <c r="C1074" s="346"/>
      <c r="D1074" s="266"/>
      <c r="E1074" s="266"/>
      <c r="F1074" s="266"/>
      <c r="G1074" s="266"/>
      <c r="H1074" s="266"/>
      <c r="I1074" s="266"/>
      <c r="J1074" s="266"/>
      <c r="K1074" s="266"/>
      <c r="L1074" s="266"/>
      <c r="M1074" s="266"/>
      <c r="N1074" s="266"/>
      <c r="O1074" s="266"/>
      <c r="P1074" s="266"/>
      <c r="Q1074" s="266"/>
      <c r="R1074" s="266"/>
      <c r="S1074" s="266"/>
      <c r="T1074" s="266"/>
      <c r="U1074" s="266"/>
      <c r="V1074" s="266"/>
      <c r="W1074" s="266"/>
      <c r="X1074" s="266"/>
      <c r="Y1074" s="266"/>
    </row>
    <row r="1075">
      <c r="A1075" s="262"/>
      <c r="B1075" s="266"/>
      <c r="C1075" s="346"/>
      <c r="D1075" s="266"/>
      <c r="E1075" s="266"/>
      <c r="F1075" s="266"/>
      <c r="G1075" s="266"/>
      <c r="H1075" s="266"/>
      <c r="I1075" s="266"/>
      <c r="J1075" s="266"/>
      <c r="K1075" s="266"/>
      <c r="L1075" s="266"/>
      <c r="M1075" s="266"/>
      <c r="N1075" s="266"/>
      <c r="O1075" s="266"/>
      <c r="P1075" s="266"/>
      <c r="Q1075" s="266"/>
      <c r="R1075" s="266"/>
      <c r="S1075" s="266"/>
      <c r="T1075" s="266"/>
      <c r="U1075" s="266"/>
      <c r="V1075" s="266"/>
      <c r="W1075" s="266"/>
      <c r="X1075" s="266"/>
      <c r="Y1075" s="266"/>
    </row>
    <row r="1076">
      <c r="A1076" s="262"/>
      <c r="B1076" s="266"/>
      <c r="C1076" s="346"/>
      <c r="D1076" s="266"/>
      <c r="E1076" s="266"/>
      <c r="F1076" s="266"/>
      <c r="G1076" s="266"/>
      <c r="H1076" s="266"/>
      <c r="I1076" s="266"/>
      <c r="J1076" s="266"/>
      <c r="K1076" s="266"/>
      <c r="L1076" s="266"/>
      <c r="M1076" s="266"/>
      <c r="N1076" s="266"/>
      <c r="O1076" s="266"/>
      <c r="P1076" s="266"/>
      <c r="Q1076" s="266"/>
      <c r="R1076" s="266"/>
      <c r="S1076" s="266"/>
      <c r="T1076" s="266"/>
      <c r="U1076" s="266"/>
      <c r="V1076" s="266"/>
      <c r="W1076" s="266"/>
      <c r="X1076" s="266"/>
      <c r="Y1076" s="266"/>
    </row>
    <row r="1077">
      <c r="A1077" s="262"/>
      <c r="B1077" s="266"/>
      <c r="C1077" s="346"/>
      <c r="D1077" s="266"/>
      <c r="E1077" s="266"/>
      <c r="F1077" s="266"/>
      <c r="G1077" s="266"/>
      <c r="H1077" s="266"/>
      <c r="I1077" s="266"/>
      <c r="J1077" s="266"/>
      <c r="K1077" s="266"/>
      <c r="L1077" s="266"/>
      <c r="M1077" s="266"/>
      <c r="N1077" s="266"/>
      <c r="O1077" s="266"/>
      <c r="P1077" s="266"/>
      <c r="Q1077" s="266"/>
      <c r="R1077" s="266"/>
      <c r="S1077" s="266"/>
      <c r="T1077" s="266"/>
      <c r="U1077" s="266"/>
      <c r="V1077" s="266"/>
      <c r="W1077" s="266"/>
      <c r="X1077" s="266"/>
      <c r="Y1077" s="266"/>
    </row>
    <row r="1078">
      <c r="A1078" s="262"/>
      <c r="B1078" s="266"/>
      <c r="C1078" s="346"/>
      <c r="D1078" s="266"/>
      <c r="E1078" s="266"/>
      <c r="F1078" s="266"/>
      <c r="G1078" s="266"/>
      <c r="H1078" s="266"/>
      <c r="I1078" s="266"/>
      <c r="J1078" s="266"/>
      <c r="K1078" s="266"/>
      <c r="L1078" s="266"/>
      <c r="M1078" s="266"/>
      <c r="N1078" s="266"/>
      <c r="O1078" s="266"/>
      <c r="P1078" s="266"/>
      <c r="Q1078" s="266"/>
      <c r="R1078" s="266"/>
      <c r="S1078" s="266"/>
      <c r="T1078" s="266"/>
      <c r="U1078" s="266"/>
      <c r="V1078" s="266"/>
      <c r="W1078" s="266"/>
      <c r="X1078" s="266"/>
      <c r="Y1078" s="266"/>
    </row>
    <row r="1079">
      <c r="A1079" s="262"/>
      <c r="B1079" s="266"/>
      <c r="C1079" s="346"/>
      <c r="D1079" s="266"/>
      <c r="E1079" s="266"/>
      <c r="F1079" s="266"/>
      <c r="G1079" s="266"/>
      <c r="H1079" s="266"/>
      <c r="I1079" s="266"/>
      <c r="J1079" s="266"/>
      <c r="K1079" s="266"/>
      <c r="L1079" s="266"/>
      <c r="M1079" s="266"/>
      <c r="N1079" s="266"/>
      <c r="O1079" s="266"/>
      <c r="P1079" s="266"/>
      <c r="Q1079" s="266"/>
      <c r="R1079" s="266"/>
      <c r="S1079" s="266"/>
      <c r="T1079" s="266"/>
      <c r="U1079" s="266"/>
      <c r="V1079" s="266"/>
      <c r="W1079" s="266"/>
      <c r="X1079" s="266"/>
      <c r="Y1079" s="266"/>
    </row>
    <row r="1080">
      <c r="A1080" s="262"/>
      <c r="B1080" s="266"/>
      <c r="C1080" s="346"/>
      <c r="D1080" s="266"/>
      <c r="E1080" s="266"/>
      <c r="F1080" s="266"/>
      <c r="G1080" s="266"/>
      <c r="H1080" s="266"/>
      <c r="I1080" s="266"/>
      <c r="J1080" s="266"/>
      <c r="K1080" s="266"/>
      <c r="L1080" s="266"/>
      <c r="M1080" s="266"/>
      <c r="N1080" s="266"/>
      <c r="O1080" s="266"/>
      <c r="P1080" s="266"/>
      <c r="Q1080" s="266"/>
      <c r="R1080" s="266"/>
      <c r="S1080" s="266"/>
      <c r="T1080" s="266"/>
      <c r="U1080" s="266"/>
      <c r="V1080" s="266"/>
      <c r="W1080" s="266"/>
      <c r="X1080" s="266"/>
      <c r="Y1080" s="266"/>
    </row>
    <row r="1081">
      <c r="A1081" s="262"/>
      <c r="B1081" s="266"/>
      <c r="C1081" s="346"/>
      <c r="D1081" s="266"/>
      <c r="E1081" s="266"/>
      <c r="F1081" s="266"/>
      <c r="G1081" s="266"/>
      <c r="H1081" s="266"/>
      <c r="I1081" s="266"/>
      <c r="J1081" s="266"/>
      <c r="K1081" s="266"/>
      <c r="L1081" s="266"/>
      <c r="M1081" s="266"/>
      <c r="N1081" s="266"/>
      <c r="O1081" s="266"/>
      <c r="P1081" s="266"/>
      <c r="Q1081" s="266"/>
      <c r="R1081" s="266"/>
      <c r="S1081" s="266"/>
      <c r="T1081" s="266"/>
      <c r="U1081" s="266"/>
      <c r="V1081" s="266"/>
      <c r="W1081" s="266"/>
      <c r="X1081" s="266"/>
      <c r="Y1081" s="266"/>
    </row>
    <row r="1082">
      <c r="A1082" s="262"/>
      <c r="B1082" s="266"/>
      <c r="C1082" s="346"/>
      <c r="D1082" s="266"/>
      <c r="E1082" s="266"/>
      <c r="F1082" s="266"/>
      <c r="G1082" s="266"/>
      <c r="H1082" s="266"/>
      <c r="I1082" s="266"/>
      <c r="J1082" s="266"/>
      <c r="K1082" s="266"/>
      <c r="L1082" s="266"/>
      <c r="M1082" s="266"/>
      <c r="N1082" s="266"/>
      <c r="O1082" s="266"/>
      <c r="P1082" s="266"/>
      <c r="Q1082" s="266"/>
      <c r="R1082" s="266"/>
      <c r="S1082" s="266"/>
      <c r="T1082" s="266"/>
      <c r="U1082" s="266"/>
      <c r="V1082" s="266"/>
      <c r="W1082" s="266"/>
      <c r="X1082" s="266"/>
      <c r="Y1082" s="266"/>
    </row>
    <row r="1083">
      <c r="A1083" s="262"/>
      <c r="B1083" s="266"/>
      <c r="C1083" s="346"/>
      <c r="D1083" s="266"/>
      <c r="E1083" s="266"/>
      <c r="F1083" s="266"/>
      <c r="G1083" s="266"/>
      <c r="H1083" s="266"/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6"/>
      <c r="S1083" s="266"/>
      <c r="T1083" s="266"/>
      <c r="U1083" s="266"/>
      <c r="V1083" s="266"/>
      <c r="W1083" s="266"/>
      <c r="X1083" s="266"/>
      <c r="Y1083" s="266"/>
    </row>
    <row r="1084">
      <c r="A1084" s="262"/>
      <c r="B1084" s="266"/>
      <c r="C1084" s="346"/>
      <c r="D1084" s="266"/>
      <c r="E1084" s="266"/>
      <c r="F1084" s="266"/>
      <c r="G1084" s="266"/>
      <c r="H1084" s="266"/>
      <c r="I1084" s="266"/>
      <c r="J1084" s="266"/>
      <c r="K1084" s="266"/>
      <c r="L1084" s="266"/>
      <c r="M1084" s="266"/>
      <c r="N1084" s="266"/>
      <c r="O1084" s="266"/>
      <c r="P1084" s="266"/>
      <c r="Q1084" s="266"/>
      <c r="R1084" s="266"/>
      <c r="S1084" s="266"/>
      <c r="T1084" s="266"/>
      <c r="U1084" s="266"/>
      <c r="V1084" s="266"/>
      <c r="W1084" s="266"/>
      <c r="X1084" s="266"/>
      <c r="Y1084" s="266"/>
    </row>
    <row r="1085">
      <c r="A1085" s="262"/>
      <c r="B1085" s="266"/>
      <c r="C1085" s="346"/>
      <c r="D1085" s="266"/>
      <c r="E1085" s="266"/>
      <c r="F1085" s="266"/>
      <c r="G1085" s="266"/>
      <c r="H1085" s="266"/>
      <c r="I1085" s="266"/>
      <c r="J1085" s="266"/>
      <c r="K1085" s="266"/>
      <c r="L1085" s="266"/>
      <c r="M1085" s="266"/>
      <c r="N1085" s="266"/>
      <c r="O1085" s="266"/>
      <c r="P1085" s="266"/>
      <c r="Q1085" s="266"/>
      <c r="R1085" s="266"/>
      <c r="S1085" s="266"/>
      <c r="T1085" s="266"/>
      <c r="U1085" s="266"/>
      <c r="V1085" s="266"/>
      <c r="W1085" s="266"/>
      <c r="X1085" s="266"/>
      <c r="Y1085" s="266"/>
    </row>
    <row r="1086">
      <c r="A1086" s="262"/>
      <c r="B1086" s="266"/>
      <c r="C1086" s="346"/>
      <c r="D1086" s="266"/>
      <c r="E1086" s="266"/>
      <c r="F1086" s="266"/>
      <c r="G1086" s="266"/>
      <c r="H1086" s="266"/>
      <c r="I1086" s="266"/>
      <c r="J1086" s="266"/>
      <c r="K1086" s="266"/>
      <c r="L1086" s="266"/>
      <c r="M1086" s="266"/>
      <c r="N1086" s="266"/>
      <c r="O1086" s="266"/>
      <c r="P1086" s="266"/>
      <c r="Q1086" s="266"/>
      <c r="R1086" s="266"/>
      <c r="S1086" s="266"/>
      <c r="T1086" s="266"/>
      <c r="U1086" s="266"/>
      <c r="V1086" s="266"/>
      <c r="W1086" s="266"/>
      <c r="X1086" s="266"/>
      <c r="Y1086" s="266"/>
    </row>
    <row r="1087">
      <c r="A1087" s="262"/>
      <c r="B1087" s="266"/>
      <c r="C1087" s="346"/>
      <c r="D1087" s="266"/>
      <c r="E1087" s="266"/>
      <c r="F1087" s="266"/>
      <c r="G1087" s="266"/>
      <c r="H1087" s="266"/>
      <c r="I1087" s="266"/>
      <c r="J1087" s="266"/>
      <c r="K1087" s="266"/>
      <c r="L1087" s="266"/>
      <c r="M1087" s="266"/>
      <c r="N1087" s="266"/>
      <c r="O1087" s="266"/>
      <c r="P1087" s="266"/>
      <c r="Q1087" s="266"/>
      <c r="R1087" s="266"/>
      <c r="S1087" s="266"/>
      <c r="T1087" s="266"/>
      <c r="U1087" s="266"/>
      <c r="V1087" s="266"/>
      <c r="W1087" s="266"/>
      <c r="X1087" s="266"/>
      <c r="Y1087" s="266"/>
    </row>
    <row r="1088">
      <c r="A1088" s="262"/>
      <c r="B1088" s="266"/>
      <c r="C1088" s="346"/>
      <c r="D1088" s="266"/>
      <c r="E1088" s="266"/>
      <c r="F1088" s="266"/>
      <c r="G1088" s="266"/>
      <c r="H1088" s="266"/>
      <c r="I1088" s="266"/>
      <c r="J1088" s="266"/>
      <c r="K1088" s="266"/>
      <c r="L1088" s="266"/>
      <c r="M1088" s="266"/>
      <c r="N1088" s="266"/>
      <c r="O1088" s="266"/>
      <c r="P1088" s="266"/>
      <c r="Q1088" s="266"/>
      <c r="R1088" s="266"/>
      <c r="S1088" s="266"/>
      <c r="T1088" s="266"/>
      <c r="U1088" s="266"/>
      <c r="V1088" s="266"/>
      <c r="W1088" s="266"/>
      <c r="X1088" s="266"/>
      <c r="Y1088" s="266"/>
    </row>
    <row r="1089">
      <c r="A1089" s="262"/>
      <c r="B1089" s="266"/>
      <c r="C1089" s="346"/>
      <c r="D1089" s="266"/>
      <c r="E1089" s="266"/>
      <c r="F1089" s="266"/>
      <c r="G1089" s="266"/>
      <c r="H1089" s="266"/>
      <c r="I1089" s="266"/>
      <c r="J1089" s="266"/>
      <c r="K1089" s="266"/>
      <c r="L1089" s="266"/>
      <c r="M1089" s="266"/>
      <c r="N1089" s="266"/>
      <c r="O1089" s="266"/>
      <c r="P1089" s="266"/>
      <c r="Q1089" s="266"/>
      <c r="R1089" s="266"/>
      <c r="S1089" s="266"/>
      <c r="T1089" s="266"/>
      <c r="U1089" s="266"/>
      <c r="V1089" s="266"/>
      <c r="W1089" s="266"/>
      <c r="X1089" s="266"/>
      <c r="Y1089" s="266"/>
    </row>
    <row r="1090">
      <c r="A1090" s="262"/>
      <c r="B1090" s="266"/>
      <c r="C1090" s="346"/>
      <c r="D1090" s="266"/>
      <c r="E1090" s="266"/>
      <c r="F1090" s="266"/>
      <c r="G1090" s="266"/>
      <c r="H1090" s="266"/>
      <c r="I1090" s="266"/>
      <c r="J1090" s="266"/>
      <c r="K1090" s="266"/>
      <c r="L1090" s="266"/>
      <c r="M1090" s="266"/>
      <c r="N1090" s="266"/>
      <c r="O1090" s="266"/>
      <c r="P1090" s="266"/>
      <c r="Q1090" s="266"/>
      <c r="R1090" s="266"/>
      <c r="S1090" s="266"/>
      <c r="T1090" s="266"/>
      <c r="U1090" s="266"/>
      <c r="V1090" s="266"/>
      <c r="W1090" s="266"/>
      <c r="X1090" s="266"/>
      <c r="Y1090" s="266"/>
    </row>
    <row r="1091">
      <c r="A1091" s="262"/>
      <c r="B1091" s="266"/>
      <c r="C1091" s="346"/>
      <c r="D1091" s="266"/>
      <c r="E1091" s="266"/>
      <c r="F1091" s="266"/>
      <c r="G1091" s="266"/>
      <c r="H1091" s="266"/>
      <c r="I1091" s="266"/>
      <c r="J1091" s="266"/>
      <c r="K1091" s="266"/>
      <c r="L1091" s="266"/>
      <c r="M1091" s="266"/>
      <c r="N1091" s="266"/>
      <c r="O1091" s="266"/>
      <c r="P1091" s="266"/>
      <c r="Q1091" s="266"/>
      <c r="R1091" s="266"/>
      <c r="S1091" s="266"/>
      <c r="T1091" s="266"/>
      <c r="U1091" s="266"/>
      <c r="V1091" s="266"/>
      <c r="W1091" s="266"/>
      <c r="X1091" s="266"/>
      <c r="Y1091" s="266"/>
    </row>
    <row r="1092">
      <c r="A1092" s="262"/>
      <c r="B1092" s="266"/>
      <c r="C1092" s="346"/>
      <c r="D1092" s="266"/>
      <c r="E1092" s="266"/>
      <c r="F1092" s="266"/>
      <c r="G1092" s="266"/>
      <c r="H1092" s="266"/>
      <c r="I1092" s="266"/>
      <c r="J1092" s="266"/>
      <c r="K1092" s="266"/>
      <c r="L1092" s="266"/>
      <c r="M1092" s="266"/>
      <c r="N1092" s="266"/>
      <c r="O1092" s="266"/>
      <c r="P1092" s="266"/>
      <c r="Q1092" s="266"/>
      <c r="R1092" s="266"/>
      <c r="S1092" s="266"/>
      <c r="T1092" s="266"/>
      <c r="U1092" s="266"/>
      <c r="V1092" s="266"/>
      <c r="W1092" s="266"/>
      <c r="X1092" s="266"/>
      <c r="Y1092" s="266"/>
    </row>
    <row r="1093">
      <c r="A1093" s="262"/>
      <c r="B1093" s="266"/>
      <c r="C1093" s="346"/>
      <c r="D1093" s="266"/>
      <c r="E1093" s="266"/>
      <c r="F1093" s="266"/>
      <c r="G1093" s="266"/>
      <c r="H1093" s="266"/>
      <c r="I1093" s="266"/>
      <c r="J1093" s="266"/>
      <c r="K1093" s="266"/>
      <c r="L1093" s="266"/>
      <c r="M1093" s="266"/>
      <c r="N1093" s="266"/>
      <c r="O1093" s="266"/>
      <c r="P1093" s="266"/>
      <c r="Q1093" s="266"/>
      <c r="R1093" s="266"/>
      <c r="S1093" s="266"/>
      <c r="T1093" s="266"/>
      <c r="U1093" s="266"/>
      <c r="V1093" s="266"/>
      <c r="W1093" s="266"/>
      <c r="X1093" s="266"/>
      <c r="Y1093" s="266"/>
    </row>
    <row r="1094">
      <c r="A1094" s="262"/>
      <c r="B1094" s="266"/>
      <c r="C1094" s="346"/>
      <c r="D1094" s="266"/>
      <c r="E1094" s="266"/>
      <c r="F1094" s="266"/>
      <c r="G1094" s="266"/>
      <c r="H1094" s="266"/>
      <c r="I1094" s="266"/>
      <c r="J1094" s="266"/>
      <c r="K1094" s="266"/>
      <c r="L1094" s="266"/>
      <c r="M1094" s="266"/>
      <c r="N1094" s="266"/>
      <c r="O1094" s="266"/>
      <c r="P1094" s="266"/>
      <c r="Q1094" s="266"/>
      <c r="R1094" s="266"/>
      <c r="S1094" s="266"/>
      <c r="T1094" s="266"/>
      <c r="U1094" s="266"/>
      <c r="V1094" s="266"/>
      <c r="W1094" s="266"/>
      <c r="X1094" s="266"/>
      <c r="Y1094" s="266"/>
    </row>
    <row r="1095">
      <c r="A1095" s="262"/>
      <c r="B1095" s="266"/>
      <c r="C1095" s="346"/>
      <c r="D1095" s="266"/>
      <c r="E1095" s="266"/>
      <c r="F1095" s="266"/>
      <c r="G1095" s="266"/>
      <c r="H1095" s="266"/>
      <c r="I1095" s="266"/>
      <c r="J1095" s="266"/>
      <c r="K1095" s="266"/>
      <c r="L1095" s="266"/>
      <c r="M1095" s="266"/>
      <c r="N1095" s="266"/>
      <c r="O1095" s="266"/>
      <c r="P1095" s="266"/>
      <c r="Q1095" s="266"/>
      <c r="R1095" s="266"/>
      <c r="S1095" s="266"/>
      <c r="T1095" s="266"/>
      <c r="U1095" s="266"/>
      <c r="V1095" s="266"/>
      <c r="W1095" s="266"/>
      <c r="X1095" s="266"/>
      <c r="Y1095" s="266"/>
    </row>
    <row r="1096">
      <c r="A1096" s="262"/>
      <c r="B1096" s="266"/>
      <c r="C1096" s="346"/>
      <c r="D1096" s="266"/>
      <c r="E1096" s="266"/>
      <c r="F1096" s="266"/>
      <c r="G1096" s="266"/>
      <c r="H1096" s="266"/>
      <c r="I1096" s="266"/>
      <c r="J1096" s="266"/>
      <c r="K1096" s="266"/>
      <c r="L1096" s="266"/>
      <c r="M1096" s="266"/>
      <c r="N1096" s="266"/>
      <c r="O1096" s="266"/>
      <c r="P1096" s="266"/>
      <c r="Q1096" s="266"/>
      <c r="R1096" s="266"/>
      <c r="S1096" s="266"/>
      <c r="T1096" s="266"/>
      <c r="U1096" s="266"/>
      <c r="V1096" s="266"/>
      <c r="W1096" s="266"/>
      <c r="X1096" s="266"/>
      <c r="Y1096" s="266"/>
    </row>
    <row r="1097">
      <c r="A1097" s="262"/>
      <c r="B1097" s="266"/>
      <c r="C1097" s="346"/>
      <c r="D1097" s="266"/>
      <c r="E1097" s="266"/>
      <c r="F1097" s="266"/>
      <c r="G1097" s="266"/>
      <c r="H1097" s="266"/>
      <c r="I1097" s="266"/>
      <c r="J1097" s="266"/>
      <c r="K1097" s="266"/>
      <c r="L1097" s="266"/>
      <c r="M1097" s="266"/>
      <c r="N1097" s="266"/>
      <c r="O1097" s="266"/>
      <c r="P1097" s="266"/>
      <c r="Q1097" s="266"/>
      <c r="R1097" s="266"/>
      <c r="S1097" s="266"/>
      <c r="T1097" s="266"/>
      <c r="U1097" s="266"/>
      <c r="V1097" s="266"/>
      <c r="W1097" s="266"/>
      <c r="X1097" s="266"/>
      <c r="Y1097" s="266"/>
    </row>
    <row r="1098">
      <c r="A1098" s="262"/>
      <c r="B1098" s="266"/>
      <c r="C1098" s="346"/>
      <c r="D1098" s="266"/>
      <c r="E1098" s="266"/>
      <c r="F1098" s="266"/>
      <c r="G1098" s="266"/>
      <c r="H1098" s="266"/>
      <c r="I1098" s="266"/>
      <c r="J1098" s="266"/>
      <c r="K1098" s="266"/>
      <c r="L1098" s="266"/>
      <c r="M1098" s="266"/>
      <c r="N1098" s="266"/>
      <c r="O1098" s="266"/>
      <c r="P1098" s="266"/>
      <c r="Q1098" s="266"/>
      <c r="R1098" s="266"/>
      <c r="S1098" s="266"/>
      <c r="T1098" s="266"/>
      <c r="U1098" s="266"/>
      <c r="V1098" s="266"/>
      <c r="W1098" s="266"/>
      <c r="X1098" s="266"/>
      <c r="Y1098" s="266"/>
    </row>
    <row r="1099">
      <c r="A1099" s="262"/>
      <c r="B1099" s="266"/>
      <c r="C1099" s="346"/>
      <c r="D1099" s="266"/>
      <c r="E1099" s="266"/>
      <c r="F1099" s="266"/>
      <c r="G1099" s="266"/>
      <c r="H1099" s="266"/>
      <c r="I1099" s="266"/>
      <c r="J1099" s="266"/>
      <c r="K1099" s="266"/>
      <c r="L1099" s="266"/>
      <c r="M1099" s="266"/>
      <c r="N1099" s="266"/>
      <c r="O1099" s="266"/>
      <c r="P1099" s="266"/>
      <c r="Q1099" s="266"/>
      <c r="R1099" s="266"/>
      <c r="S1099" s="266"/>
      <c r="T1099" s="266"/>
      <c r="U1099" s="266"/>
      <c r="V1099" s="266"/>
      <c r="W1099" s="266"/>
      <c r="X1099" s="266"/>
      <c r="Y1099" s="266"/>
    </row>
    <row r="1100">
      <c r="A1100" s="262"/>
      <c r="B1100" s="266"/>
      <c r="C1100" s="346"/>
      <c r="D1100" s="266"/>
      <c r="E1100" s="266"/>
      <c r="F1100" s="266"/>
      <c r="G1100" s="266"/>
      <c r="H1100" s="266"/>
      <c r="I1100" s="266"/>
      <c r="J1100" s="266"/>
      <c r="K1100" s="266"/>
      <c r="L1100" s="266"/>
      <c r="M1100" s="266"/>
      <c r="N1100" s="266"/>
      <c r="O1100" s="266"/>
      <c r="P1100" s="266"/>
      <c r="Q1100" s="266"/>
      <c r="R1100" s="266"/>
      <c r="S1100" s="266"/>
      <c r="T1100" s="266"/>
      <c r="U1100" s="266"/>
      <c r="V1100" s="266"/>
      <c r="W1100" s="266"/>
      <c r="X1100" s="266"/>
      <c r="Y1100" s="266"/>
    </row>
    <row r="1101">
      <c r="A1101" s="262"/>
      <c r="B1101" s="266"/>
      <c r="C1101" s="346"/>
      <c r="D1101" s="266"/>
      <c r="E1101" s="266"/>
      <c r="F1101" s="266"/>
      <c r="G1101" s="266"/>
      <c r="H1101" s="266"/>
      <c r="I1101" s="266"/>
      <c r="J1101" s="266"/>
      <c r="K1101" s="266"/>
      <c r="L1101" s="266"/>
      <c r="M1101" s="266"/>
      <c r="N1101" s="266"/>
      <c r="O1101" s="266"/>
      <c r="P1101" s="266"/>
      <c r="Q1101" s="266"/>
      <c r="R1101" s="266"/>
      <c r="S1101" s="266"/>
      <c r="T1101" s="266"/>
      <c r="U1101" s="266"/>
      <c r="V1101" s="266"/>
      <c r="W1101" s="266"/>
      <c r="X1101" s="266"/>
      <c r="Y1101" s="266"/>
    </row>
    <row r="1102">
      <c r="A1102" s="262"/>
      <c r="B1102" s="266"/>
      <c r="C1102" s="346"/>
      <c r="D1102" s="266"/>
      <c r="E1102" s="266"/>
      <c r="F1102" s="266"/>
      <c r="G1102" s="266"/>
      <c r="H1102" s="266"/>
      <c r="I1102" s="266"/>
      <c r="J1102" s="266"/>
      <c r="K1102" s="266"/>
      <c r="L1102" s="266"/>
      <c r="M1102" s="266"/>
      <c r="N1102" s="266"/>
      <c r="O1102" s="266"/>
      <c r="P1102" s="266"/>
      <c r="Q1102" s="266"/>
      <c r="R1102" s="266"/>
      <c r="S1102" s="266"/>
      <c r="T1102" s="266"/>
      <c r="U1102" s="266"/>
      <c r="V1102" s="266"/>
      <c r="W1102" s="266"/>
      <c r="X1102" s="266"/>
      <c r="Y1102" s="266"/>
    </row>
    <row r="1103">
      <c r="A1103" s="262"/>
      <c r="B1103" s="266"/>
      <c r="C1103" s="346"/>
      <c r="D1103" s="266"/>
      <c r="E1103" s="266"/>
      <c r="F1103" s="266"/>
      <c r="G1103" s="266"/>
      <c r="H1103" s="266"/>
      <c r="I1103" s="266"/>
      <c r="J1103" s="266"/>
      <c r="K1103" s="266"/>
      <c r="L1103" s="266"/>
      <c r="M1103" s="266"/>
      <c r="N1103" s="266"/>
      <c r="O1103" s="266"/>
      <c r="P1103" s="266"/>
      <c r="Q1103" s="266"/>
      <c r="R1103" s="266"/>
      <c r="S1103" s="266"/>
      <c r="T1103" s="266"/>
      <c r="U1103" s="266"/>
      <c r="V1103" s="266"/>
      <c r="W1103" s="266"/>
      <c r="X1103" s="266"/>
      <c r="Y1103" s="266"/>
    </row>
    <row r="1104">
      <c r="A1104" s="262"/>
      <c r="B1104" s="266"/>
      <c r="C1104" s="346"/>
      <c r="D1104" s="266"/>
      <c r="E1104" s="266"/>
      <c r="F1104" s="266"/>
      <c r="G1104" s="266"/>
      <c r="H1104" s="266"/>
      <c r="I1104" s="266"/>
      <c r="J1104" s="266"/>
      <c r="K1104" s="266"/>
      <c r="L1104" s="266"/>
      <c r="M1104" s="266"/>
      <c r="N1104" s="266"/>
      <c r="O1104" s="266"/>
      <c r="P1104" s="266"/>
      <c r="Q1104" s="266"/>
      <c r="R1104" s="266"/>
      <c r="S1104" s="266"/>
      <c r="T1104" s="266"/>
      <c r="U1104" s="266"/>
      <c r="V1104" s="266"/>
      <c r="W1104" s="266"/>
      <c r="X1104" s="266"/>
      <c r="Y1104" s="266"/>
    </row>
    <row r="1105">
      <c r="A1105" s="262"/>
      <c r="B1105" s="266"/>
      <c r="C1105" s="346"/>
      <c r="D1105" s="266"/>
      <c r="E1105" s="266"/>
      <c r="F1105" s="266"/>
      <c r="G1105" s="266"/>
      <c r="H1105" s="266"/>
      <c r="I1105" s="266"/>
      <c r="J1105" s="266"/>
      <c r="K1105" s="266"/>
      <c r="L1105" s="266"/>
      <c r="M1105" s="266"/>
      <c r="N1105" s="266"/>
      <c r="O1105" s="266"/>
      <c r="P1105" s="266"/>
      <c r="Q1105" s="266"/>
      <c r="R1105" s="266"/>
      <c r="S1105" s="266"/>
      <c r="T1105" s="266"/>
      <c r="U1105" s="266"/>
      <c r="V1105" s="266"/>
      <c r="W1105" s="266"/>
      <c r="X1105" s="266"/>
      <c r="Y1105" s="266"/>
    </row>
    <row r="1106">
      <c r="A1106" s="262"/>
      <c r="B1106" s="266"/>
      <c r="C1106" s="346"/>
      <c r="D1106" s="266"/>
      <c r="E1106" s="266"/>
      <c r="F1106" s="266"/>
      <c r="G1106" s="266"/>
      <c r="H1106" s="266"/>
      <c r="I1106" s="266"/>
      <c r="J1106" s="266"/>
      <c r="K1106" s="266"/>
      <c r="L1106" s="266"/>
      <c r="M1106" s="266"/>
      <c r="N1106" s="266"/>
      <c r="O1106" s="266"/>
      <c r="P1106" s="266"/>
      <c r="Q1106" s="266"/>
      <c r="R1106" s="266"/>
      <c r="S1106" s="266"/>
      <c r="T1106" s="266"/>
      <c r="U1106" s="266"/>
      <c r="V1106" s="266"/>
      <c r="W1106" s="266"/>
      <c r="X1106" s="266"/>
      <c r="Y1106" s="266"/>
    </row>
    <row r="1107">
      <c r="A1107" s="262"/>
      <c r="B1107" s="266"/>
      <c r="C1107" s="346"/>
      <c r="D1107" s="266"/>
      <c r="E1107" s="266"/>
      <c r="F1107" s="266"/>
      <c r="G1107" s="266"/>
      <c r="H1107" s="266"/>
      <c r="I1107" s="266"/>
      <c r="J1107" s="266"/>
      <c r="K1107" s="266"/>
      <c r="L1107" s="266"/>
      <c r="M1107" s="266"/>
      <c r="N1107" s="266"/>
      <c r="O1107" s="266"/>
      <c r="P1107" s="266"/>
      <c r="Q1107" s="266"/>
      <c r="R1107" s="266"/>
      <c r="S1107" s="266"/>
      <c r="T1107" s="266"/>
      <c r="U1107" s="266"/>
      <c r="V1107" s="266"/>
      <c r="W1107" s="266"/>
      <c r="X1107" s="266"/>
      <c r="Y1107" s="266"/>
    </row>
    <row r="1108">
      <c r="A1108" s="262"/>
      <c r="B1108" s="266"/>
      <c r="C1108" s="346"/>
      <c r="D1108" s="266"/>
      <c r="E1108" s="266"/>
      <c r="F1108" s="266"/>
      <c r="G1108" s="266"/>
      <c r="H1108" s="266"/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6"/>
      <c r="S1108" s="266"/>
      <c r="T1108" s="266"/>
      <c r="U1108" s="266"/>
      <c r="V1108" s="266"/>
      <c r="W1108" s="266"/>
      <c r="X1108" s="266"/>
      <c r="Y1108" s="266"/>
    </row>
    <row r="1109">
      <c r="A1109" s="262"/>
      <c r="B1109" s="266"/>
      <c r="C1109" s="346"/>
      <c r="D1109" s="266"/>
      <c r="E1109" s="266"/>
      <c r="F1109" s="266"/>
      <c r="G1109" s="266"/>
      <c r="H1109" s="266"/>
      <c r="I1109" s="266"/>
      <c r="J1109" s="266"/>
      <c r="K1109" s="266"/>
      <c r="L1109" s="266"/>
      <c r="M1109" s="266"/>
      <c r="N1109" s="266"/>
      <c r="O1109" s="266"/>
      <c r="P1109" s="266"/>
      <c r="Q1109" s="266"/>
      <c r="R1109" s="266"/>
      <c r="S1109" s="266"/>
      <c r="T1109" s="266"/>
      <c r="U1109" s="266"/>
      <c r="V1109" s="266"/>
      <c r="W1109" s="266"/>
      <c r="X1109" s="266"/>
      <c r="Y1109" s="266"/>
    </row>
    <row r="1110">
      <c r="A1110" s="262"/>
      <c r="B1110" s="266"/>
      <c r="C1110" s="346"/>
      <c r="D1110" s="266"/>
      <c r="E1110" s="266"/>
      <c r="F1110" s="266"/>
      <c r="G1110" s="266"/>
      <c r="H1110" s="266"/>
      <c r="I1110" s="266"/>
      <c r="J1110" s="266"/>
      <c r="K1110" s="266"/>
      <c r="L1110" s="266"/>
      <c r="M1110" s="266"/>
      <c r="N1110" s="266"/>
      <c r="O1110" s="266"/>
      <c r="P1110" s="266"/>
      <c r="Q1110" s="266"/>
      <c r="R1110" s="266"/>
      <c r="S1110" s="266"/>
      <c r="T1110" s="266"/>
      <c r="U1110" s="266"/>
      <c r="V1110" s="266"/>
      <c r="W1110" s="266"/>
      <c r="X1110" s="266"/>
      <c r="Y1110" s="266"/>
    </row>
    <row r="1111">
      <c r="A1111" s="262"/>
      <c r="B1111" s="266"/>
      <c r="C1111" s="346"/>
      <c r="D1111" s="266"/>
      <c r="E1111" s="266"/>
      <c r="F1111" s="266"/>
      <c r="G1111" s="266"/>
      <c r="H1111" s="266"/>
      <c r="I1111" s="266"/>
      <c r="J1111" s="266"/>
      <c r="K1111" s="266"/>
      <c r="L1111" s="266"/>
      <c r="M1111" s="266"/>
      <c r="N1111" s="266"/>
      <c r="O1111" s="266"/>
      <c r="P1111" s="266"/>
      <c r="Q1111" s="266"/>
      <c r="R1111" s="266"/>
      <c r="S1111" s="266"/>
      <c r="T1111" s="266"/>
      <c r="U1111" s="266"/>
      <c r="V1111" s="266"/>
      <c r="W1111" s="266"/>
      <c r="X1111" s="266"/>
      <c r="Y1111" s="266"/>
    </row>
    <row r="1112">
      <c r="A1112" s="262"/>
      <c r="B1112" s="266"/>
      <c r="C1112" s="346"/>
      <c r="D1112" s="266"/>
      <c r="E1112" s="266"/>
      <c r="F1112" s="266"/>
      <c r="G1112" s="266"/>
      <c r="H1112" s="266"/>
      <c r="I1112" s="266"/>
      <c r="J1112" s="266"/>
      <c r="K1112" s="266"/>
      <c r="L1112" s="266"/>
      <c r="M1112" s="266"/>
      <c r="N1112" s="266"/>
      <c r="O1112" s="266"/>
      <c r="P1112" s="266"/>
      <c r="Q1112" s="266"/>
      <c r="R1112" s="266"/>
      <c r="S1112" s="266"/>
      <c r="T1112" s="266"/>
      <c r="U1112" s="266"/>
      <c r="V1112" s="266"/>
      <c r="W1112" s="266"/>
      <c r="X1112" s="266"/>
      <c r="Y1112" s="266"/>
    </row>
    <row r="1113">
      <c r="A1113" s="262"/>
      <c r="B1113" s="266"/>
      <c r="C1113" s="346"/>
      <c r="D1113" s="266"/>
      <c r="E1113" s="266"/>
      <c r="F1113" s="266"/>
      <c r="G1113" s="266"/>
      <c r="H1113" s="266"/>
      <c r="I1113" s="266"/>
      <c r="J1113" s="266"/>
      <c r="K1113" s="266"/>
      <c r="L1113" s="266"/>
      <c r="M1113" s="266"/>
      <c r="N1113" s="266"/>
      <c r="O1113" s="266"/>
      <c r="P1113" s="266"/>
      <c r="Q1113" s="266"/>
      <c r="R1113" s="266"/>
      <c r="S1113" s="266"/>
      <c r="T1113" s="266"/>
      <c r="U1113" s="266"/>
      <c r="V1113" s="266"/>
      <c r="W1113" s="266"/>
      <c r="X1113" s="266"/>
      <c r="Y1113" s="266"/>
    </row>
    <row r="1114">
      <c r="A1114" s="262"/>
      <c r="B1114" s="266"/>
      <c r="C1114" s="346"/>
      <c r="D1114" s="266"/>
      <c r="E1114" s="266"/>
      <c r="F1114" s="266"/>
      <c r="G1114" s="266"/>
      <c r="H1114" s="266"/>
      <c r="I1114" s="266"/>
      <c r="J1114" s="266"/>
      <c r="K1114" s="266"/>
      <c r="L1114" s="266"/>
      <c r="M1114" s="266"/>
      <c r="N1114" s="266"/>
      <c r="O1114" s="266"/>
      <c r="P1114" s="266"/>
      <c r="Q1114" s="266"/>
      <c r="R1114" s="266"/>
      <c r="S1114" s="266"/>
      <c r="T1114" s="266"/>
      <c r="U1114" s="266"/>
      <c r="V1114" s="266"/>
      <c r="W1114" s="266"/>
      <c r="X1114" s="266"/>
      <c r="Y1114" s="266"/>
    </row>
    <row r="1115">
      <c r="A1115" s="262"/>
      <c r="B1115" s="266"/>
      <c r="C1115" s="346"/>
      <c r="D1115" s="266"/>
      <c r="E1115" s="266"/>
      <c r="F1115" s="266"/>
      <c r="G1115" s="266"/>
      <c r="H1115" s="266"/>
      <c r="I1115" s="266"/>
      <c r="J1115" s="266"/>
      <c r="K1115" s="266"/>
      <c r="L1115" s="266"/>
      <c r="M1115" s="266"/>
      <c r="N1115" s="266"/>
      <c r="O1115" s="266"/>
      <c r="P1115" s="266"/>
      <c r="Q1115" s="266"/>
      <c r="R1115" s="266"/>
      <c r="S1115" s="266"/>
      <c r="T1115" s="266"/>
      <c r="U1115" s="266"/>
      <c r="V1115" s="266"/>
      <c r="W1115" s="266"/>
      <c r="X1115" s="266"/>
      <c r="Y1115" s="266"/>
    </row>
    <row r="1116">
      <c r="A1116" s="262"/>
      <c r="B1116" s="266"/>
      <c r="C1116" s="346"/>
      <c r="D1116" s="266"/>
      <c r="E1116" s="266"/>
      <c r="F1116" s="266"/>
      <c r="G1116" s="266"/>
      <c r="H1116" s="266"/>
      <c r="I1116" s="266"/>
      <c r="J1116" s="266"/>
      <c r="K1116" s="266"/>
      <c r="L1116" s="266"/>
      <c r="M1116" s="266"/>
      <c r="N1116" s="266"/>
      <c r="O1116" s="266"/>
      <c r="P1116" s="266"/>
      <c r="Q1116" s="266"/>
      <c r="R1116" s="266"/>
      <c r="S1116" s="266"/>
      <c r="T1116" s="266"/>
      <c r="U1116" s="266"/>
      <c r="V1116" s="266"/>
      <c r="W1116" s="266"/>
      <c r="X1116" s="266"/>
      <c r="Y1116" s="266"/>
    </row>
    <row r="1117">
      <c r="A1117" s="262"/>
      <c r="B1117" s="266"/>
      <c r="C1117" s="346"/>
      <c r="D1117" s="266"/>
      <c r="E1117" s="266"/>
      <c r="F1117" s="266"/>
      <c r="G1117" s="266"/>
      <c r="H1117" s="266"/>
      <c r="I1117" s="266"/>
      <c r="J1117" s="266"/>
      <c r="K1117" s="266"/>
      <c r="L1117" s="266"/>
      <c r="M1117" s="266"/>
      <c r="N1117" s="266"/>
      <c r="O1117" s="266"/>
      <c r="P1117" s="266"/>
      <c r="Q1117" s="266"/>
      <c r="R1117" s="266"/>
      <c r="S1117" s="266"/>
      <c r="T1117" s="266"/>
      <c r="U1117" s="266"/>
      <c r="V1117" s="266"/>
      <c r="W1117" s="266"/>
      <c r="X1117" s="266"/>
      <c r="Y1117" s="266"/>
    </row>
    <row r="1118">
      <c r="A1118" s="262"/>
      <c r="B1118" s="266"/>
      <c r="C1118" s="346"/>
      <c r="D1118" s="266"/>
      <c r="E1118" s="266"/>
      <c r="F1118" s="266"/>
      <c r="G1118" s="266"/>
      <c r="H1118" s="266"/>
      <c r="I1118" s="266"/>
      <c r="J1118" s="266"/>
      <c r="K1118" s="266"/>
      <c r="L1118" s="266"/>
      <c r="M1118" s="266"/>
      <c r="N1118" s="266"/>
      <c r="O1118" s="266"/>
      <c r="P1118" s="266"/>
      <c r="Q1118" s="266"/>
      <c r="R1118" s="266"/>
      <c r="S1118" s="266"/>
      <c r="T1118" s="266"/>
      <c r="U1118" s="266"/>
      <c r="V1118" s="266"/>
      <c r="W1118" s="266"/>
      <c r="X1118" s="266"/>
      <c r="Y1118" s="266"/>
    </row>
    <row r="1119">
      <c r="A1119" s="262"/>
      <c r="B1119" s="266"/>
      <c r="C1119" s="346"/>
      <c r="D1119" s="266"/>
      <c r="E1119" s="266"/>
      <c r="F1119" s="266"/>
      <c r="G1119" s="266"/>
      <c r="H1119" s="266"/>
      <c r="I1119" s="266"/>
      <c r="J1119" s="266"/>
      <c r="K1119" s="266"/>
      <c r="L1119" s="266"/>
      <c r="M1119" s="266"/>
      <c r="N1119" s="266"/>
      <c r="O1119" s="266"/>
      <c r="P1119" s="266"/>
      <c r="Q1119" s="266"/>
      <c r="R1119" s="266"/>
      <c r="S1119" s="266"/>
      <c r="T1119" s="266"/>
      <c r="U1119" s="266"/>
      <c r="V1119" s="266"/>
      <c r="W1119" s="266"/>
      <c r="X1119" s="266"/>
      <c r="Y1119" s="266"/>
    </row>
    <row r="1120">
      <c r="A1120" s="262"/>
      <c r="B1120" s="266"/>
      <c r="C1120" s="346"/>
      <c r="D1120" s="266"/>
      <c r="E1120" s="266"/>
      <c r="F1120" s="266"/>
      <c r="G1120" s="266"/>
      <c r="H1120" s="266"/>
      <c r="I1120" s="266"/>
      <c r="J1120" s="266"/>
      <c r="K1120" s="266"/>
      <c r="L1120" s="266"/>
      <c r="M1120" s="266"/>
      <c r="N1120" s="266"/>
      <c r="O1120" s="266"/>
      <c r="P1120" s="266"/>
      <c r="Q1120" s="266"/>
      <c r="R1120" s="266"/>
      <c r="S1120" s="266"/>
      <c r="T1120" s="266"/>
      <c r="U1120" s="266"/>
      <c r="V1120" s="266"/>
      <c r="W1120" s="266"/>
      <c r="X1120" s="266"/>
      <c r="Y1120" s="266"/>
    </row>
    <row r="1121">
      <c r="A1121" s="262"/>
      <c r="B1121" s="266"/>
      <c r="C1121" s="346"/>
      <c r="D1121" s="266"/>
      <c r="E1121" s="266"/>
      <c r="F1121" s="266"/>
      <c r="G1121" s="266"/>
      <c r="H1121" s="266"/>
      <c r="I1121" s="266"/>
      <c r="J1121" s="266"/>
      <c r="K1121" s="266"/>
      <c r="L1121" s="266"/>
      <c r="M1121" s="266"/>
      <c r="N1121" s="266"/>
      <c r="O1121" s="266"/>
      <c r="P1121" s="266"/>
      <c r="Q1121" s="266"/>
      <c r="R1121" s="266"/>
      <c r="S1121" s="266"/>
      <c r="T1121" s="266"/>
      <c r="U1121" s="266"/>
      <c r="V1121" s="266"/>
      <c r="W1121" s="266"/>
      <c r="X1121" s="266"/>
      <c r="Y1121" s="266"/>
    </row>
    <row r="1122">
      <c r="A1122" s="262"/>
      <c r="B1122" s="266"/>
      <c r="C1122" s="346"/>
      <c r="D1122" s="266"/>
      <c r="E1122" s="266"/>
      <c r="F1122" s="266"/>
      <c r="G1122" s="266"/>
      <c r="H1122" s="266"/>
      <c r="I1122" s="266"/>
      <c r="J1122" s="266"/>
      <c r="K1122" s="266"/>
      <c r="L1122" s="266"/>
      <c r="M1122" s="266"/>
      <c r="N1122" s="266"/>
      <c r="O1122" s="266"/>
      <c r="P1122" s="266"/>
      <c r="Q1122" s="266"/>
      <c r="R1122" s="266"/>
      <c r="S1122" s="266"/>
      <c r="T1122" s="266"/>
      <c r="U1122" s="266"/>
      <c r="V1122" s="266"/>
      <c r="W1122" s="266"/>
      <c r="X1122" s="266"/>
      <c r="Y1122" s="266"/>
    </row>
    <row r="1123">
      <c r="A1123" s="262"/>
      <c r="B1123" s="266"/>
      <c r="C1123" s="346"/>
      <c r="D1123" s="266"/>
      <c r="E1123" s="266"/>
      <c r="F1123" s="266"/>
      <c r="G1123" s="266"/>
      <c r="H1123" s="266"/>
      <c r="I1123" s="266"/>
      <c r="J1123" s="266"/>
      <c r="K1123" s="266"/>
      <c r="L1123" s="266"/>
      <c r="M1123" s="266"/>
      <c r="N1123" s="266"/>
      <c r="O1123" s="266"/>
      <c r="P1123" s="266"/>
      <c r="Q1123" s="266"/>
      <c r="R1123" s="266"/>
      <c r="S1123" s="266"/>
      <c r="T1123" s="266"/>
      <c r="U1123" s="266"/>
      <c r="V1123" s="266"/>
      <c r="W1123" s="266"/>
      <c r="X1123" s="266"/>
      <c r="Y1123" s="266"/>
    </row>
    <row r="1124">
      <c r="A1124" s="262"/>
      <c r="B1124" s="266"/>
      <c r="C1124" s="346"/>
      <c r="D1124" s="266"/>
      <c r="E1124" s="266"/>
      <c r="F1124" s="266"/>
      <c r="G1124" s="266"/>
      <c r="H1124" s="266"/>
      <c r="I1124" s="266"/>
      <c r="J1124" s="266"/>
      <c r="K1124" s="266"/>
      <c r="L1124" s="266"/>
      <c r="M1124" s="266"/>
      <c r="N1124" s="266"/>
      <c r="O1124" s="266"/>
      <c r="P1124" s="266"/>
      <c r="Q1124" s="266"/>
      <c r="R1124" s="266"/>
      <c r="S1124" s="266"/>
      <c r="T1124" s="266"/>
      <c r="U1124" s="266"/>
      <c r="V1124" s="266"/>
      <c r="W1124" s="266"/>
      <c r="X1124" s="266"/>
      <c r="Y1124" s="266"/>
    </row>
    <row r="1125">
      <c r="A1125" s="262"/>
      <c r="B1125" s="266"/>
      <c r="C1125" s="346"/>
      <c r="D1125" s="266"/>
      <c r="E1125" s="266"/>
      <c r="F1125" s="266"/>
      <c r="G1125" s="266"/>
      <c r="H1125" s="266"/>
      <c r="I1125" s="266"/>
      <c r="J1125" s="266"/>
      <c r="K1125" s="266"/>
      <c r="L1125" s="266"/>
      <c r="M1125" s="266"/>
      <c r="N1125" s="266"/>
      <c r="O1125" s="266"/>
      <c r="P1125" s="266"/>
      <c r="Q1125" s="266"/>
      <c r="R1125" s="266"/>
      <c r="S1125" s="266"/>
      <c r="T1125" s="266"/>
      <c r="U1125" s="266"/>
      <c r="V1125" s="266"/>
      <c r="W1125" s="266"/>
      <c r="X1125" s="266"/>
      <c r="Y1125" s="266"/>
    </row>
    <row r="1126">
      <c r="A1126" s="262"/>
      <c r="B1126" s="266"/>
      <c r="C1126" s="346"/>
      <c r="D1126" s="266"/>
      <c r="E1126" s="266"/>
      <c r="F1126" s="266"/>
      <c r="G1126" s="266"/>
      <c r="H1126" s="266"/>
      <c r="I1126" s="266"/>
      <c r="J1126" s="266"/>
      <c r="K1126" s="266"/>
      <c r="L1126" s="266"/>
      <c r="M1126" s="266"/>
      <c r="N1126" s="266"/>
      <c r="O1126" s="266"/>
      <c r="P1126" s="266"/>
      <c r="Q1126" s="266"/>
      <c r="R1126" s="266"/>
      <c r="S1126" s="266"/>
      <c r="T1126" s="266"/>
      <c r="U1126" s="266"/>
      <c r="V1126" s="266"/>
      <c r="W1126" s="266"/>
      <c r="X1126" s="266"/>
      <c r="Y1126" s="266"/>
    </row>
    <row r="1127">
      <c r="A1127" s="262"/>
      <c r="B1127" s="266"/>
      <c r="C1127" s="346"/>
      <c r="D1127" s="266"/>
      <c r="E1127" s="266"/>
      <c r="F1127" s="266"/>
      <c r="G1127" s="266"/>
      <c r="H1127" s="266"/>
      <c r="I1127" s="266"/>
      <c r="J1127" s="266"/>
      <c r="K1127" s="266"/>
      <c r="L1127" s="266"/>
      <c r="M1127" s="266"/>
      <c r="N1127" s="266"/>
      <c r="O1127" s="266"/>
      <c r="P1127" s="266"/>
      <c r="Q1127" s="266"/>
      <c r="R1127" s="266"/>
      <c r="S1127" s="266"/>
      <c r="T1127" s="266"/>
      <c r="U1127" s="266"/>
      <c r="V1127" s="266"/>
      <c r="W1127" s="266"/>
      <c r="X1127" s="266"/>
      <c r="Y1127" s="266"/>
    </row>
    <row r="1128">
      <c r="A1128" s="262"/>
      <c r="B1128" s="266"/>
      <c r="C1128" s="346"/>
      <c r="D1128" s="266"/>
      <c r="E1128" s="266"/>
      <c r="F1128" s="266"/>
      <c r="G1128" s="266"/>
      <c r="H1128" s="266"/>
      <c r="I1128" s="266"/>
      <c r="J1128" s="266"/>
      <c r="K1128" s="266"/>
      <c r="L1128" s="266"/>
      <c r="M1128" s="266"/>
      <c r="N1128" s="266"/>
      <c r="O1128" s="266"/>
      <c r="P1128" s="266"/>
      <c r="Q1128" s="266"/>
      <c r="R1128" s="266"/>
      <c r="S1128" s="266"/>
      <c r="T1128" s="266"/>
      <c r="U1128" s="266"/>
      <c r="V1128" s="266"/>
      <c r="W1128" s="266"/>
      <c r="X1128" s="266"/>
      <c r="Y1128" s="266"/>
    </row>
    <row r="1129">
      <c r="A1129" s="262"/>
      <c r="B1129" s="266"/>
      <c r="C1129" s="346"/>
      <c r="D1129" s="266"/>
      <c r="E1129" s="266"/>
      <c r="F1129" s="266"/>
      <c r="G1129" s="266"/>
      <c r="H1129" s="266"/>
      <c r="I1129" s="266"/>
      <c r="J1129" s="266"/>
      <c r="K1129" s="266"/>
      <c r="L1129" s="266"/>
      <c r="M1129" s="266"/>
      <c r="N1129" s="266"/>
      <c r="O1129" s="266"/>
      <c r="P1129" s="266"/>
      <c r="Q1129" s="266"/>
      <c r="R1129" s="266"/>
      <c r="S1129" s="266"/>
      <c r="T1129" s="266"/>
      <c r="U1129" s="266"/>
      <c r="V1129" s="266"/>
      <c r="W1129" s="266"/>
      <c r="X1129" s="266"/>
      <c r="Y1129" s="266"/>
    </row>
    <row r="1130">
      <c r="A1130" s="262"/>
      <c r="B1130" s="266"/>
      <c r="C1130" s="346"/>
      <c r="D1130" s="266"/>
      <c r="E1130" s="266"/>
      <c r="F1130" s="266"/>
      <c r="G1130" s="266"/>
      <c r="H1130" s="266"/>
      <c r="I1130" s="266"/>
      <c r="J1130" s="266"/>
      <c r="K1130" s="266"/>
      <c r="L1130" s="266"/>
      <c r="M1130" s="266"/>
      <c r="N1130" s="266"/>
      <c r="O1130" s="266"/>
      <c r="P1130" s="266"/>
      <c r="Q1130" s="266"/>
      <c r="R1130" s="266"/>
      <c r="S1130" s="266"/>
      <c r="T1130" s="266"/>
      <c r="U1130" s="266"/>
      <c r="V1130" s="266"/>
      <c r="W1130" s="266"/>
      <c r="X1130" s="266"/>
      <c r="Y1130" s="266"/>
    </row>
    <row r="1131">
      <c r="A1131" s="262"/>
      <c r="B1131" s="266"/>
      <c r="C1131" s="346"/>
      <c r="D1131" s="266"/>
      <c r="E1131" s="266"/>
      <c r="F1131" s="266"/>
      <c r="G1131" s="266"/>
      <c r="H1131" s="266"/>
      <c r="I1131" s="266"/>
      <c r="J1131" s="266"/>
      <c r="K1131" s="266"/>
      <c r="L1131" s="266"/>
      <c r="M1131" s="266"/>
      <c r="N1131" s="266"/>
      <c r="O1131" s="266"/>
      <c r="P1131" s="266"/>
      <c r="Q1131" s="266"/>
      <c r="R1131" s="266"/>
      <c r="S1131" s="266"/>
      <c r="T1131" s="266"/>
      <c r="U1131" s="266"/>
      <c r="V1131" s="266"/>
      <c r="W1131" s="266"/>
      <c r="X1131" s="266"/>
      <c r="Y1131" s="266"/>
    </row>
    <row r="1132">
      <c r="A1132" s="262"/>
      <c r="B1132" s="266"/>
      <c r="C1132" s="346"/>
      <c r="D1132" s="266"/>
      <c r="E1132" s="266"/>
      <c r="F1132" s="266"/>
      <c r="G1132" s="266"/>
      <c r="H1132" s="266"/>
      <c r="I1132" s="266"/>
      <c r="J1132" s="266"/>
      <c r="K1132" s="266"/>
      <c r="L1132" s="266"/>
      <c r="M1132" s="266"/>
      <c r="N1132" s="266"/>
      <c r="O1132" s="266"/>
      <c r="P1132" s="266"/>
      <c r="Q1132" s="266"/>
      <c r="R1132" s="266"/>
      <c r="S1132" s="266"/>
      <c r="T1132" s="266"/>
      <c r="U1132" s="266"/>
      <c r="V1132" s="266"/>
      <c r="W1132" s="266"/>
      <c r="X1132" s="266"/>
      <c r="Y1132" s="266"/>
    </row>
    <row r="1133">
      <c r="A1133" s="262"/>
      <c r="B1133" s="266"/>
      <c r="C1133" s="346"/>
      <c r="D1133" s="266"/>
      <c r="E1133" s="266"/>
      <c r="F1133" s="266"/>
      <c r="G1133" s="266"/>
      <c r="H1133" s="266"/>
      <c r="I1133" s="266"/>
      <c r="J1133" s="266"/>
      <c r="K1133" s="266"/>
      <c r="L1133" s="266"/>
      <c r="M1133" s="266"/>
      <c r="N1133" s="266"/>
      <c r="O1133" s="266"/>
      <c r="P1133" s="266"/>
      <c r="Q1133" s="266"/>
      <c r="R1133" s="266"/>
      <c r="S1133" s="266"/>
      <c r="T1133" s="266"/>
      <c r="U1133" s="266"/>
      <c r="V1133" s="266"/>
      <c r="W1133" s="266"/>
      <c r="X1133" s="266"/>
      <c r="Y1133" s="266"/>
    </row>
    <row r="1134">
      <c r="A1134" s="262"/>
      <c r="B1134" s="266"/>
      <c r="C1134" s="346"/>
      <c r="D1134" s="266"/>
      <c r="E1134" s="266"/>
      <c r="F1134" s="266"/>
      <c r="G1134" s="266"/>
      <c r="H1134" s="266"/>
      <c r="I1134" s="266"/>
      <c r="J1134" s="266"/>
      <c r="K1134" s="266"/>
      <c r="L1134" s="266"/>
      <c r="M1134" s="266"/>
      <c r="N1134" s="266"/>
      <c r="O1134" s="266"/>
      <c r="P1134" s="266"/>
      <c r="Q1134" s="266"/>
      <c r="R1134" s="266"/>
      <c r="S1134" s="266"/>
      <c r="T1134" s="266"/>
      <c r="U1134" s="266"/>
      <c r="V1134" s="266"/>
      <c r="W1134" s="266"/>
      <c r="X1134" s="266"/>
      <c r="Y1134" s="266"/>
    </row>
    <row r="1135">
      <c r="A1135" s="262"/>
      <c r="B1135" s="266"/>
      <c r="C1135" s="346"/>
      <c r="D1135" s="266"/>
      <c r="E1135" s="266"/>
      <c r="F1135" s="266"/>
      <c r="G1135" s="266"/>
      <c r="H1135" s="266"/>
      <c r="I1135" s="266"/>
      <c r="J1135" s="266"/>
      <c r="K1135" s="266"/>
      <c r="L1135" s="266"/>
      <c r="M1135" s="266"/>
      <c r="N1135" s="266"/>
      <c r="O1135" s="266"/>
      <c r="P1135" s="266"/>
      <c r="Q1135" s="266"/>
      <c r="R1135" s="266"/>
      <c r="S1135" s="266"/>
      <c r="T1135" s="266"/>
      <c r="U1135" s="266"/>
      <c r="V1135" s="266"/>
      <c r="W1135" s="266"/>
      <c r="X1135" s="266"/>
      <c r="Y1135" s="266"/>
    </row>
    <row r="1136">
      <c r="A1136" s="262"/>
      <c r="B1136" s="266"/>
      <c r="C1136" s="346"/>
      <c r="D1136" s="266"/>
      <c r="E1136" s="266"/>
      <c r="F1136" s="266"/>
      <c r="G1136" s="266"/>
      <c r="H1136" s="266"/>
      <c r="I1136" s="266"/>
      <c r="J1136" s="266"/>
      <c r="K1136" s="266"/>
      <c r="L1136" s="266"/>
      <c r="M1136" s="266"/>
      <c r="N1136" s="266"/>
      <c r="O1136" s="266"/>
      <c r="P1136" s="266"/>
      <c r="Q1136" s="266"/>
      <c r="R1136" s="266"/>
      <c r="S1136" s="266"/>
      <c r="T1136" s="266"/>
      <c r="U1136" s="266"/>
      <c r="V1136" s="266"/>
      <c r="W1136" s="266"/>
      <c r="X1136" s="266"/>
      <c r="Y1136" s="266"/>
    </row>
    <row r="1137">
      <c r="A1137" s="262"/>
      <c r="B1137" s="266"/>
      <c r="C1137" s="346"/>
      <c r="D1137" s="266"/>
      <c r="E1137" s="266"/>
      <c r="F1137" s="266"/>
      <c r="G1137" s="266"/>
      <c r="H1137" s="266"/>
      <c r="I1137" s="266"/>
      <c r="J1137" s="266"/>
      <c r="K1137" s="266"/>
      <c r="L1137" s="266"/>
      <c r="M1137" s="266"/>
      <c r="N1137" s="266"/>
      <c r="O1137" s="266"/>
      <c r="P1137" s="266"/>
      <c r="Q1137" s="266"/>
      <c r="R1137" s="266"/>
      <c r="S1137" s="266"/>
      <c r="T1137" s="266"/>
      <c r="U1137" s="266"/>
      <c r="V1137" s="266"/>
      <c r="W1137" s="266"/>
      <c r="X1137" s="266"/>
      <c r="Y1137" s="266"/>
    </row>
    <row r="1138">
      <c r="A1138" s="262"/>
      <c r="B1138" s="266"/>
      <c r="C1138" s="346"/>
      <c r="D1138" s="266"/>
      <c r="E1138" s="266"/>
      <c r="F1138" s="266"/>
      <c r="G1138" s="266"/>
      <c r="H1138" s="266"/>
      <c r="I1138" s="266"/>
      <c r="J1138" s="266"/>
      <c r="K1138" s="266"/>
      <c r="L1138" s="266"/>
      <c r="M1138" s="266"/>
      <c r="N1138" s="266"/>
      <c r="O1138" s="266"/>
      <c r="P1138" s="266"/>
      <c r="Q1138" s="266"/>
      <c r="R1138" s="266"/>
      <c r="S1138" s="266"/>
      <c r="T1138" s="266"/>
      <c r="U1138" s="266"/>
      <c r="V1138" s="266"/>
      <c r="W1138" s="266"/>
      <c r="X1138" s="266"/>
      <c r="Y1138" s="266"/>
    </row>
    <row r="1139">
      <c r="A1139" s="262"/>
      <c r="B1139" s="266"/>
      <c r="C1139" s="346"/>
      <c r="D1139" s="266"/>
      <c r="E1139" s="266"/>
      <c r="F1139" s="266"/>
      <c r="G1139" s="266"/>
      <c r="H1139" s="266"/>
      <c r="I1139" s="266"/>
      <c r="J1139" s="266"/>
      <c r="K1139" s="266"/>
      <c r="L1139" s="266"/>
      <c r="M1139" s="266"/>
      <c r="N1139" s="266"/>
      <c r="O1139" s="266"/>
      <c r="P1139" s="266"/>
      <c r="Q1139" s="266"/>
      <c r="R1139" s="266"/>
      <c r="S1139" s="266"/>
      <c r="T1139" s="266"/>
      <c r="U1139" s="266"/>
      <c r="V1139" s="266"/>
      <c r="W1139" s="266"/>
      <c r="X1139" s="266"/>
      <c r="Y1139" s="266"/>
    </row>
    <row r="1140">
      <c r="A1140" s="262"/>
      <c r="B1140" s="266"/>
      <c r="C1140" s="346"/>
      <c r="D1140" s="266"/>
      <c r="E1140" s="266"/>
      <c r="F1140" s="266"/>
      <c r="G1140" s="266"/>
      <c r="H1140" s="266"/>
      <c r="I1140" s="266"/>
      <c r="J1140" s="266"/>
      <c r="K1140" s="266"/>
      <c r="L1140" s="266"/>
      <c r="M1140" s="266"/>
      <c r="N1140" s="266"/>
      <c r="O1140" s="266"/>
      <c r="P1140" s="266"/>
      <c r="Q1140" s="266"/>
      <c r="R1140" s="266"/>
      <c r="S1140" s="266"/>
      <c r="T1140" s="266"/>
      <c r="U1140" s="266"/>
      <c r="V1140" s="266"/>
      <c r="W1140" s="266"/>
      <c r="X1140" s="266"/>
      <c r="Y1140" s="266"/>
    </row>
    <row r="1141">
      <c r="A1141" s="262"/>
      <c r="B1141" s="266"/>
      <c r="C1141" s="346"/>
      <c r="D1141" s="266"/>
      <c r="E1141" s="266"/>
      <c r="F1141" s="266"/>
      <c r="G1141" s="266"/>
      <c r="H1141" s="266"/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6"/>
      <c r="S1141" s="266"/>
      <c r="T1141" s="266"/>
      <c r="U1141" s="266"/>
      <c r="V1141" s="266"/>
      <c r="W1141" s="266"/>
      <c r="X1141" s="266"/>
      <c r="Y1141" s="266"/>
    </row>
    <row r="1142">
      <c r="A1142" s="262"/>
      <c r="B1142" s="266"/>
      <c r="C1142" s="346"/>
      <c r="D1142" s="266"/>
      <c r="E1142" s="266"/>
      <c r="F1142" s="266"/>
      <c r="G1142" s="266"/>
      <c r="H1142" s="266"/>
      <c r="I1142" s="266"/>
      <c r="J1142" s="266"/>
      <c r="K1142" s="266"/>
      <c r="L1142" s="266"/>
      <c r="M1142" s="266"/>
      <c r="N1142" s="266"/>
      <c r="O1142" s="266"/>
      <c r="P1142" s="266"/>
      <c r="Q1142" s="266"/>
      <c r="R1142" s="266"/>
      <c r="S1142" s="266"/>
      <c r="T1142" s="266"/>
      <c r="U1142" s="266"/>
      <c r="V1142" s="266"/>
      <c r="W1142" s="266"/>
      <c r="X1142" s="266"/>
      <c r="Y1142" s="266"/>
    </row>
    <row r="1143">
      <c r="A1143" s="262"/>
      <c r="B1143" s="266"/>
      <c r="C1143" s="346"/>
      <c r="D1143" s="266"/>
      <c r="E1143" s="266"/>
      <c r="F1143" s="266"/>
      <c r="G1143" s="266"/>
      <c r="H1143" s="266"/>
      <c r="I1143" s="266"/>
      <c r="J1143" s="266"/>
      <c r="K1143" s="266"/>
      <c r="L1143" s="266"/>
      <c r="M1143" s="266"/>
      <c r="N1143" s="266"/>
      <c r="O1143" s="266"/>
      <c r="P1143" s="266"/>
      <c r="Q1143" s="266"/>
      <c r="R1143" s="266"/>
      <c r="S1143" s="266"/>
      <c r="T1143" s="266"/>
      <c r="U1143" s="266"/>
      <c r="V1143" s="266"/>
      <c r="W1143" s="266"/>
      <c r="X1143" s="266"/>
      <c r="Y1143" s="266"/>
    </row>
    <row r="1144">
      <c r="A1144" s="262"/>
      <c r="B1144" s="266"/>
      <c r="C1144" s="346"/>
      <c r="D1144" s="266"/>
      <c r="E1144" s="266"/>
      <c r="F1144" s="266"/>
      <c r="G1144" s="266"/>
      <c r="H1144" s="266"/>
      <c r="I1144" s="266"/>
      <c r="J1144" s="266"/>
      <c r="K1144" s="266"/>
      <c r="L1144" s="266"/>
      <c r="M1144" s="266"/>
      <c r="N1144" s="266"/>
      <c r="O1144" s="266"/>
      <c r="P1144" s="266"/>
      <c r="Q1144" s="266"/>
      <c r="R1144" s="266"/>
      <c r="S1144" s="266"/>
      <c r="T1144" s="266"/>
      <c r="U1144" s="266"/>
      <c r="V1144" s="266"/>
      <c r="W1144" s="266"/>
      <c r="X1144" s="266"/>
      <c r="Y1144" s="266"/>
    </row>
    <row r="1145">
      <c r="A1145" s="262"/>
      <c r="B1145" s="266"/>
      <c r="C1145" s="346"/>
      <c r="D1145" s="266"/>
      <c r="E1145" s="266"/>
      <c r="F1145" s="266"/>
      <c r="G1145" s="266"/>
      <c r="H1145" s="266"/>
      <c r="I1145" s="266"/>
      <c r="J1145" s="266"/>
      <c r="K1145" s="266"/>
      <c r="L1145" s="266"/>
      <c r="M1145" s="266"/>
      <c r="N1145" s="266"/>
      <c r="O1145" s="266"/>
      <c r="P1145" s="266"/>
      <c r="Q1145" s="266"/>
      <c r="R1145" s="266"/>
      <c r="S1145" s="266"/>
      <c r="T1145" s="266"/>
      <c r="U1145" s="266"/>
      <c r="V1145" s="266"/>
      <c r="W1145" s="266"/>
      <c r="X1145" s="266"/>
      <c r="Y1145" s="266"/>
    </row>
    <row r="1146">
      <c r="A1146" s="262"/>
      <c r="B1146" s="266"/>
      <c r="C1146" s="346"/>
      <c r="D1146" s="266"/>
      <c r="E1146" s="266"/>
      <c r="F1146" s="266"/>
      <c r="G1146" s="266"/>
      <c r="H1146" s="266"/>
      <c r="I1146" s="266"/>
      <c r="J1146" s="266"/>
      <c r="K1146" s="266"/>
      <c r="L1146" s="266"/>
      <c r="M1146" s="266"/>
      <c r="N1146" s="266"/>
      <c r="O1146" s="266"/>
      <c r="P1146" s="266"/>
      <c r="Q1146" s="266"/>
      <c r="R1146" s="266"/>
      <c r="S1146" s="266"/>
      <c r="T1146" s="266"/>
      <c r="U1146" s="266"/>
      <c r="V1146" s="266"/>
      <c r="W1146" s="266"/>
      <c r="X1146" s="266"/>
      <c r="Y1146" s="266"/>
    </row>
    <row r="1147">
      <c r="A1147" s="262"/>
      <c r="B1147" s="266"/>
      <c r="C1147" s="346"/>
      <c r="D1147" s="266"/>
      <c r="E1147" s="266"/>
      <c r="F1147" s="266"/>
      <c r="G1147" s="266"/>
      <c r="H1147" s="266"/>
      <c r="I1147" s="266"/>
      <c r="J1147" s="266"/>
      <c r="K1147" s="266"/>
      <c r="L1147" s="266"/>
      <c r="M1147" s="266"/>
      <c r="N1147" s="266"/>
      <c r="O1147" s="266"/>
      <c r="P1147" s="266"/>
      <c r="Q1147" s="266"/>
      <c r="R1147" s="266"/>
      <c r="S1147" s="266"/>
      <c r="T1147" s="266"/>
      <c r="U1147" s="266"/>
      <c r="V1147" s="266"/>
      <c r="W1147" s="266"/>
      <c r="X1147" s="266"/>
      <c r="Y1147" s="266"/>
    </row>
    <row r="1148">
      <c r="A1148" s="262"/>
      <c r="B1148" s="266"/>
      <c r="C1148" s="346"/>
      <c r="D1148" s="266"/>
      <c r="E1148" s="266"/>
      <c r="F1148" s="266"/>
      <c r="G1148" s="266"/>
      <c r="H1148" s="266"/>
      <c r="I1148" s="266"/>
      <c r="J1148" s="266"/>
      <c r="K1148" s="266"/>
      <c r="L1148" s="266"/>
      <c r="M1148" s="266"/>
      <c r="N1148" s="266"/>
      <c r="O1148" s="266"/>
      <c r="P1148" s="266"/>
      <c r="Q1148" s="266"/>
      <c r="R1148" s="266"/>
      <c r="S1148" s="266"/>
      <c r="T1148" s="266"/>
      <c r="U1148" s="266"/>
      <c r="V1148" s="266"/>
      <c r="W1148" s="266"/>
      <c r="X1148" s="266"/>
      <c r="Y1148" s="266"/>
    </row>
    <row r="1149">
      <c r="A1149" s="262"/>
      <c r="B1149" s="266"/>
      <c r="C1149" s="346"/>
      <c r="D1149" s="266"/>
      <c r="E1149" s="266"/>
      <c r="F1149" s="266"/>
      <c r="G1149" s="266"/>
      <c r="H1149" s="266"/>
      <c r="I1149" s="266"/>
      <c r="J1149" s="266"/>
      <c r="K1149" s="266"/>
      <c r="L1149" s="266"/>
      <c r="M1149" s="266"/>
      <c r="N1149" s="266"/>
      <c r="O1149" s="266"/>
      <c r="P1149" s="266"/>
      <c r="Q1149" s="266"/>
      <c r="R1149" s="266"/>
      <c r="S1149" s="266"/>
      <c r="T1149" s="266"/>
      <c r="U1149" s="266"/>
      <c r="V1149" s="266"/>
      <c r="W1149" s="266"/>
      <c r="X1149" s="266"/>
      <c r="Y1149" s="266"/>
    </row>
    <row r="1150">
      <c r="A1150" s="262"/>
      <c r="B1150" s="266"/>
      <c r="C1150" s="346"/>
      <c r="D1150" s="266"/>
      <c r="E1150" s="266"/>
      <c r="F1150" s="266"/>
      <c r="G1150" s="266"/>
      <c r="H1150" s="266"/>
      <c r="I1150" s="266"/>
      <c r="J1150" s="266"/>
      <c r="K1150" s="266"/>
      <c r="L1150" s="266"/>
      <c r="M1150" s="266"/>
      <c r="N1150" s="266"/>
      <c r="O1150" s="266"/>
      <c r="P1150" s="266"/>
      <c r="Q1150" s="266"/>
      <c r="R1150" s="266"/>
      <c r="S1150" s="266"/>
      <c r="T1150" s="266"/>
      <c r="U1150" s="266"/>
      <c r="V1150" s="266"/>
      <c r="W1150" s="266"/>
      <c r="X1150" s="266"/>
      <c r="Y1150" s="266"/>
    </row>
    <row r="1151">
      <c r="A1151" s="262"/>
      <c r="B1151" s="266"/>
      <c r="C1151" s="346"/>
      <c r="D1151" s="266"/>
      <c r="E1151" s="266"/>
      <c r="F1151" s="266"/>
      <c r="G1151" s="266"/>
      <c r="H1151" s="266"/>
      <c r="I1151" s="266"/>
      <c r="J1151" s="266"/>
      <c r="K1151" s="266"/>
      <c r="L1151" s="266"/>
      <c r="M1151" s="266"/>
      <c r="N1151" s="266"/>
      <c r="O1151" s="266"/>
      <c r="P1151" s="266"/>
      <c r="Q1151" s="266"/>
      <c r="R1151" s="266"/>
      <c r="S1151" s="266"/>
      <c r="T1151" s="266"/>
      <c r="U1151" s="266"/>
      <c r="V1151" s="266"/>
      <c r="W1151" s="266"/>
      <c r="X1151" s="266"/>
      <c r="Y1151" s="266"/>
    </row>
    <row r="1152">
      <c r="A1152" s="262"/>
      <c r="B1152" s="266"/>
      <c r="C1152" s="346"/>
      <c r="D1152" s="266"/>
      <c r="E1152" s="266"/>
      <c r="F1152" s="266"/>
      <c r="G1152" s="266"/>
      <c r="H1152" s="266"/>
      <c r="I1152" s="266"/>
      <c r="J1152" s="266"/>
      <c r="K1152" s="266"/>
      <c r="L1152" s="266"/>
      <c r="M1152" s="266"/>
      <c r="N1152" s="266"/>
      <c r="O1152" s="266"/>
      <c r="P1152" s="266"/>
      <c r="Q1152" s="266"/>
      <c r="R1152" s="266"/>
      <c r="S1152" s="266"/>
      <c r="T1152" s="266"/>
      <c r="U1152" s="266"/>
      <c r="V1152" s="266"/>
      <c r="W1152" s="266"/>
      <c r="X1152" s="266"/>
      <c r="Y1152" s="266"/>
    </row>
    <row r="1153">
      <c r="A1153" s="262"/>
      <c r="B1153" s="266"/>
      <c r="C1153" s="346"/>
      <c r="D1153" s="266"/>
      <c r="E1153" s="266"/>
      <c r="F1153" s="266"/>
      <c r="G1153" s="266"/>
      <c r="H1153" s="266"/>
      <c r="I1153" s="266"/>
      <c r="J1153" s="266"/>
      <c r="K1153" s="266"/>
      <c r="L1153" s="266"/>
      <c r="M1153" s="266"/>
      <c r="N1153" s="266"/>
      <c r="O1153" s="266"/>
      <c r="P1153" s="266"/>
      <c r="Q1153" s="266"/>
      <c r="R1153" s="266"/>
      <c r="S1153" s="266"/>
      <c r="T1153" s="266"/>
      <c r="U1153" s="266"/>
      <c r="V1153" s="266"/>
      <c r="W1153" s="266"/>
      <c r="X1153" s="266"/>
      <c r="Y1153" s="266"/>
    </row>
    <row r="1154">
      <c r="A1154" s="262"/>
      <c r="B1154" s="266"/>
      <c r="C1154" s="346"/>
      <c r="D1154" s="266"/>
      <c r="E1154" s="266"/>
      <c r="F1154" s="266"/>
      <c r="G1154" s="266"/>
      <c r="H1154" s="266"/>
      <c r="I1154" s="266"/>
      <c r="J1154" s="266"/>
      <c r="K1154" s="266"/>
      <c r="L1154" s="266"/>
      <c r="M1154" s="266"/>
      <c r="N1154" s="266"/>
      <c r="O1154" s="266"/>
      <c r="P1154" s="266"/>
      <c r="Q1154" s="266"/>
      <c r="R1154" s="266"/>
      <c r="S1154" s="266"/>
      <c r="T1154" s="266"/>
      <c r="U1154" s="266"/>
      <c r="V1154" s="266"/>
      <c r="W1154" s="266"/>
      <c r="X1154" s="266"/>
      <c r="Y1154" s="266"/>
    </row>
    <row r="1155">
      <c r="A1155" s="262"/>
      <c r="B1155" s="266"/>
      <c r="C1155" s="346"/>
      <c r="D1155" s="266"/>
      <c r="E1155" s="266"/>
      <c r="F1155" s="266"/>
      <c r="G1155" s="266"/>
      <c r="H1155" s="266"/>
      <c r="I1155" s="266"/>
      <c r="J1155" s="266"/>
      <c r="K1155" s="266"/>
      <c r="L1155" s="266"/>
      <c r="M1155" s="266"/>
      <c r="N1155" s="266"/>
      <c r="O1155" s="266"/>
      <c r="P1155" s="266"/>
      <c r="Q1155" s="266"/>
      <c r="R1155" s="266"/>
      <c r="S1155" s="266"/>
      <c r="T1155" s="266"/>
      <c r="U1155" s="266"/>
      <c r="V1155" s="266"/>
      <c r="W1155" s="266"/>
      <c r="X1155" s="266"/>
      <c r="Y1155" s="266"/>
    </row>
    <row r="1156">
      <c r="A1156" s="262"/>
      <c r="B1156" s="266"/>
      <c r="C1156" s="346"/>
      <c r="D1156" s="266"/>
      <c r="E1156" s="266"/>
      <c r="F1156" s="266"/>
      <c r="G1156" s="266"/>
      <c r="H1156" s="266"/>
      <c r="I1156" s="266"/>
      <c r="J1156" s="266"/>
      <c r="K1156" s="266"/>
      <c r="L1156" s="266"/>
      <c r="M1156" s="266"/>
      <c r="N1156" s="266"/>
      <c r="O1156" s="266"/>
      <c r="P1156" s="266"/>
      <c r="Q1156" s="266"/>
      <c r="R1156" s="266"/>
      <c r="S1156" s="266"/>
      <c r="T1156" s="266"/>
      <c r="U1156" s="266"/>
      <c r="V1156" s="266"/>
      <c r="W1156" s="266"/>
      <c r="X1156" s="266"/>
      <c r="Y1156" s="266"/>
    </row>
    <row r="1157">
      <c r="A1157" s="262"/>
      <c r="B1157" s="266"/>
      <c r="C1157" s="346"/>
      <c r="D1157" s="266"/>
      <c r="E1157" s="266"/>
      <c r="F1157" s="266"/>
      <c r="G1157" s="266"/>
      <c r="H1157" s="266"/>
      <c r="I1157" s="266"/>
      <c r="J1157" s="266"/>
      <c r="K1157" s="266"/>
      <c r="L1157" s="266"/>
      <c r="M1157" s="266"/>
      <c r="N1157" s="266"/>
      <c r="O1157" s="266"/>
      <c r="P1157" s="266"/>
      <c r="Q1157" s="266"/>
      <c r="R1157" s="266"/>
      <c r="S1157" s="266"/>
      <c r="T1157" s="266"/>
      <c r="U1157" s="266"/>
      <c r="V1157" s="266"/>
      <c r="W1157" s="266"/>
      <c r="X1157" s="266"/>
      <c r="Y1157" s="266"/>
    </row>
    <row r="1158">
      <c r="A1158" s="262"/>
      <c r="B1158" s="266"/>
      <c r="C1158" s="346"/>
      <c r="D1158" s="266"/>
      <c r="E1158" s="266"/>
      <c r="F1158" s="266"/>
      <c r="G1158" s="266"/>
      <c r="H1158" s="266"/>
      <c r="I1158" s="266"/>
      <c r="J1158" s="266"/>
      <c r="K1158" s="266"/>
      <c r="L1158" s="266"/>
      <c r="M1158" s="266"/>
      <c r="N1158" s="266"/>
      <c r="O1158" s="266"/>
      <c r="P1158" s="266"/>
      <c r="Q1158" s="266"/>
      <c r="R1158" s="266"/>
      <c r="S1158" s="266"/>
      <c r="T1158" s="266"/>
      <c r="U1158" s="266"/>
      <c r="V1158" s="266"/>
      <c r="W1158" s="266"/>
      <c r="X1158" s="266"/>
      <c r="Y1158" s="266"/>
    </row>
    <row r="1159">
      <c r="A1159" s="262"/>
      <c r="B1159" s="266"/>
      <c r="C1159" s="346"/>
      <c r="D1159" s="266"/>
      <c r="E1159" s="266"/>
      <c r="F1159" s="266"/>
      <c r="G1159" s="266"/>
      <c r="H1159" s="266"/>
      <c r="I1159" s="266"/>
      <c r="J1159" s="266"/>
      <c r="K1159" s="266"/>
      <c r="L1159" s="266"/>
      <c r="M1159" s="266"/>
      <c r="N1159" s="266"/>
      <c r="O1159" s="266"/>
      <c r="P1159" s="266"/>
      <c r="Q1159" s="266"/>
      <c r="R1159" s="266"/>
      <c r="S1159" s="266"/>
      <c r="T1159" s="266"/>
      <c r="U1159" s="266"/>
      <c r="V1159" s="266"/>
      <c r="W1159" s="266"/>
      <c r="X1159" s="266"/>
      <c r="Y1159" s="266"/>
    </row>
    <row r="1160">
      <c r="A1160" s="262"/>
      <c r="B1160" s="266"/>
      <c r="C1160" s="346"/>
      <c r="D1160" s="266"/>
      <c r="E1160" s="266"/>
      <c r="F1160" s="266"/>
      <c r="G1160" s="266"/>
      <c r="H1160" s="266"/>
      <c r="I1160" s="266"/>
      <c r="J1160" s="266"/>
      <c r="K1160" s="266"/>
      <c r="L1160" s="266"/>
      <c r="M1160" s="266"/>
      <c r="N1160" s="266"/>
      <c r="O1160" s="266"/>
      <c r="P1160" s="266"/>
      <c r="Q1160" s="266"/>
      <c r="R1160" s="266"/>
      <c r="S1160" s="266"/>
      <c r="T1160" s="266"/>
      <c r="U1160" s="266"/>
      <c r="V1160" s="266"/>
      <c r="W1160" s="266"/>
      <c r="X1160" s="266"/>
      <c r="Y1160" s="266"/>
    </row>
    <row r="1161">
      <c r="A1161" s="262"/>
      <c r="B1161" s="266"/>
      <c r="C1161" s="346"/>
      <c r="D1161" s="266"/>
      <c r="E1161" s="266"/>
      <c r="F1161" s="266"/>
      <c r="G1161" s="266"/>
      <c r="H1161" s="266"/>
      <c r="I1161" s="266"/>
      <c r="J1161" s="266"/>
      <c r="K1161" s="266"/>
      <c r="L1161" s="266"/>
      <c r="M1161" s="266"/>
      <c r="N1161" s="266"/>
      <c r="O1161" s="266"/>
      <c r="P1161" s="266"/>
      <c r="Q1161" s="266"/>
      <c r="R1161" s="266"/>
      <c r="S1161" s="266"/>
      <c r="T1161" s="266"/>
      <c r="U1161" s="266"/>
      <c r="V1161" s="266"/>
      <c r="W1161" s="266"/>
      <c r="X1161" s="266"/>
      <c r="Y1161" s="266"/>
    </row>
    <row r="1162">
      <c r="A1162" s="262"/>
      <c r="B1162" s="266"/>
      <c r="C1162" s="346"/>
      <c r="D1162" s="266"/>
      <c r="E1162" s="266"/>
      <c r="F1162" s="266"/>
      <c r="G1162" s="266"/>
      <c r="H1162" s="266"/>
      <c r="I1162" s="266"/>
      <c r="J1162" s="266"/>
      <c r="K1162" s="266"/>
      <c r="L1162" s="266"/>
      <c r="M1162" s="266"/>
      <c r="N1162" s="266"/>
      <c r="O1162" s="266"/>
      <c r="P1162" s="266"/>
      <c r="Q1162" s="266"/>
      <c r="R1162" s="266"/>
      <c r="S1162" s="266"/>
      <c r="T1162" s="266"/>
      <c r="U1162" s="266"/>
      <c r="V1162" s="266"/>
      <c r="W1162" s="266"/>
      <c r="X1162" s="266"/>
      <c r="Y1162" s="266"/>
    </row>
    <row r="1163">
      <c r="A1163" s="262"/>
      <c r="B1163" s="266"/>
      <c r="C1163" s="346"/>
      <c r="D1163" s="266"/>
      <c r="E1163" s="266"/>
      <c r="F1163" s="266"/>
      <c r="G1163" s="266"/>
      <c r="H1163" s="266"/>
      <c r="I1163" s="266"/>
      <c r="J1163" s="266"/>
      <c r="K1163" s="266"/>
      <c r="L1163" s="266"/>
      <c r="M1163" s="266"/>
      <c r="N1163" s="266"/>
      <c r="O1163" s="266"/>
      <c r="P1163" s="266"/>
      <c r="Q1163" s="266"/>
      <c r="R1163" s="266"/>
      <c r="S1163" s="266"/>
      <c r="T1163" s="266"/>
      <c r="U1163" s="266"/>
      <c r="V1163" s="266"/>
      <c r="W1163" s="266"/>
      <c r="X1163" s="266"/>
      <c r="Y1163" s="266"/>
    </row>
    <row r="1164">
      <c r="A1164" s="262"/>
      <c r="B1164" s="266"/>
      <c r="C1164" s="346"/>
      <c r="D1164" s="266"/>
      <c r="E1164" s="266"/>
      <c r="F1164" s="266"/>
      <c r="G1164" s="266"/>
      <c r="H1164" s="266"/>
      <c r="I1164" s="266"/>
      <c r="J1164" s="266"/>
      <c r="K1164" s="266"/>
      <c r="L1164" s="266"/>
      <c r="M1164" s="266"/>
      <c r="N1164" s="266"/>
      <c r="O1164" s="266"/>
      <c r="P1164" s="266"/>
      <c r="Q1164" s="266"/>
      <c r="R1164" s="266"/>
      <c r="S1164" s="266"/>
      <c r="T1164" s="266"/>
      <c r="U1164" s="266"/>
      <c r="V1164" s="266"/>
      <c r="W1164" s="266"/>
      <c r="X1164" s="266"/>
      <c r="Y1164" s="266"/>
    </row>
    <row r="1165">
      <c r="A1165" s="262"/>
      <c r="B1165" s="266"/>
      <c r="C1165" s="346"/>
      <c r="D1165" s="266"/>
      <c r="E1165" s="266"/>
      <c r="F1165" s="266"/>
      <c r="G1165" s="266"/>
      <c r="H1165" s="266"/>
      <c r="I1165" s="266"/>
      <c r="J1165" s="266"/>
      <c r="K1165" s="266"/>
      <c r="L1165" s="266"/>
      <c r="M1165" s="266"/>
      <c r="N1165" s="266"/>
      <c r="O1165" s="266"/>
      <c r="P1165" s="266"/>
      <c r="Q1165" s="266"/>
      <c r="R1165" s="266"/>
      <c r="S1165" s="266"/>
      <c r="T1165" s="266"/>
      <c r="U1165" s="266"/>
      <c r="V1165" s="266"/>
      <c r="W1165" s="266"/>
      <c r="X1165" s="266"/>
      <c r="Y1165" s="266"/>
    </row>
  </sheetData>
  <mergeCells count="2">
    <mergeCell ref="E104:G104"/>
    <mergeCell ref="D120:E120"/>
  </mergeCells>
  <drawing r:id="rId1"/>
</worksheet>
</file>