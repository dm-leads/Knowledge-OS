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риф " sheetId="1" r:id="rId4"/>
    <sheet state="visible" name="Финансовая модель (реклама) " sheetId="2" r:id="rId5"/>
  </sheets>
  <definedNames/>
  <calcPr/>
</workbook>
</file>

<file path=xl/sharedStrings.xml><?xml version="1.0" encoding="utf-8"?>
<sst xmlns="http://schemas.openxmlformats.org/spreadsheetml/2006/main" count="133" uniqueCount="80">
  <si>
    <t>Вопросы</t>
  </si>
  <si>
    <t>Ответы</t>
  </si>
  <si>
    <t>Конкуренты</t>
  </si>
  <si>
    <t xml:space="preserve">1. Как называется ваша компания </t>
  </si>
  <si>
    <t xml:space="preserve">2. Чем она занимается </t>
  </si>
  <si>
    <t>3. Какой товар/услугу вы продаете</t>
  </si>
  <si>
    <t>4. Какой товар самый популярный</t>
  </si>
  <si>
    <t xml:space="preserve">5. Почему должны купить у Вас </t>
  </si>
  <si>
    <t xml:space="preserve">6. Назовитте 5 своих конкурентов </t>
  </si>
  <si>
    <t xml:space="preserve">7. Чем вы лучше них </t>
  </si>
  <si>
    <t xml:space="preserve">8. Чем они лучше </t>
  </si>
  <si>
    <t>Клиенты</t>
  </si>
  <si>
    <t>1. Выделяем сегменты аудитории</t>
  </si>
  <si>
    <t>ПРИМЕР ПО КВАРТИРАМ</t>
  </si>
  <si>
    <t>1 сегмент</t>
  </si>
  <si>
    <t>молодожены</t>
  </si>
  <si>
    <t>2 сегмент</t>
  </si>
  <si>
    <t>материнский капитал</t>
  </si>
  <si>
    <t>3 сегмент</t>
  </si>
  <si>
    <t>инвесторы</t>
  </si>
  <si>
    <t>4 сегмент</t>
  </si>
  <si>
    <t xml:space="preserve">5 сегмент </t>
  </si>
  <si>
    <t xml:space="preserve">2. Какой результат хочет получить каждый сегмент </t>
  </si>
  <si>
    <t>жить отдельно от родителей</t>
  </si>
  <si>
    <t>у ребенка была отдельная комната</t>
  </si>
  <si>
    <t xml:space="preserve">доход </t>
  </si>
  <si>
    <t>3. Для чего клиенту нужен результат?</t>
  </si>
  <si>
    <t>чтобы спокойно делать детей</t>
  </si>
  <si>
    <t xml:space="preserve">родители могли отдыхать по ночам </t>
  </si>
  <si>
    <t xml:space="preserve">реинвестировать деньги </t>
  </si>
  <si>
    <t>4. С какими сегментами мы хотим работать</t>
  </si>
  <si>
    <t>5. Кратко описываем с кем хотим работать</t>
  </si>
  <si>
    <t xml:space="preserve">УТП </t>
  </si>
  <si>
    <t>ВАЖНО: проведите интервью с 3-5 вашими клиентами, либо с возможными клиентами. Ваша задача - докопаться до сути. Как сделать? Есть mind карта</t>
  </si>
  <si>
    <t xml:space="preserve">1. Реальные проблемы клиента </t>
  </si>
  <si>
    <t>1 проблема</t>
  </si>
  <si>
    <t>2 проблема</t>
  </si>
  <si>
    <t>3 проблема</t>
  </si>
  <si>
    <t xml:space="preserve">2. Желания клиента </t>
  </si>
  <si>
    <t xml:space="preserve">1 желание </t>
  </si>
  <si>
    <t>2 желание</t>
  </si>
  <si>
    <t xml:space="preserve">3 желание </t>
  </si>
  <si>
    <t>3. Реальные страхи клиентов</t>
  </si>
  <si>
    <t>1 страх</t>
  </si>
  <si>
    <t>2 страх</t>
  </si>
  <si>
    <t>3 страх</t>
  </si>
  <si>
    <t xml:space="preserve">4. Боли клиентов (из отзывов) </t>
  </si>
  <si>
    <t>1 боль</t>
  </si>
  <si>
    <t>2 боль</t>
  </si>
  <si>
    <t>3 боль</t>
  </si>
  <si>
    <t xml:space="preserve">Что дальше? </t>
  </si>
  <si>
    <t>1. Выделяем желания</t>
  </si>
  <si>
    <t>2. Закрываем страхи</t>
  </si>
  <si>
    <t xml:space="preserve">3. Закрываем боли </t>
  </si>
  <si>
    <t xml:space="preserve">4. Формируем измеримое ценностное предложение для каждого сегмента </t>
  </si>
  <si>
    <t xml:space="preserve">Источник 1: </t>
  </si>
  <si>
    <t>Источник 2: ВКонтакте</t>
  </si>
  <si>
    <t>Источник 3:</t>
  </si>
  <si>
    <t>Источник 4:</t>
  </si>
  <si>
    <t xml:space="preserve">Показы (рекламы) </t>
  </si>
  <si>
    <t xml:space="preserve">CPM (цена 1000 показов) </t>
  </si>
  <si>
    <t>Бюджет (на канал)</t>
  </si>
  <si>
    <t xml:space="preserve">CTR % (клики/показы) </t>
  </si>
  <si>
    <t>СPC (стоимость за клик)</t>
  </si>
  <si>
    <t xml:space="preserve">Клики (кол-во) </t>
  </si>
  <si>
    <t xml:space="preserve">CR1% (конверсия из клика в лид) </t>
  </si>
  <si>
    <t xml:space="preserve">Лиды (заявки) </t>
  </si>
  <si>
    <t xml:space="preserve">CR2%  (конверсия из лида в заказ) </t>
  </si>
  <si>
    <t>Заказы (кол-во)</t>
  </si>
  <si>
    <t xml:space="preserve">Средний чек р. </t>
  </si>
  <si>
    <t xml:space="preserve">Маржинальность </t>
  </si>
  <si>
    <t>Маржа р.</t>
  </si>
  <si>
    <t>Прибыль</t>
  </si>
  <si>
    <t>Итого с источников</t>
  </si>
  <si>
    <t>Клиентская база</t>
  </si>
  <si>
    <t xml:space="preserve">% возвратов </t>
  </si>
  <si>
    <t xml:space="preserve">Кол-во заказов </t>
  </si>
  <si>
    <t>Средний чек</t>
  </si>
  <si>
    <t>Маржа</t>
  </si>
  <si>
    <t>ИТОГО: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</si>
</sst>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4" fontId="4" numFmtId="0" xfId="0" applyAlignment="1" applyFill="1" applyFont="1">
      <alignment horizontal="left"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2" fontId="3" numFmtId="0" xfId="0" applyFont="1"/>
    <xf borderId="0" fillId="5" fontId="3" numFmtId="10" xfId="0" applyAlignment="1" applyFont="1" applyNumberFormat="1">
      <alignment readingOrder="0"/>
    </xf>
    <xf borderId="0" fillId="5" fontId="3" numFmtId="9" xfId="0" applyAlignment="1" applyFont="1" applyNumberFormat="1">
      <alignment readingOrder="0"/>
    </xf>
    <xf borderId="0" fillId="9" fontId="3" numFmtId="0" xfId="0" applyAlignment="1" applyFill="1" applyFont="1">
      <alignment readingOrder="0"/>
    </xf>
    <xf borderId="0" fillId="9" fontId="3" numFmtId="0" xfId="0" applyFont="1"/>
    <xf borderId="0" fillId="10" fontId="3" numFmtId="0" xfId="0" applyAlignment="1" applyFill="1" applyFont="1">
      <alignment readingOrder="0"/>
    </xf>
    <xf borderId="0" fillId="1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63"/>
    <col customWidth="1" min="2" max="2" width="57.0"/>
  </cols>
  <sheetData>
    <row r="1">
      <c r="A1" s="1" t="s">
        <v>0</v>
      </c>
      <c r="B1" s="1" t="s">
        <v>1</v>
      </c>
    </row>
    <row r="2">
      <c r="A2" s="2" t="s">
        <v>2</v>
      </c>
    </row>
    <row r="3">
      <c r="A3" s="3" t="s">
        <v>3</v>
      </c>
    </row>
    <row r="4">
      <c r="A4" s="3" t="s">
        <v>4</v>
      </c>
    </row>
    <row r="5">
      <c r="A5" s="3" t="s">
        <v>5</v>
      </c>
    </row>
    <row r="6">
      <c r="A6" s="3" t="s">
        <v>6</v>
      </c>
    </row>
    <row r="7">
      <c r="A7" s="3" t="s">
        <v>7</v>
      </c>
    </row>
    <row r="8">
      <c r="A8" s="3" t="s">
        <v>8</v>
      </c>
    </row>
    <row r="9">
      <c r="A9" s="3" t="s">
        <v>9</v>
      </c>
    </row>
    <row r="10">
      <c r="A10" s="3" t="s">
        <v>10</v>
      </c>
    </row>
    <row r="12">
      <c r="A12" s="2" t="s">
        <v>11</v>
      </c>
    </row>
    <row r="13">
      <c r="A13" s="3" t="s">
        <v>12</v>
      </c>
      <c r="B13" s="4" t="s">
        <v>13</v>
      </c>
    </row>
    <row r="14">
      <c r="A14" s="5" t="s">
        <v>14</v>
      </c>
      <c r="B14" s="3" t="s">
        <v>15</v>
      </c>
    </row>
    <row r="15">
      <c r="A15" s="5" t="s">
        <v>16</v>
      </c>
      <c r="B15" s="3" t="s">
        <v>17</v>
      </c>
    </row>
    <row r="16">
      <c r="A16" s="5" t="s">
        <v>18</v>
      </c>
      <c r="B16" s="3" t="s">
        <v>19</v>
      </c>
    </row>
    <row r="17">
      <c r="A17" s="5" t="s">
        <v>20</v>
      </c>
    </row>
    <row r="18">
      <c r="A18" s="5" t="s">
        <v>21</v>
      </c>
    </row>
    <row r="19">
      <c r="A19" s="3" t="s">
        <v>22</v>
      </c>
    </row>
    <row r="20">
      <c r="A20" s="5" t="s">
        <v>14</v>
      </c>
      <c r="B20" s="3" t="s">
        <v>23</v>
      </c>
    </row>
    <row r="21">
      <c r="A21" s="5" t="s">
        <v>16</v>
      </c>
      <c r="B21" s="3" t="s">
        <v>24</v>
      </c>
    </row>
    <row r="22">
      <c r="A22" s="5" t="s">
        <v>18</v>
      </c>
      <c r="B22" s="3" t="s">
        <v>25</v>
      </c>
    </row>
    <row r="23">
      <c r="A23" s="5" t="s">
        <v>20</v>
      </c>
    </row>
    <row r="24">
      <c r="A24" s="5" t="s">
        <v>21</v>
      </c>
    </row>
    <row r="25">
      <c r="A25" s="3" t="s">
        <v>26</v>
      </c>
    </row>
    <row r="26">
      <c r="A26" s="5" t="s">
        <v>14</v>
      </c>
      <c r="B26" s="3" t="s">
        <v>27</v>
      </c>
    </row>
    <row r="27">
      <c r="A27" s="5" t="s">
        <v>16</v>
      </c>
      <c r="B27" s="3" t="s">
        <v>28</v>
      </c>
    </row>
    <row r="28">
      <c r="A28" s="5" t="s">
        <v>18</v>
      </c>
      <c r="B28" s="3" t="s">
        <v>29</v>
      </c>
    </row>
    <row r="29">
      <c r="A29" s="5" t="s">
        <v>20</v>
      </c>
    </row>
    <row r="30">
      <c r="A30" s="5" t="s">
        <v>21</v>
      </c>
    </row>
    <row r="31">
      <c r="A31" s="3" t="s">
        <v>30</v>
      </c>
    </row>
    <row r="32">
      <c r="A32" s="3" t="s">
        <v>31</v>
      </c>
    </row>
    <row r="33">
      <c r="A33" s="2" t="s">
        <v>32</v>
      </c>
    </row>
    <row r="34">
      <c r="A34" s="4" t="s">
        <v>33</v>
      </c>
    </row>
    <row r="35">
      <c r="A35" s="3" t="s">
        <v>34</v>
      </c>
    </row>
    <row r="36">
      <c r="A36" s="5" t="s">
        <v>35</v>
      </c>
    </row>
    <row r="37">
      <c r="A37" s="5" t="s">
        <v>36</v>
      </c>
    </row>
    <row r="38">
      <c r="A38" s="5" t="s">
        <v>37</v>
      </c>
    </row>
    <row r="39">
      <c r="A39" s="3" t="s">
        <v>38</v>
      </c>
    </row>
    <row r="40">
      <c r="A40" s="5" t="s">
        <v>39</v>
      </c>
    </row>
    <row r="41">
      <c r="A41" s="5" t="s">
        <v>40</v>
      </c>
    </row>
    <row r="42">
      <c r="A42" s="5" t="s">
        <v>41</v>
      </c>
    </row>
    <row r="43">
      <c r="A43" s="3" t="s">
        <v>42</v>
      </c>
    </row>
    <row r="44">
      <c r="A44" s="5" t="s">
        <v>43</v>
      </c>
    </row>
    <row r="45">
      <c r="A45" s="5" t="s">
        <v>44</v>
      </c>
    </row>
    <row r="46">
      <c r="A46" s="5" t="s">
        <v>45</v>
      </c>
    </row>
    <row r="47">
      <c r="A47" s="3" t="s">
        <v>46</v>
      </c>
    </row>
    <row r="48">
      <c r="A48" s="5" t="s">
        <v>47</v>
      </c>
      <c r="B48" s="6"/>
    </row>
    <row r="49">
      <c r="A49" s="5" t="s">
        <v>48</v>
      </c>
    </row>
    <row r="50">
      <c r="A50" s="5" t="s">
        <v>49</v>
      </c>
    </row>
    <row r="51">
      <c r="A51" s="2" t="s">
        <v>50</v>
      </c>
    </row>
    <row r="52">
      <c r="A52" s="3" t="s">
        <v>51</v>
      </c>
    </row>
    <row r="53">
      <c r="A53" s="3" t="s">
        <v>52</v>
      </c>
    </row>
    <row r="54">
      <c r="A54" s="3" t="s">
        <v>53</v>
      </c>
    </row>
    <row r="55">
      <c r="A55" s="3" t="s">
        <v>54</v>
      </c>
    </row>
  </sheetData>
  <mergeCells count="5">
    <mergeCell ref="A2:B2"/>
    <mergeCell ref="A12:B12"/>
    <mergeCell ref="A33:B33"/>
    <mergeCell ref="A34:B34"/>
    <mergeCell ref="A51:B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3" max="3" width="30.25"/>
    <col customWidth="1" min="5" max="5" width="29.25"/>
    <col customWidth="1" min="7" max="7" width="29.63"/>
  </cols>
  <sheetData>
    <row r="1">
      <c r="A1" s="7" t="s">
        <v>55</v>
      </c>
      <c r="B1" s="8"/>
      <c r="C1" s="9" t="s">
        <v>56</v>
      </c>
      <c r="D1" s="8"/>
      <c r="E1" s="10" t="s">
        <v>57</v>
      </c>
      <c r="F1" s="8"/>
      <c r="G1" s="11" t="s">
        <v>58</v>
      </c>
      <c r="H1" s="8"/>
    </row>
    <row r="2">
      <c r="A2" s="3" t="s">
        <v>59</v>
      </c>
      <c r="B2" s="7">
        <v>150000.0</v>
      </c>
      <c r="C2" s="9" t="s">
        <v>59</v>
      </c>
      <c r="D2" s="7">
        <v>10000.0</v>
      </c>
      <c r="E2" s="10" t="s">
        <v>59</v>
      </c>
      <c r="F2" s="7">
        <v>10000.0</v>
      </c>
      <c r="G2" s="11" t="s">
        <v>59</v>
      </c>
      <c r="H2" s="7">
        <v>100000.0</v>
      </c>
    </row>
    <row r="3">
      <c r="A3" s="3" t="s">
        <v>60</v>
      </c>
      <c r="B3" s="7">
        <v>180.0</v>
      </c>
      <c r="C3" s="9" t="s">
        <v>60</v>
      </c>
      <c r="D3" s="7">
        <v>200.0</v>
      </c>
      <c r="E3" s="10" t="s">
        <v>60</v>
      </c>
      <c r="F3" s="7">
        <v>200.0</v>
      </c>
      <c r="G3" s="11" t="s">
        <v>60</v>
      </c>
      <c r="H3" s="7">
        <v>150.0</v>
      </c>
    </row>
    <row r="4">
      <c r="A4" s="3" t="s">
        <v>61</v>
      </c>
      <c r="B4" s="12">
        <f>B2/1000*B3</f>
        <v>27000</v>
      </c>
      <c r="C4" s="9" t="s">
        <v>61</v>
      </c>
      <c r="D4" s="12">
        <f>D2/1000*D3</f>
        <v>2000</v>
      </c>
      <c r="E4" s="10" t="s">
        <v>61</v>
      </c>
      <c r="F4" s="12">
        <f>F2/1000*F3</f>
        <v>2000</v>
      </c>
      <c r="G4" s="11" t="s">
        <v>61</v>
      </c>
      <c r="H4" s="12">
        <f>H2/1000*H3</f>
        <v>15000</v>
      </c>
    </row>
    <row r="5">
      <c r="A5" s="3" t="s">
        <v>62</v>
      </c>
      <c r="B5" s="13">
        <v>0.03</v>
      </c>
      <c r="C5" s="9" t="s">
        <v>62</v>
      </c>
      <c r="D5" s="13">
        <v>0.015</v>
      </c>
      <c r="E5" s="10" t="s">
        <v>62</v>
      </c>
      <c r="F5" s="13">
        <v>0.03</v>
      </c>
      <c r="G5" s="11" t="s">
        <v>62</v>
      </c>
      <c r="H5" s="13">
        <v>0.03</v>
      </c>
    </row>
    <row r="6">
      <c r="A6" s="3" t="s">
        <v>63</v>
      </c>
      <c r="B6" s="4">
        <f>B4/B7</f>
        <v>6</v>
      </c>
      <c r="C6" s="3" t="s">
        <v>63</v>
      </c>
      <c r="D6" s="4">
        <f>D4/D7</f>
        <v>13.33333333</v>
      </c>
      <c r="E6" s="3" t="s">
        <v>63</v>
      </c>
      <c r="F6" s="4">
        <f>F4/F7</f>
        <v>6.666666667</v>
      </c>
      <c r="G6" s="3" t="s">
        <v>63</v>
      </c>
      <c r="H6" s="4">
        <f>H4/H7</f>
        <v>5</v>
      </c>
    </row>
    <row r="7">
      <c r="A7" s="3" t="s">
        <v>64</v>
      </c>
      <c r="B7" s="12">
        <f>B2*B5</f>
        <v>4500</v>
      </c>
      <c r="C7" s="9" t="s">
        <v>64</v>
      </c>
      <c r="D7" s="12">
        <f>D2*D5</f>
        <v>150</v>
      </c>
      <c r="E7" s="10" t="s">
        <v>64</v>
      </c>
      <c r="F7" s="12">
        <f>F2*F5</f>
        <v>300</v>
      </c>
      <c r="G7" s="11" t="s">
        <v>64</v>
      </c>
      <c r="H7" s="12">
        <f>H2*H5</f>
        <v>3000</v>
      </c>
    </row>
    <row r="8">
      <c r="A8" s="3" t="s">
        <v>65</v>
      </c>
      <c r="B8" s="14">
        <v>0.32</v>
      </c>
      <c r="C8" s="9" t="s">
        <v>65</v>
      </c>
      <c r="D8" s="14">
        <v>0.1</v>
      </c>
      <c r="E8" s="10" t="s">
        <v>65</v>
      </c>
      <c r="F8" s="14">
        <v>0.1</v>
      </c>
      <c r="G8" s="11" t="s">
        <v>65</v>
      </c>
      <c r="H8" s="14">
        <v>0.15</v>
      </c>
    </row>
    <row r="9">
      <c r="A9" s="3" t="s">
        <v>66</v>
      </c>
      <c r="B9" s="12">
        <f>B7*B8</f>
        <v>1440</v>
      </c>
      <c r="C9" s="9" t="s">
        <v>66</v>
      </c>
      <c r="D9" s="12">
        <f>D7*D8</f>
        <v>15</v>
      </c>
      <c r="E9" s="10" t="s">
        <v>66</v>
      </c>
      <c r="F9" s="12">
        <f>F7*F8</f>
        <v>30</v>
      </c>
      <c r="G9" s="11" t="s">
        <v>66</v>
      </c>
      <c r="H9" s="12">
        <f>H7*H8</f>
        <v>450</v>
      </c>
    </row>
    <row r="10">
      <c r="A10" s="3" t="s">
        <v>67</v>
      </c>
      <c r="B10" s="14">
        <v>0.22</v>
      </c>
      <c r="C10" s="9" t="s">
        <v>67</v>
      </c>
      <c r="D10" s="14">
        <v>0.2</v>
      </c>
      <c r="E10" s="10" t="s">
        <v>67</v>
      </c>
      <c r="F10" s="14">
        <v>0.2</v>
      </c>
      <c r="G10" s="11" t="s">
        <v>67</v>
      </c>
      <c r="H10" s="14">
        <v>0.6</v>
      </c>
    </row>
    <row r="11">
      <c r="A11" s="3" t="s">
        <v>68</v>
      </c>
      <c r="B11" s="12">
        <f>B9*B10</f>
        <v>316.8</v>
      </c>
      <c r="C11" s="9" t="s">
        <v>68</v>
      </c>
      <c r="D11" s="12">
        <f>D9*D10</f>
        <v>3</v>
      </c>
      <c r="E11" s="10" t="s">
        <v>68</v>
      </c>
      <c r="F11" s="12">
        <f>F9*F10</f>
        <v>6</v>
      </c>
      <c r="G11" s="11" t="s">
        <v>68</v>
      </c>
      <c r="H11" s="12">
        <f>H9*H10</f>
        <v>270</v>
      </c>
    </row>
    <row r="12">
      <c r="A12" s="3" t="s">
        <v>69</v>
      </c>
      <c r="B12" s="7">
        <v>2100.0</v>
      </c>
      <c r="C12" s="9" t="s">
        <v>69</v>
      </c>
      <c r="D12" s="7">
        <v>3000.0</v>
      </c>
      <c r="E12" s="10" t="s">
        <v>69</v>
      </c>
      <c r="F12" s="7">
        <v>3000.0</v>
      </c>
      <c r="G12" s="11" t="s">
        <v>69</v>
      </c>
      <c r="H12" s="7">
        <v>3000.0</v>
      </c>
    </row>
    <row r="13">
      <c r="A13" s="3" t="s">
        <v>70</v>
      </c>
      <c r="B13" s="14">
        <v>0.55</v>
      </c>
      <c r="C13" s="9" t="s">
        <v>70</v>
      </c>
      <c r="D13" s="14">
        <v>0.3</v>
      </c>
      <c r="E13" s="10" t="s">
        <v>70</v>
      </c>
      <c r="F13" s="14">
        <v>0.3</v>
      </c>
      <c r="G13" s="11" t="s">
        <v>70</v>
      </c>
      <c r="H13" s="14">
        <v>0.5</v>
      </c>
    </row>
    <row r="14">
      <c r="A14" s="3" t="s">
        <v>71</v>
      </c>
      <c r="B14" s="12">
        <f>B12*B11*B13</f>
        <v>365904</v>
      </c>
      <c r="C14" s="9" t="s">
        <v>71</v>
      </c>
      <c r="D14" s="12">
        <f>D12*D11*D13</f>
        <v>2700</v>
      </c>
      <c r="E14" s="10" t="s">
        <v>71</v>
      </c>
      <c r="F14" s="12">
        <f>F12*F11*F13</f>
        <v>5400</v>
      </c>
      <c r="G14" s="11" t="s">
        <v>71</v>
      </c>
      <c r="H14" s="12">
        <f>H12*H11*H13</f>
        <v>405000</v>
      </c>
    </row>
    <row r="15">
      <c r="A15" s="3" t="s">
        <v>72</v>
      </c>
      <c r="B15" s="12">
        <f>B14-B4</f>
        <v>338904</v>
      </c>
      <c r="C15" s="9" t="s">
        <v>72</v>
      </c>
      <c r="D15" s="12">
        <f>D14-D4</f>
        <v>700</v>
      </c>
      <c r="E15" s="10" t="s">
        <v>72</v>
      </c>
      <c r="F15" s="12">
        <f>F14-F4</f>
        <v>3400</v>
      </c>
      <c r="G15" s="11" t="s">
        <v>72</v>
      </c>
      <c r="H15" s="12">
        <f>H14-H4</f>
        <v>390000</v>
      </c>
    </row>
    <row r="17">
      <c r="A17" s="15" t="s">
        <v>73</v>
      </c>
      <c r="B17" s="16">
        <f>B15+D15+F15+H15</f>
        <v>733004</v>
      </c>
    </row>
    <row r="18">
      <c r="A18" s="7" t="s">
        <v>74</v>
      </c>
      <c r="B18" s="7">
        <v>10000.0</v>
      </c>
    </row>
    <row r="19">
      <c r="A19" s="3" t="s">
        <v>75</v>
      </c>
      <c r="B19" s="14">
        <v>0.15</v>
      </c>
    </row>
    <row r="20">
      <c r="A20" s="3" t="s">
        <v>76</v>
      </c>
      <c r="B20" s="12">
        <f>B18*B19</f>
        <v>1500</v>
      </c>
    </row>
    <row r="21">
      <c r="A21" s="3" t="s">
        <v>77</v>
      </c>
      <c r="B21" s="7">
        <v>3000.0</v>
      </c>
    </row>
    <row r="22">
      <c r="A22" s="3" t="s">
        <v>78</v>
      </c>
      <c r="B22" s="14">
        <v>0.5</v>
      </c>
    </row>
    <row r="23">
      <c r="A23" s="15" t="s">
        <v>72</v>
      </c>
      <c r="B23" s="16">
        <f>B21*B22*B20</f>
        <v>2250000</v>
      </c>
    </row>
    <row r="25">
      <c r="A25" s="17" t="s">
        <v>79</v>
      </c>
      <c r="B25" s="18">
        <f>B17+B23</f>
        <v>2983004</v>
      </c>
    </row>
  </sheetData>
  <drawing r:id="rId1"/>
</worksheet>
</file>