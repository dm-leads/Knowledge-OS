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 первым" sheetId="1" state="visible" r:id="rId1"/>
    <sheet xmlns:r="http://schemas.openxmlformats.org/officeDocument/2006/relationships" name="Входы и счёт" sheetId="2" state="visible" r:id="rId2"/>
    <sheet xmlns:r="http://schemas.openxmlformats.org/officeDocument/2006/relationships" name="Выбор площадок" sheetId="3" state="visible" r:id="rId3"/>
    <sheet xmlns:r="http://schemas.openxmlformats.org/officeDocument/2006/relationships" name="Медиаплан" sheetId="4" state="visible" r:id="rId4"/>
    <sheet xmlns:r="http://schemas.openxmlformats.org/officeDocument/2006/relationships" name="Бенчмарки" sheetId="5" state="visible" r:id="rId5"/>
    <sheet xmlns:r="http://schemas.openxmlformats.org/officeDocument/2006/relationships" name="Факт по неделя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0.0"/>
    <numFmt numFmtId="166" formatCode="0.0%"/>
    <numFmt numFmtId="167" formatCode="#,##0.0"/>
    <numFmt numFmtId="168" formatCode="DD.MM"/>
  </numFmts>
  <fonts count="6">
    <font>
      <name val="Calibri"/>
      <family val="2"/>
      <color theme="1"/>
      <sz val="11"/>
      <scheme val="minor"/>
    </font>
    <font>
      <name val="Calibri"/>
      <b val="1"/>
      <color rgb="001F2933"/>
      <sz val="15"/>
    </font>
    <font>
      <name val="Calibri"/>
      <color rgb="006B7280"/>
      <sz val="10"/>
    </font>
    <font>
      <name val="Calibri"/>
      <color rgb="001F2933"/>
      <sz val="10"/>
    </font>
    <font>
      <name val="Calibri"/>
      <b val="1"/>
      <color rgb="001F2933"/>
      <sz val="10"/>
    </font>
    <font>
      <name val="Calibr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E7F5EA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1" fontId="3" fillId="3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vertical="top" wrapText="1"/>
    </xf>
    <xf numFmtId="3" fontId="3" fillId="3" borderId="1" applyAlignment="1" pivotButton="0" quotePrefix="0" xfId="0">
      <alignment horizontal="right" vertical="top" wrapText="1"/>
    </xf>
    <xf numFmtId="9" fontId="3" fillId="3" borderId="1" applyAlignment="1" pivotButton="0" quotePrefix="0" xfId="0">
      <alignment horizontal="right" vertical="top" wrapText="1"/>
    </xf>
    <xf numFmtId="164" fontId="3" fillId="3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wrapText="1"/>
    </xf>
    <xf numFmtId="0" fontId="0" fillId="0" borderId="5" pivotButton="0" quotePrefix="0" xfId="0"/>
    <xf numFmtId="1" fontId="3" fillId="0" borderId="1" applyAlignment="1" pivotButton="0" quotePrefix="0" xfId="0">
      <alignment horizontal="right" vertical="top" wrapText="1"/>
    </xf>
    <xf numFmtId="165" fontId="3" fillId="0" borderId="1" applyAlignment="1" pivotButton="0" quotePrefix="0" xfId="0">
      <alignment horizontal="right" vertical="top" wrapText="1"/>
    </xf>
    <xf numFmtId="9" fontId="3" fillId="0" borderId="1" applyAlignment="1" pivotButton="0" quotePrefix="0" xfId="0">
      <alignment horizontal="right" vertical="top" wrapText="1"/>
    </xf>
    <xf numFmtId="49" fontId="3" fillId="0" borderId="1" applyAlignment="1" pivotButton="0" quotePrefix="0" xfId="0">
      <alignment horizontal="right" vertical="top" wrapText="1"/>
    </xf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" fontId="3" fillId="3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 wrapText="1"/>
    </xf>
    <xf numFmtId="165" fontId="3" fillId="3" borderId="1" applyAlignment="1" pivotButton="0" quotePrefix="0" xfId="0">
      <alignment horizontal="right" vertical="top" wrapText="1"/>
    </xf>
    <xf numFmtId="166" fontId="3" fillId="3" borderId="1" applyAlignment="1" pivotButton="0" quotePrefix="0" xfId="0">
      <alignment horizontal="right" vertical="top" wrapText="1"/>
    </xf>
    <xf numFmtId="167" fontId="3" fillId="0" borderId="1" applyAlignment="1" pivotButton="0" quotePrefix="0" xfId="0">
      <alignment horizontal="right" vertical="top" wrapText="1"/>
    </xf>
    <xf numFmtId="3" fontId="4" fillId="0" borderId="1" applyAlignment="1" pivotButton="0" quotePrefix="0" xfId="0">
      <alignment horizontal="right" vertical="top" wrapText="1"/>
    </xf>
    <xf numFmtId="165" fontId="4" fillId="0" borderId="1" applyAlignment="1" pivotButton="0" quotePrefix="0" xfId="0">
      <alignment horizontal="right" vertical="top" wrapText="1"/>
    </xf>
    <xf numFmtId="164" fontId="3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168" fontId="3" fillId="4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Медиаплан и трекер рекламы — как пользоваться</t>
        </is>
      </c>
    </row>
    <row r="2">
      <c r="B2" s="2" t="inlineStr">
        <is>
          <t>Один файл: от цели к площадкам, чего ждём, что видим, по каким порогам решаем</t>
        </is>
      </c>
    </row>
    <row r="4" ht="42" customHeight="1">
      <c r="B4" s="3" t="inlineStr">
        <is>
          <t>Порядок. Листы идут по шагам методологии медиапланирования: входы и обратный счёт → выбор площадок → строки медиаплана → бенчмарки → факт по неделям → пороги.</t>
        </is>
      </c>
    </row>
    <row r="5" ht="42" customHeight="1">
      <c r="B5" s="3" t="inlineStr">
        <is>
          <t>Лист «Входы и счёт». Зелёные ячейки — вход. Обратный счёт от цели в трёх сценариях и раскладка денег по правилу порога: площадка получает оценку, только если бюджет даёт ей 10 целевых действий в неделю.</t>
        </is>
      </c>
    </row>
    <row r="6" ht="42" customHeight="1">
      <c r="B6" s="3" t="inlineStr">
        <is>
          <t>Лист «Выбор площадок». Можно ли по закону, какой спрос площадка обслуживает, есть ли там наш сегмент и чем это подтверждено, шесть оценок от 0 до 3. Пустая оценка — данных нет.</t>
        </is>
      </c>
    </row>
    <row r="7" ht="42" customHeight="1">
      <c r="B7" s="3" t="inlineStr">
        <is>
          <t>Лист «Медиаплан». Строка на площадку и сценарий: бюджет → единицы закупки → заявки → оплаты → прибыль. Всё считается формулами от листа «Входы и счёт».</t>
        </is>
      </c>
    </row>
    <row r="8" ht="42" customHeight="1">
      <c r="B8" s="3" t="inlineStr">
        <is>
          <t>Лист «Бенчмарки». Откуда взято каждое число: площадка, показатель, период, источник, статус, насколько применимо. Чужой результат — ориентир, не цель.</t>
        </is>
      </c>
    </row>
    <row r="9" ht="42" customHeight="1">
      <c r="B9" s="3" t="inlineStr">
        <is>
          <t>Лист «Факт по неделям». Раз в неделю — строка на площадку: расход, показы, переходы или контакты, заявки, разговоры, оплаты. Число кабинета сверяется с Битриксом.</t>
        </is>
      </c>
    </row>
    <row r="10" ht="42" customHeight="1">
      <c r="B10" s="3" t="inlineStr">
        <is>
          <t>Статусы чисел. Факт — измерено нами или написано в прайсе. Прогноз площадки — число прогнозатора. Бенчмарк — чужой результат. Оценка — наш расчёт. Гипотеза, допущение — не проверено. Пусто — данных нет.</t>
        </is>
      </c>
    </row>
    <row r="11" ht="42" customHeight="1">
      <c r="B11" s="3" t="inlineStr">
        <is>
          <t>Суммы. Бюджеты — в деньгах плана. В кабинетах суммы показаны без НДС; к оплате выходит больше — сверяем по первому счёту каждой площадки.</t>
        </is>
      </c>
    </row>
    <row r="12" ht="42" customHeight="1">
      <c r="B12" s="3" t="inlineStr">
        <is>
          <t>Как пересобрать. python build_ads_tracker.py из 06 — Инструменты/scripts. Числа плана меняются в начале скрипта, книга руками не правится.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B1" s="1" t="inlineStr">
        <is>
          <t>Входы, обратный счёт и раскладка денег</t>
        </is>
      </c>
    </row>
    <row r="2">
      <c r="B2" s="2" t="inlineStr">
        <is>
          <t>Шаги 0–2 методологии. Зелёные ячейки — вход, остальное — формулы</t>
        </is>
      </c>
    </row>
    <row r="4">
      <c r="B4" s="4" t="inlineStr">
        <is>
          <t>Показатель</t>
        </is>
      </c>
      <c r="C4" s="4" t="inlineStr">
        <is>
          <t>Значение</t>
        </is>
      </c>
      <c r="D4" s="4" t="inlineStr">
        <is>
          <t>Статус</t>
        </is>
      </c>
      <c r="E4" s="4" t="inlineStr">
        <is>
          <t>Источник</t>
        </is>
      </c>
      <c r="F4" s="5" t="n"/>
    </row>
    <row r="5">
      <c r="B5" s="3" t="inlineStr">
        <is>
          <t>Цель сезона: покупателей до конца февраля 2027</t>
        </is>
      </c>
      <c r="C5" s="6" t="n"/>
      <c r="D5" s="7" t="inlineStr"/>
      <c r="E5" s="7" t="inlineStr"/>
      <c r="F5" s="5" t="n"/>
    </row>
    <row r="6">
      <c r="B6" s="3" t="inlineStr">
        <is>
          <t>Расчётная цена сделки, ₽</t>
        </is>
      </c>
      <c r="C6" s="8" t="n"/>
      <c r="D6" s="7" t="inlineStr"/>
      <c r="E6" s="7" t="inlineStr"/>
      <c r="F6" s="5" t="n"/>
    </row>
    <row r="7">
      <c r="B7" s="3" t="inlineStr">
        <is>
          <t>Доля маржи</t>
        </is>
      </c>
      <c r="C7" s="9" t="n"/>
      <c r="D7" s="7" t="inlineStr"/>
      <c r="E7" s="7" t="inlineStr"/>
      <c r="F7" s="5" t="n"/>
    </row>
    <row r="8">
      <c r="B8" s="3" t="inlineStr">
        <is>
          <t>Постоянные расходы, ₽</t>
        </is>
      </c>
      <c r="C8" s="8" t="n"/>
      <c r="D8" s="7" t="inlineStr"/>
      <c r="E8" s="7" t="inlineStr"/>
      <c r="F8" s="5" t="n"/>
    </row>
    <row r="9">
      <c r="B9" s="3" t="inlineStr">
        <is>
          <t>Потолок цены покупателя, ₽</t>
        </is>
      </c>
      <c r="C9" s="8" t="n"/>
      <c r="D9" s="7" t="inlineStr"/>
      <c r="E9" s="7" t="inlineStr"/>
      <c r="F9" s="5" t="n"/>
    </row>
    <row r="10">
      <c r="B10" s="3" t="inlineStr">
        <is>
          <t>Цена заявки: низ коридора, ₽</t>
        </is>
      </c>
      <c r="C10" s="8" t="n"/>
      <c r="D10" s="7" t="inlineStr"/>
      <c r="E10" s="7" t="inlineStr"/>
      <c r="F10" s="5" t="n"/>
    </row>
    <row r="11">
      <c r="B11" s="3" t="inlineStr">
        <is>
          <t>Цена заявки: цель, ₽</t>
        </is>
      </c>
      <c r="C11" s="8" t="n"/>
      <c r="D11" s="7" t="inlineStr"/>
      <c r="E11" s="7" t="inlineStr"/>
      <c r="F11" s="5" t="n"/>
    </row>
    <row r="12">
      <c r="B12" s="3" t="inlineStr">
        <is>
          <t>Цена заявки: верх коридора, ₽</t>
        </is>
      </c>
      <c r="C12" s="8" t="n"/>
      <c r="D12" s="7" t="inlineStr"/>
      <c r="E12" s="7" t="inlineStr"/>
      <c r="F12" s="5" t="n"/>
    </row>
    <row r="13">
      <c r="B13" s="3" t="inlineStr">
        <is>
          <t>Цена заявки: потолок, ₽</t>
        </is>
      </c>
      <c r="C13" s="8" t="n"/>
      <c r="D13" s="7" t="inlineStr"/>
      <c r="E13" s="7" t="inlineStr"/>
      <c r="F13" s="5" t="n"/>
    </row>
    <row r="14">
      <c r="B14" s="3" t="inlineStr">
        <is>
          <t>Цикл сделки, дней</t>
        </is>
      </c>
      <c r="C14" s="6" t="n"/>
      <c r="D14" s="7" t="inlineStr"/>
      <c r="E14" s="7" t="inlineStr"/>
      <c r="F14" s="5" t="n"/>
    </row>
    <row r="15">
      <c r="B15" s="3" t="inlineStr">
        <is>
          <t>Бюджет первого месяца, ₽</t>
        </is>
      </c>
      <c r="C15" s="8" t="n"/>
      <c r="D15" s="7" t="inlineStr"/>
      <c r="E15" s="7" t="inlineStr"/>
      <c r="F15" s="5" t="n"/>
    </row>
    <row r="16">
      <c r="B16" s="3" t="inlineStr">
        <is>
          <t>Недель в первом месяце</t>
        </is>
      </c>
      <c r="C16" s="6" t="n"/>
      <c r="D16" s="7" t="inlineStr"/>
      <c r="E16" s="7" t="inlineStr"/>
      <c r="F16" s="5" t="n"/>
    </row>
    <row r="17">
      <c r="B17" s="3" t="inlineStr">
        <is>
          <t>Порог вывода: целевых действий в неделю на кампанию</t>
        </is>
      </c>
      <c r="C17" s="6" t="n"/>
      <c r="D17" s="7" t="inlineStr"/>
      <c r="E17" s="7" t="inlineStr"/>
      <c r="F17" s="5" t="n"/>
    </row>
    <row r="18">
      <c r="B18" s="3" t="inlineStr">
        <is>
          <t>Первый день платной рекламы</t>
        </is>
      </c>
      <c r="C18" s="10" t="n"/>
      <c r="D18" s="7" t="inlineStr"/>
      <c r="E18" s="7" t="inlineStr"/>
      <c r="F18" s="5" t="n"/>
    </row>
    <row r="19">
      <c r="B19" s="3" t="inlineStr">
        <is>
          <t>Авито: тариф на месяц, ₽</t>
        </is>
      </c>
      <c r="C19" s="8" t="n"/>
      <c r="D19" s="7" t="inlineStr"/>
      <c r="E19" s="7" t="inlineStr"/>
      <c r="F19" s="5" t="n"/>
    </row>
    <row r="20">
      <c r="B20" s="3" t="inlineStr">
        <is>
          <t>НДС сверх суммы кабинета</t>
        </is>
      </c>
      <c r="C20" s="9" t="n"/>
      <c r="D20" s="7" t="inlineStr"/>
      <c r="E20" s="7" t="inlineStr"/>
      <c r="F20" s="5" t="n"/>
    </row>
    <row r="21">
      <c r="B21" s="3" t="inlineStr">
        <is>
          <t>Маржа на платящего, ₽</t>
        </is>
      </c>
      <c r="C21" s="11">
        <f>IFERROR($C$6*$C$7,"")</f>
        <v/>
      </c>
      <c r="D21" s="7" t="inlineStr">
        <is>
          <t>расчёт</t>
        </is>
      </c>
      <c r="E21" s="7" t="inlineStr">
        <is>
          <t>цена сделки × доля маржи</t>
        </is>
      </c>
      <c r="F21" s="5" t="n"/>
    </row>
    <row r="22">
      <c r="B22" s="3" t="inlineStr">
        <is>
          <t>Недельный бюджет, ₽</t>
        </is>
      </c>
      <c r="C22" s="11">
        <f>IFERROR($C$15/$C$16,"")</f>
        <v/>
      </c>
      <c r="D22" s="7" t="inlineStr">
        <is>
          <t>расчёт</t>
        </is>
      </c>
      <c r="E22" s="7" t="inlineStr">
        <is>
          <t>бюджет первого месяца ÷ число недель</t>
        </is>
      </c>
      <c r="F22" s="5" t="n"/>
    </row>
    <row r="24">
      <c r="B24" s="4" t="inlineStr">
        <is>
          <t>Обратный счёт от цели — три сценария</t>
        </is>
      </c>
      <c r="C24" s="12" t="n"/>
      <c r="D24" s="12" t="n"/>
      <c r="E24" s="12" t="n"/>
      <c r="F24" s="5" t="n"/>
    </row>
    <row r="25">
      <c r="B25" s="4" t="inlineStr">
        <is>
          <t>Показатель</t>
        </is>
      </c>
      <c r="C25" s="4" t="inlineStr">
        <is>
          <t>Осторожный</t>
        </is>
      </c>
      <c r="D25" s="4" t="inlineStr">
        <is>
          <t>Основа</t>
        </is>
      </c>
      <c r="E25" s="4" t="inlineStr">
        <is>
          <t>Смелый</t>
        </is>
      </c>
      <c r="F25" s="4" t="inlineStr">
        <is>
          <t>Откуда допущения</t>
        </is>
      </c>
    </row>
    <row r="26">
      <c r="B26" s="3" t="inlineStr">
        <is>
          <t>Доля заявок, которые оплачивают</t>
        </is>
      </c>
      <c r="C26" s="9" t="n"/>
      <c r="D26" s="9" t="n"/>
      <c r="E26" s="9" t="n"/>
      <c r="F26" s="7" t="inlineStr"/>
    </row>
    <row r="27">
      <c r="B27" s="3" t="inlineStr">
        <is>
          <t>Цена заявки, ₽</t>
        </is>
      </c>
      <c r="C27" s="8" t="n"/>
      <c r="D27" s="8" t="n"/>
      <c r="E27" s="8" t="n"/>
      <c r="F27" s="7" t="inlineStr"/>
    </row>
    <row r="28">
      <c r="B28" s="3" t="inlineStr">
        <is>
          <t>Нужно покупателей</t>
        </is>
      </c>
      <c r="C28" s="13">
        <f>$C$5</f>
        <v/>
      </c>
      <c r="D28" s="13">
        <f>$C$5</f>
        <v/>
      </c>
      <c r="E28" s="13">
        <f>$C$5</f>
        <v/>
      </c>
      <c r="F28" s="7" t="inlineStr">
        <is>
          <t>цель сезона</t>
        </is>
      </c>
    </row>
    <row r="29">
      <c r="B29" s="3" t="inlineStr">
        <is>
          <t>Нужно заявок</t>
        </is>
      </c>
      <c r="C29" s="11">
        <f>IFERROR(C28/C26,"")</f>
        <v/>
      </c>
      <c r="D29" s="11">
        <f>IFERROR(D28/D26,"")</f>
        <v/>
      </c>
      <c r="E29" s="11">
        <f>IFERROR(E28/E26,"")</f>
        <v/>
      </c>
      <c r="F29" s="7" t="inlineStr">
        <is>
          <t>покупатели ÷ доля оплат</t>
        </is>
      </c>
    </row>
    <row r="30">
      <c r="B30" s="3" t="inlineStr">
        <is>
          <t>Заявок из бесплатных источников</t>
        </is>
      </c>
      <c r="C30" s="8" t="n"/>
      <c r="D30" s="8" t="n"/>
      <c r="E30" s="8" t="n"/>
      <c r="F30" s="7" t="inlineStr">
        <is>
          <t>нет данных: ёмкость базы, чатов и выпускников не измерена — пусто, не ноль</t>
        </is>
      </c>
    </row>
    <row r="31">
      <c r="B31" s="3" t="inlineStr">
        <is>
          <t>Заявок нужно купить</t>
        </is>
      </c>
      <c r="C31" s="11">
        <f>IFERROR(C29-N(C30),"")</f>
        <v/>
      </c>
      <c r="D31" s="11">
        <f>IFERROR(D29-N(D30),"")</f>
        <v/>
      </c>
      <c r="E31" s="11">
        <f>IFERROR(E29-N(E30),"")</f>
        <v/>
      </c>
      <c r="F31" s="7" t="inlineStr">
        <is>
          <t>заявки минус бесплатный поток</t>
        </is>
      </c>
    </row>
    <row r="32">
      <c r="B32" s="3" t="inlineStr">
        <is>
          <t>Рекламный бюджет сезона, ₽</t>
        </is>
      </c>
      <c r="C32" s="11">
        <f>IFERROR(C31*C27,"")</f>
        <v/>
      </c>
      <c r="D32" s="11">
        <f>IFERROR(D31*D27,"")</f>
        <v/>
      </c>
      <c r="E32" s="11">
        <f>IFERROR(E31*E27,"")</f>
        <v/>
      </c>
      <c r="F32" s="7" t="inlineStr">
        <is>
          <t>заявок купить × цена заявки</t>
        </is>
      </c>
    </row>
    <row r="33">
      <c r="B33" s="3" t="inlineStr">
        <is>
          <t>Цена покупателя, ₽</t>
        </is>
      </c>
      <c r="C33" s="11">
        <f>IFERROR(C27/C26,"")</f>
        <v/>
      </c>
      <c r="D33" s="11">
        <f>IFERROR(D27/D26,"")</f>
        <v/>
      </c>
      <c r="E33" s="11">
        <f>IFERROR(E27/E26,"")</f>
        <v/>
      </c>
      <c r="F33" s="7" t="inlineStr">
        <is>
          <t>цена заявки ÷ доля оплат; потолок модели — в таблице входов</t>
        </is>
      </c>
    </row>
    <row r="34">
      <c r="B34" s="3" t="inlineStr">
        <is>
          <t>Покупателей для выхода в ноль при такой цене</t>
        </is>
      </c>
      <c r="C34" s="14">
        <f>IFERROR(IF($C$21&gt;C33,$C$8/($C$21-C33),"не сходится"),"")</f>
        <v/>
      </c>
      <c r="D34" s="14">
        <f>IFERROR(IF($C$21&gt;D33,$C$8/($C$21-D33),"не сходится"),"")</f>
        <v/>
      </c>
      <c r="E34" s="14">
        <f>IFERROR(IF($C$21&gt;E33,$C$8/($C$21-E33),"не сходится"),"")</f>
        <v/>
      </c>
      <c r="F34" s="7" t="inlineStr">
        <is>
          <t>постоянные расходы ÷ (маржа на платящего − цена покупателя)</t>
        </is>
      </c>
    </row>
    <row r="35">
      <c r="B35" s="3" t="inlineStr">
        <is>
          <t>Первый месяц — доля от бюджета сезона</t>
        </is>
      </c>
      <c r="C35" s="15">
        <f>IFERROR($C$15/C32,"")</f>
        <v/>
      </c>
      <c r="D35" s="15">
        <f>IFERROR($C$15/D32,"")</f>
        <v/>
      </c>
      <c r="E35" s="15">
        <f>IFERROR($C$15/E32,"")</f>
        <v/>
      </c>
      <c r="F35" s="7" t="inlineStr">
        <is>
          <t>бюджет первого месяца ÷ бюджет сезона</t>
        </is>
      </c>
    </row>
    <row r="37">
      <c r="B37" s="4" t="inlineStr">
        <is>
          <t>Раскладка по правилу порога: недельный бюджет кампании ≥ 10 цен её целевого действия</t>
        </is>
      </c>
      <c r="C37" s="12" t="n"/>
      <c r="D37" s="12" t="n"/>
      <c r="E37" s="12" t="n"/>
      <c r="F37" s="5" t="n"/>
    </row>
    <row r="38">
      <c r="B38" s="4" t="inlineStr">
        <is>
          <t>Площадка</t>
        </is>
      </c>
      <c r="C38" s="4" t="inlineStr">
        <is>
          <t>Целевое действие</t>
        </is>
      </c>
      <c r="D38" s="4" t="inlineStr">
        <is>
          <t>Цена действия, ₽</t>
        </is>
      </c>
      <c r="E38" s="4" t="inlineStr">
        <is>
          <t>Порог в неделю, ₽</t>
        </is>
      </c>
      <c r="F38" s="4" t="inlineStr">
        <is>
          <t>Откуда цена</t>
        </is>
      </c>
    </row>
    <row r="39">
      <c r="B39" s="3" t="inlineStr">
        <is>
          <t>Площадка 1</t>
        </is>
      </c>
      <c r="C39" s="7" t="inlineStr"/>
      <c r="D39" s="8" t="n"/>
      <c r="E39" s="11">
        <f>IF(D39="","",$C$17*D39)</f>
        <v/>
      </c>
      <c r="F39" s="7" t="inlineStr"/>
    </row>
    <row r="40">
      <c r="B40" s="3" t="inlineStr">
        <is>
          <t>Площадка 2</t>
        </is>
      </c>
      <c r="C40" s="7" t="inlineStr"/>
      <c r="D40" s="8" t="n"/>
      <c r="E40" s="11">
        <f>IF(D40="","",$C$17*D40)</f>
        <v/>
      </c>
      <c r="F40" s="7" t="inlineStr"/>
    </row>
    <row r="41">
      <c r="B41" s="3" t="inlineStr">
        <is>
          <t>Площадка 3</t>
        </is>
      </c>
      <c r="C41" s="7" t="inlineStr"/>
      <c r="D41" s="8" t="n"/>
      <c r="E41" s="11">
        <f>IF(D41="","",$C$17*D41)</f>
        <v/>
      </c>
      <c r="F41" s="7" t="inlineStr"/>
    </row>
    <row r="43">
      <c r="B43" s="3" t="inlineStr">
        <is>
          <t>Площадка 1: порог на первый месяц, ₽</t>
        </is>
      </c>
      <c r="C43" s="11">
        <f>IFERROR(E39*$C$16,"")</f>
        <v/>
      </c>
      <c r="D43" s="7" t="inlineStr">
        <is>
          <t>порог в неделю × число недель</t>
        </is>
      </c>
      <c r="E43" s="12" t="n"/>
      <c r="F43" s="5" t="n"/>
    </row>
    <row r="44">
      <c r="B44" s="3" t="inlineStr">
        <is>
          <t>Площадка 1 получает, ₽</t>
        </is>
      </c>
      <c r="C44" s="11">
        <f>IFERROR(MIN($C$15,$C$43),"")</f>
        <v/>
      </c>
      <c r="D44" s="7" t="inlineStr">
        <is>
          <t>порог, если он помещается в бюджет; иначе весь бюджет и пометка «ниже порога»</t>
        </is>
      </c>
      <c r="E44" s="12" t="n"/>
      <c r="F44" s="5" t="n"/>
    </row>
    <row r="45">
      <c r="B45" s="3" t="inlineStr">
        <is>
          <t>Остаток, ₽</t>
        </is>
      </c>
      <c r="C45" s="11">
        <f>IFERROR($C$15-$C$44,"")</f>
        <v/>
      </c>
      <c r="D45" s="7" t="inlineStr">
        <is>
          <t>бюджет первого месяца − первая площадка</t>
        </is>
      </c>
      <c r="E45" s="12" t="n"/>
      <c r="F45" s="5" t="n"/>
    </row>
    <row r="46">
      <c r="B46" s="3" t="inlineStr">
        <is>
          <t>Площадка 2: порог на первый месяц, ₽</t>
        </is>
      </c>
      <c r="C46" s="11">
        <f>IFERROR(E40*$C$16,"")</f>
        <v/>
      </c>
      <c r="D46" s="7" t="inlineStr">
        <is>
          <t>порог в неделю × число недель</t>
        </is>
      </c>
      <c r="E46" s="12" t="n"/>
      <c r="F46" s="5" t="n"/>
    </row>
    <row r="47">
      <c r="B47" s="3" t="inlineStr">
        <is>
          <t>Площадка 2 получает остаток как</t>
        </is>
      </c>
      <c r="C47" s="16">
        <f>IFERROR(IF($C$45&gt;=$C$46,"оценка","диагностика"),"")</f>
        <v/>
      </c>
      <c r="D47" s="7" t="inlineStr">
        <is>
          <t>оценка — если остаток не меньше порога; иначе диагностика: вывода о площадке не будет</t>
        </is>
      </c>
      <c r="E47" s="12" t="n"/>
      <c r="F47" s="5" t="n"/>
    </row>
    <row r="49" ht="30" customHeight="1">
      <c r="B49" s="17" t="inlineStr">
        <is>
          <t>Порог считается на кампанию. Здесь принята одна кампания на площадку: на Авито — один аккаунт с объявлениями по городам. Окажется кампаний больше — порог умножается на их число, и раскладка пересчитывается. Порог про обучение алгоритма и про возможность сделать вывод. Площадка с бюджетом ниже порога даёт диагностику: видно, кликают ли и оставляют ли заявки, но судить «работает или нет» по ней нельзя. Дробить деньги на площадки без порога — способ не узнать ничего.</t>
        </is>
      </c>
    </row>
  </sheetData>
  <mergeCells count="27">
    <mergeCell ref="E12:F12"/>
    <mergeCell ref="E5:F5"/>
    <mergeCell ref="E14:F14"/>
    <mergeCell ref="E17:F17"/>
    <mergeCell ref="D47:F47"/>
    <mergeCell ref="E8:F8"/>
    <mergeCell ref="D43:F43"/>
    <mergeCell ref="E4:F4"/>
    <mergeCell ref="E20:F20"/>
    <mergeCell ref="E10:F10"/>
    <mergeCell ref="E19:F19"/>
    <mergeCell ref="E13:F13"/>
    <mergeCell ref="E9:F9"/>
    <mergeCell ref="E6:F6"/>
    <mergeCell ref="E15:F15"/>
    <mergeCell ref="E11:F11"/>
    <mergeCell ref="B37:F37"/>
    <mergeCell ref="D44:F44"/>
    <mergeCell ref="B49:F49"/>
    <mergeCell ref="E16:F16"/>
    <mergeCell ref="B24:F24"/>
    <mergeCell ref="E7:F7"/>
    <mergeCell ref="D46:F46"/>
    <mergeCell ref="E22:F22"/>
    <mergeCell ref="D45:F45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30" customWidth="1" min="4" max="4"/>
    <col width="14" customWidth="1" min="5" max="5"/>
    <col width="4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46" customWidth="1" min="14" max="14"/>
    <col width="40" customWidth="1" min="15" max="15"/>
  </cols>
  <sheetData>
    <row r="1">
      <c r="B1" s="1" t="inlineStr">
        <is>
          <t>Выбор площадок</t>
        </is>
      </c>
    </row>
    <row r="2">
      <c r="B2" s="2" t="inlineStr">
        <is>
          <t>Шаг 2 методологии: фильтр закона → состояние спроса → есть ли там наш сегмент → шесть оценок 0–3</t>
        </is>
      </c>
    </row>
    <row r="4" ht="44" customHeight="1">
      <c r="B4" s="4" t="inlineStr">
        <is>
          <t>Площадка</t>
        </is>
      </c>
      <c r="C4" s="4" t="inlineStr">
        <is>
          <t>Можно ли</t>
        </is>
      </c>
      <c r="D4" s="4" t="inlineStr">
        <is>
          <t>Какой спрос обслуживает</t>
        </is>
      </c>
      <c r="E4" s="4" t="inlineStr">
        <is>
          <t>Сегмент</t>
        </is>
      </c>
      <c r="F4" s="4" t="inlineStr">
        <is>
          <t>Чем подтверждено присутствие</t>
        </is>
      </c>
      <c r="G4" s="4" t="inlineStr">
        <is>
          <t>Состояние спроса</t>
        </is>
      </c>
      <c r="H4" s="4" t="inlineStr">
        <is>
          <t>Сегмент там есть</t>
        </is>
      </c>
      <c r="I4" s="4" t="inlineStr">
        <is>
          <t>Хватает бюджета</t>
        </is>
      </c>
      <c r="J4" s="4" t="inlineStr">
        <is>
          <t>Скорость данных</t>
        </is>
      </c>
      <c r="K4" s="4" t="inlineStr">
        <is>
          <t>Место в аукционе</t>
        </is>
      </c>
      <c r="L4" s="4" t="inlineStr">
        <is>
          <t>Доказательства в нише</t>
        </is>
      </c>
      <c r="M4" s="4" t="inlineStr">
        <is>
          <t>Средняя</t>
        </is>
      </c>
      <c r="N4" s="4" t="inlineStr">
        <is>
          <t>На чём стоят оценки</t>
        </is>
      </c>
      <c r="O4" s="4" t="inlineStr">
        <is>
          <t>Вывод</t>
        </is>
      </c>
    </row>
    <row r="5" ht="76" customHeight="1">
      <c r="B5" s="18" t="inlineStr">
        <is>
          <t>Площадка 1</t>
        </is>
      </c>
      <c r="C5" s="3" t="inlineStr"/>
      <c r="D5" s="3" t="inlineStr"/>
      <c r="E5" s="3" t="inlineStr"/>
      <c r="F5" s="3" t="inlineStr"/>
      <c r="G5" s="19" t="n"/>
      <c r="H5" s="19" t="n"/>
      <c r="I5" s="19" t="n"/>
      <c r="J5" s="19" t="n"/>
      <c r="K5" s="19" t="n"/>
      <c r="L5" s="19" t="n"/>
      <c r="M5" s="20">
        <f>IFERROR(AVERAGE(G5:L5),"")</f>
        <v/>
      </c>
      <c r="N5" s="7" t="inlineStr"/>
      <c r="O5" s="3" t="inlineStr"/>
    </row>
    <row r="6" ht="76" customHeight="1">
      <c r="B6" s="18" t="inlineStr">
        <is>
          <t>Площадка 2</t>
        </is>
      </c>
      <c r="C6" s="3" t="inlineStr"/>
      <c r="D6" s="3" t="inlineStr"/>
      <c r="E6" s="3" t="inlineStr"/>
      <c r="F6" s="3" t="inlineStr"/>
      <c r="G6" s="19" t="n"/>
      <c r="H6" s="19" t="n"/>
      <c r="I6" s="19" t="n"/>
      <c r="J6" s="19" t="n"/>
      <c r="K6" s="19" t="n"/>
      <c r="L6" s="19" t="n"/>
      <c r="M6" s="20">
        <f>IFERROR(AVERAGE(G6:L6),"")</f>
        <v/>
      </c>
      <c r="N6" s="7" t="inlineStr"/>
      <c r="O6" s="3" t="inlineStr"/>
    </row>
    <row r="7" ht="76" customHeight="1">
      <c r="B7" s="18" t="inlineStr">
        <is>
          <t>Площадка 3</t>
        </is>
      </c>
      <c r="C7" s="3" t="inlineStr"/>
      <c r="D7" s="3" t="inlineStr"/>
      <c r="E7" s="3" t="inlineStr"/>
      <c r="F7" s="3" t="inlineStr"/>
      <c r="G7" s="19" t="n"/>
      <c r="H7" s="19" t="n"/>
      <c r="I7" s="19" t="n"/>
      <c r="J7" s="19" t="n"/>
      <c r="K7" s="19" t="n"/>
      <c r="L7" s="19" t="n"/>
      <c r="M7" s="20">
        <f>IFERROR(AVERAGE(G7:L7),"")</f>
        <v/>
      </c>
      <c r="N7" s="7" t="inlineStr"/>
      <c r="O7" s="3" t="inlineStr"/>
    </row>
    <row r="8" ht="76" customHeight="1">
      <c r="B8" s="18" t="inlineStr">
        <is>
          <t>Площадка 4</t>
        </is>
      </c>
      <c r="C8" s="3" t="inlineStr"/>
      <c r="D8" s="3" t="inlineStr"/>
      <c r="E8" s="3" t="inlineStr"/>
      <c r="F8" s="3" t="inlineStr"/>
      <c r="G8" s="19" t="n"/>
      <c r="H8" s="19" t="n"/>
      <c r="I8" s="19" t="n"/>
      <c r="J8" s="19" t="n"/>
      <c r="K8" s="19" t="n"/>
      <c r="L8" s="19" t="n"/>
      <c r="M8" s="20">
        <f>IFERROR(AVERAGE(G8:L8),"")</f>
        <v/>
      </c>
      <c r="N8" s="7" t="inlineStr"/>
      <c r="O8" s="3" t="inlineStr"/>
    </row>
    <row r="10" ht="30" customHeight="1">
      <c r="B10" s="17" t="inlineStr">
        <is>
          <t>Шкала — из открытого навыка ai-hub-open/marketing-strategist (Apache-2.0), оценки — наши, по данным проекта. Сегменты — лист «Сегменты» исследовательской таблицы; это гипотезы, интервью не было. Площадка с пустыми оценками не выбрана и не отвергнута — она не изучена.</t>
        </is>
      </c>
    </row>
  </sheetData>
  <mergeCells count="1">
    <mergeCell ref="B10:O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Q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1" customWidth="1" min="14" max="14"/>
    <col width="13" customWidth="1" min="15" max="15"/>
    <col width="13" customWidth="1" min="16" max="16"/>
    <col width="22" customWidth="1" min="17" max="17"/>
  </cols>
  <sheetData>
    <row r="1">
      <c r="B1" s="1" t="inlineStr">
        <is>
          <t>Медиаплан первого месяца</t>
        </is>
      </c>
    </row>
    <row r="2">
      <c r="B2" s="2" t="inlineStr">
        <is>
          <t>Шаг 4 методологии: бюджет → единицы закупки → заявки → оплаты → прибыль. Все числа — формулы от листа «Входы и счёт»</t>
        </is>
      </c>
    </row>
    <row r="4" ht="44" customHeight="1">
      <c r="B4" s="4" t="inlineStr">
        <is>
          <t>Площадка</t>
        </is>
      </c>
      <c r="C4" s="4" t="inlineStr">
        <is>
          <t>Роль в плане</t>
        </is>
      </c>
      <c r="D4" s="4" t="inlineStr">
        <is>
          <t>Сценарий</t>
        </is>
      </c>
      <c r="E4" s="4" t="inlineStr">
        <is>
          <t>Бюджет, ₽</t>
        </is>
      </c>
      <c r="F4" s="4" t="inlineStr">
        <is>
          <t>Единица закупки</t>
        </is>
      </c>
      <c r="G4" s="4" t="inlineStr">
        <is>
          <t>Цена единицы, ₽</t>
        </is>
      </c>
      <c r="H4" s="4" t="inlineStr">
        <is>
          <t>Единиц</t>
        </is>
      </c>
      <c r="I4" s="4" t="inlineStr">
        <is>
          <t>Доля в заявку</t>
        </is>
      </c>
      <c r="J4" s="4" t="inlineStr">
        <is>
          <t>Заявок или контактов</t>
        </is>
      </c>
      <c r="K4" s="4" t="inlineStr">
        <is>
          <t>Цена заявки, ₽</t>
        </is>
      </c>
      <c r="L4" s="4" t="inlineStr">
        <is>
          <t>Доля в оплату</t>
        </is>
      </c>
      <c r="M4" s="4" t="inlineStr">
        <is>
          <t>Оплат</t>
        </is>
      </c>
      <c r="N4" s="4" t="inlineStr">
        <is>
          <t>Цена оплаты, ₽</t>
        </is>
      </c>
      <c r="O4" s="4" t="inlineStr">
        <is>
          <t>Валовая прибыль, ₽</t>
        </is>
      </c>
      <c r="P4" s="4" t="inlineStr">
        <is>
          <t>Прибыль площадки, ₽</t>
        </is>
      </c>
      <c r="Q4" s="4" t="inlineStr">
        <is>
          <t>Что считаем заявкой</t>
        </is>
      </c>
    </row>
    <row r="5">
      <c r="B5" s="18" t="inlineStr">
        <is>
          <t>Площадка 1</t>
        </is>
      </c>
      <c r="C5" s="7" t="inlineStr"/>
      <c r="D5" s="3" t="inlineStr">
        <is>
          <t>Осторожный</t>
        </is>
      </c>
      <c r="E5" s="11">
        <f>'Входы и счёт'!$C$44</f>
        <v/>
      </c>
      <c r="F5" s="7" t="inlineStr"/>
      <c r="G5" s="21" t="n"/>
      <c r="H5" s="11">
        <f>IFERROR(E5/G5,"")</f>
        <v/>
      </c>
      <c r="I5" s="22" t="n"/>
      <c r="J5" s="23">
        <f>IFERROR(H5*I5,"")</f>
        <v/>
      </c>
      <c r="K5" s="11">
        <f>IFERROR(E5/J5,"")</f>
        <v/>
      </c>
      <c r="L5" s="9" t="n"/>
      <c r="M5" s="14">
        <f>IFERROR(J5*L5,"")</f>
        <v/>
      </c>
      <c r="N5" s="11">
        <f>IFERROR(E5/M5,"")</f>
        <v/>
      </c>
      <c r="O5" s="11">
        <f>IFERROR(M5*'Входы и счёт'!$C$21,"")</f>
        <v/>
      </c>
      <c r="P5" s="11">
        <f>IFERROR(O5-E5,"")</f>
        <v/>
      </c>
      <c r="Q5" s="7" t="inlineStr"/>
    </row>
    <row r="6">
      <c r="B6" s="18" t="inlineStr">
        <is>
          <t>Площадка 1</t>
        </is>
      </c>
      <c r="C6" s="7" t="inlineStr"/>
      <c r="D6" s="3" t="inlineStr">
        <is>
          <t>Основа</t>
        </is>
      </c>
      <c r="E6" s="11">
        <f>'Входы и счёт'!$C$44</f>
        <v/>
      </c>
      <c r="F6" s="7" t="inlineStr"/>
      <c r="G6" s="21" t="n"/>
      <c r="H6" s="11">
        <f>IFERROR(E6/G6,"")</f>
        <v/>
      </c>
      <c r="I6" s="22" t="n"/>
      <c r="J6" s="23">
        <f>IFERROR(H6*I6,"")</f>
        <v/>
      </c>
      <c r="K6" s="11">
        <f>IFERROR(E6/J6,"")</f>
        <v/>
      </c>
      <c r="L6" s="9" t="n"/>
      <c r="M6" s="14">
        <f>IFERROR(J6*L6,"")</f>
        <v/>
      </c>
      <c r="N6" s="11">
        <f>IFERROR(E6/M6,"")</f>
        <v/>
      </c>
      <c r="O6" s="11">
        <f>IFERROR(M6*'Входы и счёт'!$C$21,"")</f>
        <v/>
      </c>
      <c r="P6" s="11">
        <f>IFERROR(O6-E6,"")</f>
        <v/>
      </c>
      <c r="Q6" s="7" t="inlineStr"/>
    </row>
    <row r="7">
      <c r="B7" s="18" t="inlineStr">
        <is>
          <t>Площадка 1</t>
        </is>
      </c>
      <c r="C7" s="7" t="inlineStr"/>
      <c r="D7" s="3" t="inlineStr">
        <is>
          <t>Смелый</t>
        </is>
      </c>
      <c r="E7" s="11">
        <f>'Входы и счёт'!$C$44</f>
        <v/>
      </c>
      <c r="F7" s="7" t="inlineStr"/>
      <c r="G7" s="21" t="n"/>
      <c r="H7" s="11">
        <f>IFERROR(E7/G7,"")</f>
        <v/>
      </c>
      <c r="I7" s="22" t="n"/>
      <c r="J7" s="23">
        <f>IFERROR(H7*I7,"")</f>
        <v/>
      </c>
      <c r="K7" s="11">
        <f>IFERROR(E7/J7,"")</f>
        <v/>
      </c>
      <c r="L7" s="9" t="n"/>
      <c r="M7" s="14">
        <f>IFERROR(J7*L7,"")</f>
        <v/>
      </c>
      <c r="N7" s="11">
        <f>IFERROR(E7/M7,"")</f>
        <v/>
      </c>
      <c r="O7" s="11">
        <f>IFERROR(M7*'Входы и счёт'!$C$21,"")</f>
        <v/>
      </c>
      <c r="P7" s="11">
        <f>IFERROR(O7-E7,"")</f>
        <v/>
      </c>
      <c r="Q7" s="7" t="inlineStr"/>
    </row>
    <row r="8">
      <c r="B8" s="18" t="inlineStr">
        <is>
          <t>Площадка 2</t>
        </is>
      </c>
      <c r="C8" s="7" t="inlineStr"/>
      <c r="D8" s="3" t="inlineStr">
        <is>
          <t>Осторожный</t>
        </is>
      </c>
      <c r="E8" s="11">
        <f>'Входы и счёт'!$C$45</f>
        <v/>
      </c>
      <c r="F8" s="7" t="inlineStr"/>
      <c r="G8" s="21" t="n"/>
      <c r="H8" s="11">
        <f>IFERROR(E8/G8,"")</f>
        <v/>
      </c>
      <c r="I8" s="22" t="n"/>
      <c r="J8" s="23">
        <f>IFERROR(H8*I8,"")</f>
        <v/>
      </c>
      <c r="K8" s="11">
        <f>IFERROR(E8/J8,"")</f>
        <v/>
      </c>
      <c r="L8" s="9" t="n"/>
      <c r="M8" s="14">
        <f>IFERROR(J8*L8,"")</f>
        <v/>
      </c>
      <c r="N8" s="11">
        <f>IFERROR(E8/M8,"")</f>
        <v/>
      </c>
      <c r="O8" s="11">
        <f>IFERROR(M8*'Входы и счёт'!$C$21,"")</f>
        <v/>
      </c>
      <c r="P8" s="11">
        <f>IFERROR(O8-E8,"")</f>
        <v/>
      </c>
      <c r="Q8" s="7" t="inlineStr"/>
    </row>
    <row r="9">
      <c r="B9" s="18" t="inlineStr">
        <is>
          <t>Площадка 2</t>
        </is>
      </c>
      <c r="C9" s="7" t="inlineStr"/>
      <c r="D9" s="3" t="inlineStr">
        <is>
          <t>Основа</t>
        </is>
      </c>
      <c r="E9" s="11">
        <f>'Входы и счёт'!$C$45</f>
        <v/>
      </c>
      <c r="F9" s="7" t="inlineStr"/>
      <c r="G9" s="21" t="n"/>
      <c r="H9" s="11">
        <f>IFERROR(E9/G9,"")</f>
        <v/>
      </c>
      <c r="I9" s="22" t="n"/>
      <c r="J9" s="23">
        <f>IFERROR(H9*I9,"")</f>
        <v/>
      </c>
      <c r="K9" s="11">
        <f>IFERROR(E9/J9,"")</f>
        <v/>
      </c>
      <c r="L9" s="9" t="n"/>
      <c r="M9" s="14">
        <f>IFERROR(J9*L9,"")</f>
        <v/>
      </c>
      <c r="N9" s="11">
        <f>IFERROR(E9/M9,"")</f>
        <v/>
      </c>
      <c r="O9" s="11">
        <f>IFERROR(M9*'Входы и счёт'!$C$21,"")</f>
        <v/>
      </c>
      <c r="P9" s="11">
        <f>IFERROR(O9-E9,"")</f>
        <v/>
      </c>
      <c r="Q9" s="7" t="inlineStr"/>
    </row>
    <row r="10">
      <c r="B10" s="18" t="inlineStr">
        <is>
          <t>Площадка 2</t>
        </is>
      </c>
      <c r="C10" s="7" t="inlineStr"/>
      <c r="D10" s="3" t="inlineStr">
        <is>
          <t>Смелый</t>
        </is>
      </c>
      <c r="E10" s="11">
        <f>'Входы и счёт'!$C$45</f>
        <v/>
      </c>
      <c r="F10" s="7" t="inlineStr"/>
      <c r="G10" s="21" t="n"/>
      <c r="H10" s="11">
        <f>IFERROR(E10/G10,"")</f>
        <v/>
      </c>
      <c r="I10" s="22" t="n"/>
      <c r="J10" s="23">
        <f>IFERROR(H10*I10,"")</f>
        <v/>
      </c>
      <c r="K10" s="11">
        <f>IFERROR(E10/J10,"")</f>
        <v/>
      </c>
      <c r="L10" s="9" t="n"/>
      <c r="M10" s="14">
        <f>IFERROR(J10*L10,"")</f>
        <v/>
      </c>
      <c r="N10" s="11">
        <f>IFERROR(E10/M10,"")</f>
        <v/>
      </c>
      <c r="O10" s="11">
        <f>IFERROR(M10*'Входы и счёт'!$C$21,"")</f>
        <v/>
      </c>
      <c r="P10" s="11">
        <f>IFERROR(O10-E10,"")</f>
        <v/>
      </c>
      <c r="Q10" s="7" t="inlineStr"/>
    </row>
    <row r="11">
      <c r="B11" s="18" t="inlineStr">
        <is>
          <t>Итого</t>
        </is>
      </c>
      <c r="C11" s="3" t="n"/>
      <c r="D11" s="18" t="inlineStr">
        <is>
          <t>Осторожный</t>
        </is>
      </c>
      <c r="E11" s="24">
        <f>N(E5)+N(E8)</f>
        <v/>
      </c>
      <c r="F11" s="3" t="n"/>
      <c r="G11" s="3" t="n"/>
      <c r="H11" s="3" t="n"/>
      <c r="I11" s="3" t="n"/>
      <c r="J11" s="3" t="n"/>
      <c r="K11" s="3" t="n"/>
      <c r="L11" s="3" t="n"/>
      <c r="M11" s="25">
        <f>N(M5)+N(M8)</f>
        <v/>
      </c>
      <c r="N11" s="24">
        <f>IFERROR(E11/M11,"")</f>
        <v/>
      </c>
      <c r="O11" s="24">
        <f>N(O5)+N(O8)</f>
        <v/>
      </c>
      <c r="P11" s="24">
        <f>N(P5)+N(P8)</f>
        <v/>
      </c>
      <c r="Q11" s="3" t="n"/>
    </row>
    <row r="12">
      <c r="B12" s="18" t="inlineStr">
        <is>
          <t>Итого</t>
        </is>
      </c>
      <c r="C12" s="3" t="n"/>
      <c r="D12" s="18" t="inlineStr">
        <is>
          <t>Основа</t>
        </is>
      </c>
      <c r="E12" s="24">
        <f>N(E6)+N(E9)</f>
        <v/>
      </c>
      <c r="F12" s="3" t="n"/>
      <c r="G12" s="3" t="n"/>
      <c r="H12" s="3" t="n"/>
      <c r="I12" s="3" t="n"/>
      <c r="J12" s="3" t="n"/>
      <c r="K12" s="3" t="n"/>
      <c r="L12" s="3" t="n"/>
      <c r="M12" s="25">
        <f>N(M6)+N(M9)</f>
        <v/>
      </c>
      <c r="N12" s="24">
        <f>IFERROR(E12/M12,"")</f>
        <v/>
      </c>
      <c r="O12" s="24">
        <f>N(O6)+N(O9)</f>
        <v/>
      </c>
      <c r="P12" s="24">
        <f>N(P6)+N(P9)</f>
        <v/>
      </c>
      <c r="Q12" s="3" t="n"/>
    </row>
    <row r="13">
      <c r="B13" s="18" t="inlineStr">
        <is>
          <t>Итого</t>
        </is>
      </c>
      <c r="C13" s="3" t="n"/>
      <c r="D13" s="18" t="inlineStr">
        <is>
          <t>Смелый</t>
        </is>
      </c>
      <c r="E13" s="24">
        <f>N(E7)+N(E10)</f>
        <v/>
      </c>
      <c r="F13" s="3" t="n"/>
      <c r="G13" s="3" t="n"/>
      <c r="H13" s="3" t="n"/>
      <c r="I13" s="3" t="n"/>
      <c r="J13" s="3" t="n"/>
      <c r="K13" s="3" t="n"/>
      <c r="L13" s="3" t="n"/>
      <c r="M13" s="25">
        <f>N(M7)+N(M10)</f>
        <v/>
      </c>
      <c r="N13" s="24">
        <f>IFERROR(E13/M13,"")</f>
        <v/>
      </c>
      <c r="O13" s="24">
        <f>N(O7)+N(O10)</f>
        <v/>
      </c>
      <c r="P13" s="24">
        <f>N(P7)+N(P10)</f>
        <v/>
      </c>
      <c r="Q13" s="3" t="n"/>
    </row>
    <row r="16">
      <c r="B16" s="4" t="inlineStr">
        <is>
          <t>Проверки — без них план не показываем</t>
        </is>
      </c>
      <c r="C16" s="12" t="n"/>
      <c r="D16" s="12" t="n"/>
      <c r="E16" s="12" t="n"/>
      <c r="F16" s="12" t="n"/>
      <c r="G16" s="12" t="n"/>
      <c r="H16" s="12" t="n"/>
      <c r="I16" s="5" t="n"/>
    </row>
    <row r="17">
      <c r="B17" s="3" t="inlineStr">
        <is>
          <t>Бюджет строк основы минус бюджет месяца — должен быть 0</t>
        </is>
      </c>
      <c r="C17" s="12" t="n"/>
      <c r="D17" s="12" t="n"/>
      <c r="E17" s="12" t="n"/>
      <c r="F17" s="12" t="n"/>
      <c r="G17" s="12" t="n"/>
      <c r="H17" s="5" t="n"/>
      <c r="I17" s="11">
        <f>IFERROR(E12-'Входы и счёт'!$C$15,"")</f>
        <v/>
      </c>
    </row>
    <row r="18">
      <c r="B18" s="3" t="inlineStr">
        <is>
          <t>Прибыль итого вторым способом минус первым — должен быть 0</t>
        </is>
      </c>
      <c r="C18" s="12" t="n"/>
      <c r="D18" s="12" t="n"/>
      <c r="E18" s="12" t="n"/>
      <c r="F18" s="12" t="n"/>
      <c r="G18" s="12" t="n"/>
      <c r="H18" s="5" t="n"/>
      <c r="I18" s="11">
        <f>IFERROR((M12*'Входы и счёт'!$C$21-E12)-P12,"")</f>
        <v/>
      </c>
    </row>
    <row r="19">
      <c r="B19" s="3" t="inlineStr">
        <is>
          <t>Оплат в основе — доля от цели сезона</t>
        </is>
      </c>
      <c r="C19" s="12" t="n"/>
      <c r="D19" s="12" t="n"/>
      <c r="E19" s="12" t="n"/>
      <c r="F19" s="12" t="n"/>
      <c r="G19" s="12" t="n"/>
      <c r="H19" s="5" t="n"/>
      <c r="I19" s="15">
        <f>IFERROR(M12/'Входы и счёт'!$C$5,"")</f>
        <v/>
      </c>
    </row>
    <row r="20">
      <c r="B20" s="3" t="inlineStr">
        <is>
          <t>Цена оплаты в основе ниже потолка модели</t>
        </is>
      </c>
      <c r="C20" s="12" t="n"/>
      <c r="D20" s="12" t="n"/>
      <c r="E20" s="12" t="n"/>
      <c r="F20" s="12" t="n"/>
      <c r="G20" s="12" t="n"/>
      <c r="H20" s="5" t="n"/>
      <c r="I20" s="16">
        <f>IFERROR(IF(N12&lt;='Входы и счёт'!$C$9,"да","нет"),"")</f>
        <v/>
      </c>
    </row>
    <row r="21">
      <c r="B21" s="3" t="inlineStr">
        <is>
          <t>Площадка 1: доход с единицы закупки выше её цены (основа)</t>
        </is>
      </c>
      <c r="C21" s="12" t="n"/>
      <c r="D21" s="12" t="n"/>
      <c r="E21" s="12" t="n"/>
      <c r="F21" s="12" t="n"/>
      <c r="G21" s="12" t="n"/>
      <c r="H21" s="5" t="n"/>
      <c r="I21" s="16">
        <f>IFERROR(IF(O6/H6&gt;G6,"да","нет"),"")</f>
        <v/>
      </c>
    </row>
    <row r="22">
      <c r="B22" s="3" t="inlineStr">
        <is>
          <t>Площадка 1: цена заявки или контакта в основе не выше верха коридора</t>
        </is>
      </c>
      <c r="C22" s="12" t="n"/>
      <c r="D22" s="12" t="n"/>
      <c r="E22" s="12" t="n"/>
      <c r="F22" s="12" t="n"/>
      <c r="G22" s="12" t="n"/>
      <c r="H22" s="5" t="n"/>
      <c r="I22" s="16">
        <f>IFERROR(IF(K6&lt;='Входы и счёт'!$C$12,"да","нет"),"")</f>
        <v/>
      </c>
    </row>
    <row r="23">
      <c r="B23" s="3" t="inlineStr">
        <is>
          <t>Площадка 1: цена оплаты в основе не выше потолка модели</t>
        </is>
      </c>
      <c r="C23" s="12" t="n"/>
      <c r="D23" s="12" t="n"/>
      <c r="E23" s="12" t="n"/>
      <c r="F23" s="12" t="n"/>
      <c r="G23" s="12" t="n"/>
      <c r="H23" s="5" t="n"/>
      <c r="I23" s="16">
        <f>IFERROR(IF(N6&lt;='Входы и счёт'!$C$9,"да","нет — экономика площадки не доказана"),"")</f>
        <v/>
      </c>
    </row>
    <row r="24">
      <c r="B24" s="3" t="inlineStr">
        <is>
          <t>Площадка 2: доход с единицы закупки выше её цены (основа)</t>
        </is>
      </c>
      <c r="C24" s="12" t="n"/>
      <c r="D24" s="12" t="n"/>
      <c r="E24" s="12" t="n"/>
      <c r="F24" s="12" t="n"/>
      <c r="G24" s="12" t="n"/>
      <c r="H24" s="5" t="n"/>
      <c r="I24" s="16">
        <f>IFERROR(IF(O9/H9&gt;G9,"да","нет"),"")</f>
        <v/>
      </c>
    </row>
    <row r="25">
      <c r="B25" s="3" t="inlineStr">
        <is>
          <t>Площадка 2: цена заявки или контакта в основе не выше верха коридора</t>
        </is>
      </c>
      <c r="C25" s="12" t="n"/>
      <c r="D25" s="12" t="n"/>
      <c r="E25" s="12" t="n"/>
      <c r="F25" s="12" t="n"/>
      <c r="G25" s="12" t="n"/>
      <c r="H25" s="5" t="n"/>
      <c r="I25" s="16">
        <f>IFERROR(IF(K9&lt;='Входы и счёт'!$C$12,"да","нет"),"")</f>
        <v/>
      </c>
    </row>
    <row r="26">
      <c r="B26" s="3" t="inlineStr">
        <is>
          <t>Площадка 2: цена оплаты в основе не выше потолка модели</t>
        </is>
      </c>
      <c r="C26" s="12" t="n"/>
      <c r="D26" s="12" t="n"/>
      <c r="E26" s="12" t="n"/>
      <c r="F26" s="12" t="n"/>
      <c r="G26" s="12" t="n"/>
      <c r="H26" s="5" t="n"/>
      <c r="I26" s="16">
        <f>IFERROR(IF(N9&lt;='Входы и счёт'!$C$9,"да","нет — экономика площадки не доказана"),"")</f>
        <v/>
      </c>
    </row>
    <row r="28">
      <c r="B28" s="4" t="inlineStr">
        <is>
          <t>Когда придут оплаты</t>
        </is>
      </c>
      <c r="C28" s="12" t="n"/>
      <c r="D28" s="12" t="n"/>
      <c r="E28" s="12" t="n"/>
      <c r="F28" s="12" t="n"/>
      <c r="G28" s="12" t="n"/>
      <c r="H28" s="12" t="n"/>
      <c r="I28" s="5" t="n"/>
    </row>
    <row r="29">
      <c r="B29" s="3" t="inlineStr">
        <is>
          <t>Заявки первого месяца: с</t>
        </is>
      </c>
      <c r="C29" s="12" t="n"/>
      <c r="D29" s="12" t="n"/>
      <c r="E29" s="12" t="n"/>
      <c r="F29" s="12" t="n"/>
      <c r="G29" s="12" t="n"/>
      <c r="H29" s="5" t="n"/>
      <c r="I29" s="26">
        <f>IF('Входы и счёт'!$C$18="","",'Входы и счёт'!$C$18)</f>
        <v/>
      </c>
    </row>
    <row r="30">
      <c r="B30" s="3" t="inlineStr">
        <is>
          <t>Заявки первого месяца: по</t>
        </is>
      </c>
      <c r="C30" s="12" t="n"/>
      <c r="D30" s="12" t="n"/>
      <c r="E30" s="12" t="n"/>
      <c r="F30" s="12" t="n"/>
      <c r="G30" s="12" t="n"/>
      <c r="H30" s="5" t="n"/>
      <c r="I30" s="26">
        <f>IF('Входы и счёт'!$C$18="","",'Входы и счёт'!$C$18+7*'Входы и счёт'!$C$16-1)</f>
        <v/>
      </c>
    </row>
    <row r="31">
      <c r="B31" s="3" t="inlineStr">
        <is>
          <t>Оплаты от них: с</t>
        </is>
      </c>
      <c r="C31" s="12" t="n"/>
      <c r="D31" s="12" t="n"/>
      <c r="E31" s="12" t="n"/>
      <c r="F31" s="12" t="n"/>
      <c r="G31" s="12" t="n"/>
      <c r="H31" s="5" t="n"/>
      <c r="I31" s="26">
        <f>IF('Входы и счёт'!$C$18="","",'Входы и счёт'!$C$18+'Входы и счёт'!$C$14)</f>
        <v/>
      </c>
    </row>
    <row r="32">
      <c r="B32" s="3" t="inlineStr">
        <is>
          <t>Оплаты от них: по</t>
        </is>
      </c>
      <c r="C32" s="12" t="n"/>
      <c r="D32" s="12" t="n"/>
      <c r="E32" s="12" t="n"/>
      <c r="F32" s="12" t="n"/>
      <c r="G32" s="12" t="n"/>
      <c r="H32" s="5" t="n"/>
      <c r="I32" s="26">
        <f>IF('Входы и счёт'!$C$18="","",'Входы и счёт'!$C$18+7*'Входы и счёт'!$C$16-1+'Входы и счёт'!$C$14)</f>
        <v/>
      </c>
    </row>
    <row r="33" ht="30" customHeight="1">
      <c r="B33" s="17" t="inlineStr">
        <is>
          <t>Своей истории оплат нет, поэтому все оплаты сдвинуты на цикл сделки целиком — это оценка. Появится история — оплаты раскладываются по срокам: какая доля заявок платит в тот же месяц, в следующий, через два. Сезонность не учтена: история запросов за год не снята, коэффициент месяца принят за единицу.</t>
        </is>
      </c>
    </row>
  </sheetData>
  <mergeCells count="17">
    <mergeCell ref="B22:H22"/>
    <mergeCell ref="B32:H32"/>
    <mergeCell ref="B17:H17"/>
    <mergeCell ref="B18:H18"/>
    <mergeCell ref="B26:H26"/>
    <mergeCell ref="B21:H21"/>
    <mergeCell ref="B16:I16"/>
    <mergeCell ref="B28:I28"/>
    <mergeCell ref="B24:H24"/>
    <mergeCell ref="B30:H30"/>
    <mergeCell ref="B29:H29"/>
    <mergeCell ref="B25:H25"/>
    <mergeCell ref="B33:Q33"/>
    <mergeCell ref="B19:H19"/>
    <mergeCell ref="B20:H20"/>
    <mergeCell ref="B31:H31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34" customWidth="1" min="4" max="4"/>
    <col width="24" customWidth="1" min="5" max="5"/>
    <col width="52" customWidth="1" min="6" max="6"/>
    <col width="16" customWidth="1" min="7" max="7"/>
    <col width="40" customWidth="1" min="8" max="8"/>
  </cols>
  <sheetData>
    <row r="1">
      <c r="B1" s="1" t="inlineStr">
        <is>
          <t>Бенчмарки — откуда числа</t>
        </is>
      </c>
    </row>
    <row r="2">
      <c r="B2" s="2" t="inlineStr">
        <is>
          <t>Шаг 3 методологии. Чужой результат — ориентир для первого месяца, не цель и не факт</t>
        </is>
      </c>
    </row>
    <row r="4">
      <c r="B4" s="4" t="inlineStr">
        <is>
          <t>Площадка</t>
        </is>
      </c>
      <c r="C4" s="4" t="inlineStr">
        <is>
          <t>Показатель</t>
        </is>
      </c>
      <c r="D4" s="4" t="inlineStr">
        <is>
          <t>Значение</t>
        </is>
      </c>
      <c r="E4" s="4" t="inlineStr">
        <is>
          <t>Период</t>
        </is>
      </c>
      <c r="F4" s="4" t="inlineStr">
        <is>
          <t>Источник</t>
        </is>
      </c>
      <c r="G4" s="4" t="inlineStr">
        <is>
          <t>Статус</t>
        </is>
      </c>
      <c r="H4" s="4" t="inlineStr">
        <is>
          <t>Насколько применимо</t>
        </is>
      </c>
    </row>
    <row r="5" ht="34" customHeight="1">
      <c r="B5" s="3" t="inlineStr"/>
      <c r="C5" s="3" t="inlineStr"/>
      <c r="D5" s="3" t="inlineStr"/>
      <c r="E5" s="7" t="inlineStr"/>
      <c r="F5" s="7" t="inlineStr"/>
      <c r="G5" s="3" t="inlineStr"/>
      <c r="H5" s="3" t="inlineStr"/>
    </row>
    <row r="6" ht="34" customHeight="1">
      <c r="B6" s="3" t="inlineStr"/>
      <c r="C6" s="3" t="inlineStr"/>
      <c r="D6" s="3" t="inlineStr"/>
      <c r="E6" s="7" t="inlineStr"/>
      <c r="F6" s="7" t="inlineStr"/>
      <c r="G6" s="3" t="inlineStr"/>
      <c r="H6" s="3" t="inlineStr"/>
    </row>
    <row r="7" ht="34" customHeight="1">
      <c r="B7" s="3" t="inlineStr"/>
      <c r="C7" s="3" t="inlineStr"/>
      <c r="D7" s="3" t="inlineStr"/>
      <c r="E7" s="7" t="inlineStr"/>
      <c r="F7" s="7" t="inlineStr"/>
      <c r="G7" s="3" t="inlineStr"/>
      <c r="H7" s="3" t="inlineStr"/>
    </row>
    <row r="8" ht="34" customHeight="1">
      <c r="B8" s="3" t="inlineStr"/>
      <c r="C8" s="3" t="inlineStr"/>
      <c r="D8" s="3" t="inlineStr"/>
      <c r="E8" s="7" t="inlineStr"/>
      <c r="F8" s="7" t="inlineStr"/>
      <c r="G8" s="3" t="inlineStr"/>
      <c r="H8" s="3" t="inlineStr"/>
    </row>
    <row r="9" ht="34" customHeight="1">
      <c r="B9" s="3" t="inlineStr"/>
      <c r="C9" s="3" t="inlineStr"/>
      <c r="D9" s="3" t="inlineStr"/>
      <c r="E9" s="7" t="inlineStr"/>
      <c r="F9" s="7" t="inlineStr"/>
      <c r="G9" s="3" t="inlineStr"/>
      <c r="H9" s="3" t="inlineStr"/>
    </row>
    <row r="10" ht="34" customHeight="1">
      <c r="B10" s="3" t="inlineStr"/>
      <c r="C10" s="3" t="inlineStr"/>
      <c r="D10" s="3" t="inlineStr"/>
      <c r="E10" s="7" t="inlineStr"/>
      <c r="F10" s="7" t="inlineStr"/>
      <c r="G10" s="3" t="inlineStr"/>
      <c r="H10" s="3" t="inlineStr"/>
    </row>
    <row r="11" ht="34" customHeight="1">
      <c r="B11" s="3" t="inlineStr"/>
      <c r="C11" s="3" t="inlineStr"/>
      <c r="D11" s="3" t="inlineStr"/>
      <c r="E11" s="7" t="inlineStr"/>
      <c r="F11" s="7" t="inlineStr"/>
      <c r="G11" s="3" t="inlineStr"/>
      <c r="H11" s="3" t="inlineStr"/>
    </row>
    <row r="12" ht="34" customHeight="1">
      <c r="B12" s="3" t="inlineStr"/>
      <c r="C12" s="3" t="inlineStr"/>
      <c r="D12" s="3" t="inlineStr"/>
      <c r="E12" s="7" t="inlineStr"/>
      <c r="F12" s="7" t="inlineStr"/>
      <c r="G12" s="3" t="inlineStr"/>
      <c r="H12" s="3" t="inlineStr"/>
    </row>
    <row r="14" ht="30" customHeight="1">
      <c r="B14" s="17" t="inlineStr">
        <is>
          <t>Своих замеров нет: реклама ещё не шла. Первый свой замер заменяет строку бенчмарка — статус меняется на «факт», прежнее значение остаётся в столбце «Насколько применимо» для сравнения.</t>
        </is>
      </c>
    </row>
  </sheetData>
  <mergeCells count="1">
    <mergeCell ref="B14:H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1" customWidth="1" min="3" max="3"/>
    <col width="30" customWidth="1" min="4" max="4"/>
    <col width="12" customWidth="1" min="5" max="5"/>
    <col width="13" customWidth="1" min="6" max="6"/>
    <col width="13" customWidth="1" min="7" max="7"/>
    <col width="12" customWidth="1" min="8" max="8"/>
    <col width="11" customWidth="1" min="9" max="9"/>
    <col width="9" customWidth="1" min="10" max="10"/>
    <col width="12" customWidth="1" min="11" max="11"/>
    <col width="12" customWidth="1" min="12" max="12"/>
    <col width="50" customWidth="1" min="13" max="13"/>
  </cols>
  <sheetData>
    <row r="1">
      <c r="B1" s="1" t="inlineStr">
        <is>
          <t>Факт по неделям</t>
        </is>
      </c>
    </row>
    <row r="2">
      <c r="B2" s="2" t="inlineStr">
        <is>
          <t>Шаг 7 методологии. Раз в неделю — строка на площадку; 12 недель от первого дня рекламы</t>
        </is>
      </c>
    </row>
    <row r="4" ht="32" customHeight="1">
      <c r="B4" s="4" t="inlineStr">
        <is>
          <t>№</t>
        </is>
      </c>
      <c r="C4" s="4" t="inlineStr">
        <is>
          <t>Неделя с</t>
        </is>
      </c>
      <c r="D4" s="4" t="inlineStr">
        <is>
          <t>Площадка</t>
        </is>
      </c>
      <c r="E4" s="4" t="inlineStr">
        <is>
          <t>Расход, ₽</t>
        </is>
      </c>
      <c r="F4" s="4" t="inlineStr">
        <is>
          <t>Показы или просмотры</t>
        </is>
      </c>
      <c r="G4" s="4" t="inlineStr">
        <is>
          <t>Переходы или контакты</t>
        </is>
      </c>
      <c r="H4" s="4" t="inlineStr">
        <is>
          <t>Заявки в Битриксе</t>
        </is>
      </c>
      <c r="I4" s="4" t="inlineStr">
        <is>
          <t>Разговоры</t>
        </is>
      </c>
      <c r="J4" s="4" t="inlineStr">
        <is>
          <t>Оплаты</t>
        </is>
      </c>
      <c r="K4" s="4" t="inlineStr">
        <is>
          <t>Цена заявки, ₽</t>
        </is>
      </c>
      <c r="L4" s="4" t="inlineStr">
        <is>
          <t>Цена оплаты, ₽</t>
        </is>
      </c>
      <c r="M4" s="4" t="inlineStr">
        <is>
          <t>Что решили</t>
        </is>
      </c>
    </row>
    <row r="5">
      <c r="B5" s="27" t="n">
        <v>1</v>
      </c>
      <c r="C5" s="28">
        <f>IF('Входы и счёт'!$C$18="","",'Входы и счёт'!$C$18+7*(1-1))</f>
        <v/>
      </c>
      <c r="D5" s="3" t="inlineStr">
        <is>
          <t>Площадка 1</t>
        </is>
      </c>
      <c r="E5" s="29" t="n"/>
      <c r="F5" s="29" t="n"/>
      <c r="G5" s="29" t="n"/>
      <c r="H5" s="29" t="n"/>
      <c r="I5" s="29" t="n"/>
      <c r="J5" s="29" t="n"/>
      <c r="K5" s="11">
        <f>IF(N(H5)&gt;0,E5/H5,"")</f>
        <v/>
      </c>
      <c r="L5" s="11">
        <f>IF(N(J5)&gt;0,E5/J5,"")</f>
        <v/>
      </c>
      <c r="M5" s="3" t="n"/>
    </row>
    <row r="6">
      <c r="B6" s="27" t="n">
        <v>1</v>
      </c>
      <c r="C6" s="28">
        <f>IF('Входы и счёт'!$C$18="","",'Входы и счёт'!$C$18+7*(1-1))</f>
        <v/>
      </c>
      <c r="D6" s="3" t="inlineStr">
        <is>
          <t>Площадка 2</t>
        </is>
      </c>
      <c r="E6" s="29" t="n"/>
      <c r="F6" s="29" t="n"/>
      <c r="G6" s="29" t="n"/>
      <c r="H6" s="29" t="n"/>
      <c r="I6" s="29" t="n"/>
      <c r="J6" s="29" t="n"/>
      <c r="K6" s="11">
        <f>IF(N(H6)&gt;0,E6/H6,"")</f>
        <v/>
      </c>
      <c r="L6" s="11">
        <f>IF(N(J6)&gt;0,E6/J6,"")</f>
        <v/>
      </c>
      <c r="M6" s="3" t="n"/>
    </row>
    <row r="7">
      <c r="B7" s="27" t="n">
        <v>1</v>
      </c>
      <c r="C7" s="28">
        <f>IF('Входы и счёт'!$C$18="","",'Входы и счёт'!$C$18+7*(1-1))</f>
        <v/>
      </c>
      <c r="D7" s="3" t="inlineStr">
        <is>
          <t>Площадка 3</t>
        </is>
      </c>
      <c r="E7" s="29" t="n"/>
      <c r="F7" s="29" t="n"/>
      <c r="G7" s="29" t="n"/>
      <c r="H7" s="29" t="n"/>
      <c r="I7" s="29" t="n"/>
      <c r="J7" s="29" t="n"/>
      <c r="K7" s="11">
        <f>IF(N(H7)&gt;0,E7/H7,"")</f>
        <v/>
      </c>
      <c r="L7" s="11">
        <f>IF(N(J7)&gt;0,E7/J7,"")</f>
        <v/>
      </c>
      <c r="M7" s="3" t="n"/>
    </row>
    <row r="8">
      <c r="B8" s="27" t="n">
        <v>1</v>
      </c>
      <c r="C8" s="28">
        <f>IF('Входы и счёт'!$C$18="","",'Входы и счёт'!$C$18+7*(1-1))</f>
        <v/>
      </c>
      <c r="D8" s="3" t="inlineStr">
        <is>
          <t>Без денег</t>
        </is>
      </c>
      <c r="E8" s="29" t="n"/>
      <c r="F8" s="29" t="n"/>
      <c r="G8" s="29" t="n"/>
      <c r="H8" s="29" t="n"/>
      <c r="I8" s="29" t="n"/>
      <c r="J8" s="29" t="n"/>
      <c r="K8" s="11">
        <f>IF(N(H8)&gt;0,E8/H8,"")</f>
        <v/>
      </c>
      <c r="L8" s="11">
        <f>IF(N(J8)&gt;0,E8/J8,"")</f>
        <v/>
      </c>
      <c r="M8" s="3" t="n"/>
    </row>
    <row r="9">
      <c r="B9" s="27" t="n">
        <v>2</v>
      </c>
      <c r="C9" s="28">
        <f>IF('Входы и счёт'!$C$18="","",'Входы и счёт'!$C$18+7*(2-1))</f>
        <v/>
      </c>
      <c r="D9" s="3" t="inlineStr">
        <is>
          <t>Площадка 1</t>
        </is>
      </c>
      <c r="E9" s="29" t="n"/>
      <c r="F9" s="29" t="n"/>
      <c r="G9" s="29" t="n"/>
      <c r="H9" s="29" t="n"/>
      <c r="I9" s="29" t="n"/>
      <c r="J9" s="29" t="n"/>
      <c r="K9" s="11">
        <f>IF(N(H9)&gt;0,E9/H9,"")</f>
        <v/>
      </c>
      <c r="L9" s="11">
        <f>IF(N(J9)&gt;0,E9/J9,"")</f>
        <v/>
      </c>
      <c r="M9" s="3" t="n"/>
    </row>
    <row r="10">
      <c r="B10" s="27" t="n">
        <v>2</v>
      </c>
      <c r="C10" s="28">
        <f>IF('Входы и счёт'!$C$18="","",'Входы и счёт'!$C$18+7*(2-1))</f>
        <v/>
      </c>
      <c r="D10" s="3" t="inlineStr">
        <is>
          <t>Площадка 2</t>
        </is>
      </c>
      <c r="E10" s="29" t="n"/>
      <c r="F10" s="29" t="n"/>
      <c r="G10" s="29" t="n"/>
      <c r="H10" s="29" t="n"/>
      <c r="I10" s="29" t="n"/>
      <c r="J10" s="29" t="n"/>
      <c r="K10" s="11">
        <f>IF(N(H10)&gt;0,E10/H10,"")</f>
        <v/>
      </c>
      <c r="L10" s="11">
        <f>IF(N(J10)&gt;0,E10/J10,"")</f>
        <v/>
      </c>
      <c r="M10" s="3" t="n"/>
    </row>
    <row r="11">
      <c r="B11" s="27" t="n">
        <v>2</v>
      </c>
      <c r="C11" s="28">
        <f>IF('Входы и счёт'!$C$18="","",'Входы и счёт'!$C$18+7*(2-1))</f>
        <v/>
      </c>
      <c r="D11" s="3" t="inlineStr">
        <is>
          <t>Площадка 3</t>
        </is>
      </c>
      <c r="E11" s="29" t="n"/>
      <c r="F11" s="29" t="n"/>
      <c r="G11" s="29" t="n"/>
      <c r="H11" s="29" t="n"/>
      <c r="I11" s="29" t="n"/>
      <c r="J11" s="29" t="n"/>
      <c r="K11" s="11">
        <f>IF(N(H11)&gt;0,E11/H11,"")</f>
        <v/>
      </c>
      <c r="L11" s="11">
        <f>IF(N(J11)&gt;0,E11/J11,"")</f>
        <v/>
      </c>
      <c r="M11" s="3" t="n"/>
    </row>
    <row r="12">
      <c r="B12" s="27" t="n">
        <v>2</v>
      </c>
      <c r="C12" s="28">
        <f>IF('Входы и счёт'!$C$18="","",'Входы и счёт'!$C$18+7*(2-1))</f>
        <v/>
      </c>
      <c r="D12" s="3" t="inlineStr">
        <is>
          <t>Без денег</t>
        </is>
      </c>
      <c r="E12" s="29" t="n"/>
      <c r="F12" s="29" t="n"/>
      <c r="G12" s="29" t="n"/>
      <c r="H12" s="29" t="n"/>
      <c r="I12" s="29" t="n"/>
      <c r="J12" s="29" t="n"/>
      <c r="K12" s="11">
        <f>IF(N(H12)&gt;0,E12/H12,"")</f>
        <v/>
      </c>
      <c r="L12" s="11">
        <f>IF(N(J12)&gt;0,E12/J12,"")</f>
        <v/>
      </c>
      <c r="M12" s="3" t="n"/>
    </row>
    <row r="13">
      <c r="B13" s="27" t="n">
        <v>3</v>
      </c>
      <c r="C13" s="28">
        <f>IF('Входы и счёт'!$C$18="","",'Входы и счёт'!$C$18+7*(3-1))</f>
        <v/>
      </c>
      <c r="D13" s="3" t="inlineStr">
        <is>
          <t>Площадка 1</t>
        </is>
      </c>
      <c r="E13" s="29" t="n"/>
      <c r="F13" s="29" t="n"/>
      <c r="G13" s="29" t="n"/>
      <c r="H13" s="29" t="n"/>
      <c r="I13" s="29" t="n"/>
      <c r="J13" s="29" t="n"/>
      <c r="K13" s="11">
        <f>IF(N(H13)&gt;0,E13/H13,"")</f>
        <v/>
      </c>
      <c r="L13" s="11">
        <f>IF(N(J13)&gt;0,E13/J13,"")</f>
        <v/>
      </c>
      <c r="M13" s="3" t="n"/>
    </row>
    <row r="14">
      <c r="B14" s="27" t="n">
        <v>3</v>
      </c>
      <c r="C14" s="28">
        <f>IF('Входы и счёт'!$C$18="","",'Входы и счёт'!$C$18+7*(3-1))</f>
        <v/>
      </c>
      <c r="D14" s="3" t="inlineStr">
        <is>
          <t>Площадка 2</t>
        </is>
      </c>
      <c r="E14" s="29" t="n"/>
      <c r="F14" s="29" t="n"/>
      <c r="G14" s="29" t="n"/>
      <c r="H14" s="29" t="n"/>
      <c r="I14" s="29" t="n"/>
      <c r="J14" s="29" t="n"/>
      <c r="K14" s="11">
        <f>IF(N(H14)&gt;0,E14/H14,"")</f>
        <v/>
      </c>
      <c r="L14" s="11">
        <f>IF(N(J14)&gt;0,E14/J14,"")</f>
        <v/>
      </c>
      <c r="M14" s="3" t="n"/>
    </row>
    <row r="15">
      <c r="B15" s="27" t="n">
        <v>3</v>
      </c>
      <c r="C15" s="28">
        <f>IF('Входы и счёт'!$C$18="","",'Входы и счёт'!$C$18+7*(3-1))</f>
        <v/>
      </c>
      <c r="D15" s="3" t="inlineStr">
        <is>
          <t>Площадка 3</t>
        </is>
      </c>
      <c r="E15" s="29" t="n"/>
      <c r="F15" s="29" t="n"/>
      <c r="G15" s="29" t="n"/>
      <c r="H15" s="29" t="n"/>
      <c r="I15" s="29" t="n"/>
      <c r="J15" s="29" t="n"/>
      <c r="K15" s="11">
        <f>IF(N(H15)&gt;0,E15/H15,"")</f>
        <v/>
      </c>
      <c r="L15" s="11">
        <f>IF(N(J15)&gt;0,E15/J15,"")</f>
        <v/>
      </c>
      <c r="M15" s="3" t="n"/>
    </row>
    <row r="16">
      <c r="B16" s="27" t="n">
        <v>3</v>
      </c>
      <c r="C16" s="28">
        <f>IF('Входы и счёт'!$C$18="","",'Входы и счёт'!$C$18+7*(3-1))</f>
        <v/>
      </c>
      <c r="D16" s="3" t="inlineStr">
        <is>
          <t>Без денег</t>
        </is>
      </c>
      <c r="E16" s="29" t="n"/>
      <c r="F16" s="29" t="n"/>
      <c r="G16" s="29" t="n"/>
      <c r="H16" s="29" t="n"/>
      <c r="I16" s="29" t="n"/>
      <c r="J16" s="29" t="n"/>
      <c r="K16" s="11">
        <f>IF(N(H16)&gt;0,E16/H16,"")</f>
        <v/>
      </c>
      <c r="L16" s="11">
        <f>IF(N(J16)&gt;0,E16/J16,"")</f>
        <v/>
      </c>
      <c r="M16" s="3" t="n"/>
    </row>
    <row r="17">
      <c r="B17" s="27" t="n">
        <v>4</v>
      </c>
      <c r="C17" s="28">
        <f>IF('Входы и счёт'!$C$18="","",'Входы и счёт'!$C$18+7*(4-1))</f>
        <v/>
      </c>
      <c r="D17" s="3" t="inlineStr">
        <is>
          <t>Площадка 1</t>
        </is>
      </c>
      <c r="E17" s="29" t="n"/>
      <c r="F17" s="29" t="n"/>
      <c r="G17" s="29" t="n"/>
      <c r="H17" s="29" t="n"/>
      <c r="I17" s="29" t="n"/>
      <c r="J17" s="29" t="n"/>
      <c r="K17" s="11">
        <f>IF(N(H17)&gt;0,E17/H17,"")</f>
        <v/>
      </c>
      <c r="L17" s="11">
        <f>IF(N(J17)&gt;0,E17/J17,"")</f>
        <v/>
      </c>
      <c r="M17" s="3" t="n"/>
    </row>
    <row r="18">
      <c r="B18" s="27" t="n">
        <v>4</v>
      </c>
      <c r="C18" s="28">
        <f>IF('Входы и счёт'!$C$18="","",'Входы и счёт'!$C$18+7*(4-1))</f>
        <v/>
      </c>
      <c r="D18" s="3" t="inlineStr">
        <is>
          <t>Площадка 2</t>
        </is>
      </c>
      <c r="E18" s="29" t="n"/>
      <c r="F18" s="29" t="n"/>
      <c r="G18" s="29" t="n"/>
      <c r="H18" s="29" t="n"/>
      <c r="I18" s="29" t="n"/>
      <c r="J18" s="29" t="n"/>
      <c r="K18" s="11">
        <f>IF(N(H18)&gt;0,E18/H18,"")</f>
        <v/>
      </c>
      <c r="L18" s="11">
        <f>IF(N(J18)&gt;0,E18/J18,"")</f>
        <v/>
      </c>
      <c r="M18" s="3" t="n"/>
    </row>
    <row r="19">
      <c r="B19" s="27" t="n">
        <v>4</v>
      </c>
      <c r="C19" s="28">
        <f>IF('Входы и счёт'!$C$18="","",'Входы и счёт'!$C$18+7*(4-1))</f>
        <v/>
      </c>
      <c r="D19" s="3" t="inlineStr">
        <is>
          <t>Площадка 3</t>
        </is>
      </c>
      <c r="E19" s="29" t="n"/>
      <c r="F19" s="29" t="n"/>
      <c r="G19" s="29" t="n"/>
      <c r="H19" s="29" t="n"/>
      <c r="I19" s="29" t="n"/>
      <c r="J19" s="29" t="n"/>
      <c r="K19" s="11">
        <f>IF(N(H19)&gt;0,E19/H19,"")</f>
        <v/>
      </c>
      <c r="L19" s="11">
        <f>IF(N(J19)&gt;0,E19/J19,"")</f>
        <v/>
      </c>
      <c r="M19" s="3" t="n"/>
    </row>
    <row r="20">
      <c r="B20" s="27" t="n">
        <v>4</v>
      </c>
      <c r="C20" s="28">
        <f>IF('Входы и счёт'!$C$18="","",'Входы и счёт'!$C$18+7*(4-1))</f>
        <v/>
      </c>
      <c r="D20" s="3" t="inlineStr">
        <is>
          <t>Без денег</t>
        </is>
      </c>
      <c r="E20" s="29" t="n"/>
      <c r="F20" s="29" t="n"/>
      <c r="G20" s="29" t="n"/>
      <c r="H20" s="29" t="n"/>
      <c r="I20" s="29" t="n"/>
      <c r="J20" s="29" t="n"/>
      <c r="K20" s="11">
        <f>IF(N(H20)&gt;0,E20/H20,"")</f>
        <v/>
      </c>
      <c r="L20" s="11">
        <f>IF(N(J20)&gt;0,E20/J20,"")</f>
        <v/>
      </c>
      <c r="M20" s="3" t="n"/>
    </row>
    <row r="21">
      <c r="B21" s="27" t="n">
        <v>5</v>
      </c>
      <c r="C21" s="28">
        <f>IF('Входы и счёт'!$C$18="","",'Входы и счёт'!$C$18+7*(5-1))</f>
        <v/>
      </c>
      <c r="D21" s="3" t="inlineStr">
        <is>
          <t>Площадка 1</t>
        </is>
      </c>
      <c r="E21" s="29" t="n"/>
      <c r="F21" s="29" t="n"/>
      <c r="G21" s="29" t="n"/>
      <c r="H21" s="29" t="n"/>
      <c r="I21" s="29" t="n"/>
      <c r="J21" s="29" t="n"/>
      <c r="K21" s="11">
        <f>IF(N(H21)&gt;0,E21/H21,"")</f>
        <v/>
      </c>
      <c r="L21" s="11">
        <f>IF(N(J21)&gt;0,E21/J21,"")</f>
        <v/>
      </c>
      <c r="M21" s="3" t="n"/>
    </row>
    <row r="22">
      <c r="B22" s="27" t="n">
        <v>5</v>
      </c>
      <c r="C22" s="28">
        <f>IF('Входы и счёт'!$C$18="","",'Входы и счёт'!$C$18+7*(5-1))</f>
        <v/>
      </c>
      <c r="D22" s="3" t="inlineStr">
        <is>
          <t>Площадка 2</t>
        </is>
      </c>
      <c r="E22" s="29" t="n"/>
      <c r="F22" s="29" t="n"/>
      <c r="G22" s="29" t="n"/>
      <c r="H22" s="29" t="n"/>
      <c r="I22" s="29" t="n"/>
      <c r="J22" s="29" t="n"/>
      <c r="K22" s="11">
        <f>IF(N(H22)&gt;0,E22/H22,"")</f>
        <v/>
      </c>
      <c r="L22" s="11">
        <f>IF(N(J22)&gt;0,E22/J22,"")</f>
        <v/>
      </c>
      <c r="M22" s="3" t="n"/>
    </row>
    <row r="23">
      <c r="B23" s="27" t="n">
        <v>5</v>
      </c>
      <c r="C23" s="28">
        <f>IF('Входы и счёт'!$C$18="","",'Входы и счёт'!$C$18+7*(5-1))</f>
        <v/>
      </c>
      <c r="D23" s="3" t="inlineStr">
        <is>
          <t>Площадка 3</t>
        </is>
      </c>
      <c r="E23" s="29" t="n"/>
      <c r="F23" s="29" t="n"/>
      <c r="G23" s="29" t="n"/>
      <c r="H23" s="29" t="n"/>
      <c r="I23" s="29" t="n"/>
      <c r="J23" s="29" t="n"/>
      <c r="K23" s="11">
        <f>IF(N(H23)&gt;0,E23/H23,"")</f>
        <v/>
      </c>
      <c r="L23" s="11">
        <f>IF(N(J23)&gt;0,E23/J23,"")</f>
        <v/>
      </c>
      <c r="M23" s="3" t="n"/>
    </row>
    <row r="24">
      <c r="B24" s="27" t="n">
        <v>5</v>
      </c>
      <c r="C24" s="28">
        <f>IF('Входы и счёт'!$C$18="","",'Входы и счёт'!$C$18+7*(5-1))</f>
        <v/>
      </c>
      <c r="D24" s="3" t="inlineStr">
        <is>
          <t>Без денег</t>
        </is>
      </c>
      <c r="E24" s="29" t="n"/>
      <c r="F24" s="29" t="n"/>
      <c r="G24" s="29" t="n"/>
      <c r="H24" s="29" t="n"/>
      <c r="I24" s="29" t="n"/>
      <c r="J24" s="29" t="n"/>
      <c r="K24" s="11">
        <f>IF(N(H24)&gt;0,E24/H24,"")</f>
        <v/>
      </c>
      <c r="L24" s="11">
        <f>IF(N(J24)&gt;0,E24/J24,"")</f>
        <v/>
      </c>
      <c r="M24" s="3" t="n"/>
    </row>
    <row r="25">
      <c r="B25" s="27" t="n">
        <v>6</v>
      </c>
      <c r="C25" s="28">
        <f>IF('Входы и счёт'!$C$18="","",'Входы и счёт'!$C$18+7*(6-1))</f>
        <v/>
      </c>
      <c r="D25" s="3" t="inlineStr">
        <is>
          <t>Площадка 1</t>
        </is>
      </c>
      <c r="E25" s="29" t="n"/>
      <c r="F25" s="29" t="n"/>
      <c r="G25" s="29" t="n"/>
      <c r="H25" s="29" t="n"/>
      <c r="I25" s="29" t="n"/>
      <c r="J25" s="29" t="n"/>
      <c r="K25" s="11">
        <f>IF(N(H25)&gt;0,E25/H25,"")</f>
        <v/>
      </c>
      <c r="L25" s="11">
        <f>IF(N(J25)&gt;0,E25/J25,"")</f>
        <v/>
      </c>
      <c r="M25" s="3" t="n"/>
    </row>
    <row r="26">
      <c r="B26" s="27" t="n">
        <v>6</v>
      </c>
      <c r="C26" s="28">
        <f>IF('Входы и счёт'!$C$18="","",'Входы и счёт'!$C$18+7*(6-1))</f>
        <v/>
      </c>
      <c r="D26" s="3" t="inlineStr">
        <is>
          <t>Площадка 2</t>
        </is>
      </c>
      <c r="E26" s="29" t="n"/>
      <c r="F26" s="29" t="n"/>
      <c r="G26" s="29" t="n"/>
      <c r="H26" s="29" t="n"/>
      <c r="I26" s="29" t="n"/>
      <c r="J26" s="29" t="n"/>
      <c r="K26" s="11">
        <f>IF(N(H26)&gt;0,E26/H26,"")</f>
        <v/>
      </c>
      <c r="L26" s="11">
        <f>IF(N(J26)&gt;0,E26/J26,"")</f>
        <v/>
      </c>
      <c r="M26" s="3" t="n"/>
    </row>
    <row r="27">
      <c r="B27" s="27" t="n">
        <v>6</v>
      </c>
      <c r="C27" s="28">
        <f>IF('Входы и счёт'!$C$18="","",'Входы и счёт'!$C$18+7*(6-1))</f>
        <v/>
      </c>
      <c r="D27" s="3" t="inlineStr">
        <is>
          <t>Площадка 3</t>
        </is>
      </c>
      <c r="E27" s="29" t="n"/>
      <c r="F27" s="29" t="n"/>
      <c r="G27" s="29" t="n"/>
      <c r="H27" s="29" t="n"/>
      <c r="I27" s="29" t="n"/>
      <c r="J27" s="29" t="n"/>
      <c r="K27" s="11">
        <f>IF(N(H27)&gt;0,E27/H27,"")</f>
        <v/>
      </c>
      <c r="L27" s="11">
        <f>IF(N(J27)&gt;0,E27/J27,"")</f>
        <v/>
      </c>
      <c r="M27" s="3" t="n"/>
    </row>
    <row r="28">
      <c r="B28" s="27" t="n">
        <v>6</v>
      </c>
      <c r="C28" s="28">
        <f>IF('Входы и счёт'!$C$18="","",'Входы и счёт'!$C$18+7*(6-1))</f>
        <v/>
      </c>
      <c r="D28" s="3" t="inlineStr">
        <is>
          <t>Без денег</t>
        </is>
      </c>
      <c r="E28" s="29" t="n"/>
      <c r="F28" s="29" t="n"/>
      <c r="G28" s="29" t="n"/>
      <c r="H28" s="29" t="n"/>
      <c r="I28" s="29" t="n"/>
      <c r="J28" s="29" t="n"/>
      <c r="K28" s="11">
        <f>IF(N(H28)&gt;0,E28/H28,"")</f>
        <v/>
      </c>
      <c r="L28" s="11">
        <f>IF(N(J28)&gt;0,E28/J28,"")</f>
        <v/>
      </c>
      <c r="M28" s="3" t="n"/>
    </row>
    <row r="29">
      <c r="B29" s="27" t="n">
        <v>7</v>
      </c>
      <c r="C29" s="28">
        <f>IF('Входы и счёт'!$C$18="","",'Входы и счёт'!$C$18+7*(7-1))</f>
        <v/>
      </c>
      <c r="D29" s="3" t="inlineStr">
        <is>
          <t>Площадка 1</t>
        </is>
      </c>
      <c r="E29" s="29" t="n"/>
      <c r="F29" s="29" t="n"/>
      <c r="G29" s="29" t="n"/>
      <c r="H29" s="29" t="n"/>
      <c r="I29" s="29" t="n"/>
      <c r="J29" s="29" t="n"/>
      <c r="K29" s="11">
        <f>IF(N(H29)&gt;0,E29/H29,"")</f>
        <v/>
      </c>
      <c r="L29" s="11">
        <f>IF(N(J29)&gt;0,E29/J29,"")</f>
        <v/>
      </c>
      <c r="M29" s="3" t="n"/>
    </row>
    <row r="30">
      <c r="B30" s="27" t="n">
        <v>7</v>
      </c>
      <c r="C30" s="28">
        <f>IF('Входы и счёт'!$C$18="","",'Входы и счёт'!$C$18+7*(7-1))</f>
        <v/>
      </c>
      <c r="D30" s="3" t="inlineStr">
        <is>
          <t>Площадка 2</t>
        </is>
      </c>
      <c r="E30" s="29" t="n"/>
      <c r="F30" s="29" t="n"/>
      <c r="G30" s="29" t="n"/>
      <c r="H30" s="29" t="n"/>
      <c r="I30" s="29" t="n"/>
      <c r="J30" s="29" t="n"/>
      <c r="K30" s="11">
        <f>IF(N(H30)&gt;0,E30/H30,"")</f>
        <v/>
      </c>
      <c r="L30" s="11">
        <f>IF(N(J30)&gt;0,E30/J30,"")</f>
        <v/>
      </c>
      <c r="M30" s="3" t="n"/>
    </row>
    <row r="31">
      <c r="B31" s="27" t="n">
        <v>7</v>
      </c>
      <c r="C31" s="28">
        <f>IF('Входы и счёт'!$C$18="","",'Входы и счёт'!$C$18+7*(7-1))</f>
        <v/>
      </c>
      <c r="D31" s="3" t="inlineStr">
        <is>
          <t>Площадка 3</t>
        </is>
      </c>
      <c r="E31" s="29" t="n"/>
      <c r="F31" s="29" t="n"/>
      <c r="G31" s="29" t="n"/>
      <c r="H31" s="29" t="n"/>
      <c r="I31" s="29" t="n"/>
      <c r="J31" s="29" t="n"/>
      <c r="K31" s="11">
        <f>IF(N(H31)&gt;0,E31/H31,"")</f>
        <v/>
      </c>
      <c r="L31" s="11">
        <f>IF(N(J31)&gt;0,E31/J31,"")</f>
        <v/>
      </c>
      <c r="M31" s="3" t="n"/>
    </row>
    <row r="32">
      <c r="B32" s="27" t="n">
        <v>7</v>
      </c>
      <c r="C32" s="28">
        <f>IF('Входы и счёт'!$C$18="","",'Входы и счёт'!$C$18+7*(7-1))</f>
        <v/>
      </c>
      <c r="D32" s="3" t="inlineStr">
        <is>
          <t>Без денег</t>
        </is>
      </c>
      <c r="E32" s="29" t="n"/>
      <c r="F32" s="29" t="n"/>
      <c r="G32" s="29" t="n"/>
      <c r="H32" s="29" t="n"/>
      <c r="I32" s="29" t="n"/>
      <c r="J32" s="29" t="n"/>
      <c r="K32" s="11">
        <f>IF(N(H32)&gt;0,E32/H32,"")</f>
        <v/>
      </c>
      <c r="L32" s="11">
        <f>IF(N(J32)&gt;0,E32/J32,"")</f>
        <v/>
      </c>
      <c r="M32" s="3" t="n"/>
    </row>
    <row r="33">
      <c r="B33" s="27" t="n">
        <v>8</v>
      </c>
      <c r="C33" s="28">
        <f>IF('Входы и счёт'!$C$18="","",'Входы и счёт'!$C$18+7*(8-1))</f>
        <v/>
      </c>
      <c r="D33" s="3" t="inlineStr">
        <is>
          <t>Площадка 1</t>
        </is>
      </c>
      <c r="E33" s="29" t="n"/>
      <c r="F33" s="29" t="n"/>
      <c r="G33" s="29" t="n"/>
      <c r="H33" s="29" t="n"/>
      <c r="I33" s="29" t="n"/>
      <c r="J33" s="29" t="n"/>
      <c r="K33" s="11">
        <f>IF(N(H33)&gt;0,E33/H33,"")</f>
        <v/>
      </c>
      <c r="L33" s="11">
        <f>IF(N(J33)&gt;0,E33/J33,"")</f>
        <v/>
      </c>
      <c r="M33" s="3" t="n"/>
    </row>
    <row r="34">
      <c r="B34" s="27" t="n">
        <v>8</v>
      </c>
      <c r="C34" s="28">
        <f>IF('Входы и счёт'!$C$18="","",'Входы и счёт'!$C$18+7*(8-1))</f>
        <v/>
      </c>
      <c r="D34" s="3" t="inlineStr">
        <is>
          <t>Площадка 2</t>
        </is>
      </c>
      <c r="E34" s="29" t="n"/>
      <c r="F34" s="29" t="n"/>
      <c r="G34" s="29" t="n"/>
      <c r="H34" s="29" t="n"/>
      <c r="I34" s="29" t="n"/>
      <c r="J34" s="29" t="n"/>
      <c r="K34" s="11">
        <f>IF(N(H34)&gt;0,E34/H34,"")</f>
        <v/>
      </c>
      <c r="L34" s="11">
        <f>IF(N(J34)&gt;0,E34/J34,"")</f>
        <v/>
      </c>
      <c r="M34" s="3" t="n"/>
    </row>
    <row r="35">
      <c r="B35" s="27" t="n">
        <v>8</v>
      </c>
      <c r="C35" s="28">
        <f>IF('Входы и счёт'!$C$18="","",'Входы и счёт'!$C$18+7*(8-1))</f>
        <v/>
      </c>
      <c r="D35" s="3" t="inlineStr">
        <is>
          <t>Площадка 3</t>
        </is>
      </c>
      <c r="E35" s="29" t="n"/>
      <c r="F35" s="29" t="n"/>
      <c r="G35" s="29" t="n"/>
      <c r="H35" s="29" t="n"/>
      <c r="I35" s="29" t="n"/>
      <c r="J35" s="29" t="n"/>
      <c r="K35" s="11">
        <f>IF(N(H35)&gt;0,E35/H35,"")</f>
        <v/>
      </c>
      <c r="L35" s="11">
        <f>IF(N(J35)&gt;0,E35/J35,"")</f>
        <v/>
      </c>
      <c r="M35" s="3" t="n"/>
    </row>
    <row r="36">
      <c r="B36" s="27" t="n">
        <v>8</v>
      </c>
      <c r="C36" s="28">
        <f>IF('Входы и счёт'!$C$18="","",'Входы и счёт'!$C$18+7*(8-1))</f>
        <v/>
      </c>
      <c r="D36" s="3" t="inlineStr">
        <is>
          <t>Без денег</t>
        </is>
      </c>
      <c r="E36" s="29" t="n"/>
      <c r="F36" s="29" t="n"/>
      <c r="G36" s="29" t="n"/>
      <c r="H36" s="29" t="n"/>
      <c r="I36" s="29" t="n"/>
      <c r="J36" s="29" t="n"/>
      <c r="K36" s="11">
        <f>IF(N(H36)&gt;0,E36/H36,"")</f>
        <v/>
      </c>
      <c r="L36" s="11">
        <f>IF(N(J36)&gt;0,E36/J36,"")</f>
        <v/>
      </c>
      <c r="M36" s="3" t="n"/>
    </row>
    <row r="37">
      <c r="B37" s="27" t="n">
        <v>9</v>
      </c>
      <c r="C37" s="28">
        <f>IF('Входы и счёт'!$C$18="","",'Входы и счёт'!$C$18+7*(9-1))</f>
        <v/>
      </c>
      <c r="D37" s="3" t="inlineStr">
        <is>
          <t>Площадка 1</t>
        </is>
      </c>
      <c r="E37" s="29" t="n"/>
      <c r="F37" s="29" t="n"/>
      <c r="G37" s="29" t="n"/>
      <c r="H37" s="29" t="n"/>
      <c r="I37" s="29" t="n"/>
      <c r="J37" s="29" t="n"/>
      <c r="K37" s="11">
        <f>IF(N(H37)&gt;0,E37/H37,"")</f>
        <v/>
      </c>
      <c r="L37" s="11">
        <f>IF(N(J37)&gt;0,E37/J37,"")</f>
        <v/>
      </c>
      <c r="M37" s="3" t="n"/>
    </row>
    <row r="38">
      <c r="B38" s="27" t="n">
        <v>9</v>
      </c>
      <c r="C38" s="28">
        <f>IF('Входы и счёт'!$C$18="","",'Входы и счёт'!$C$18+7*(9-1))</f>
        <v/>
      </c>
      <c r="D38" s="3" t="inlineStr">
        <is>
          <t>Площадка 2</t>
        </is>
      </c>
      <c r="E38" s="29" t="n"/>
      <c r="F38" s="29" t="n"/>
      <c r="G38" s="29" t="n"/>
      <c r="H38" s="29" t="n"/>
      <c r="I38" s="29" t="n"/>
      <c r="J38" s="29" t="n"/>
      <c r="K38" s="11">
        <f>IF(N(H38)&gt;0,E38/H38,"")</f>
        <v/>
      </c>
      <c r="L38" s="11">
        <f>IF(N(J38)&gt;0,E38/J38,"")</f>
        <v/>
      </c>
      <c r="M38" s="3" t="n"/>
    </row>
    <row r="39">
      <c r="B39" s="27" t="n">
        <v>9</v>
      </c>
      <c r="C39" s="28">
        <f>IF('Входы и счёт'!$C$18="","",'Входы и счёт'!$C$18+7*(9-1))</f>
        <v/>
      </c>
      <c r="D39" s="3" t="inlineStr">
        <is>
          <t>Площадка 3</t>
        </is>
      </c>
      <c r="E39" s="29" t="n"/>
      <c r="F39" s="29" t="n"/>
      <c r="G39" s="29" t="n"/>
      <c r="H39" s="29" t="n"/>
      <c r="I39" s="29" t="n"/>
      <c r="J39" s="29" t="n"/>
      <c r="K39" s="11">
        <f>IF(N(H39)&gt;0,E39/H39,"")</f>
        <v/>
      </c>
      <c r="L39" s="11">
        <f>IF(N(J39)&gt;0,E39/J39,"")</f>
        <v/>
      </c>
      <c r="M39" s="3" t="n"/>
    </row>
    <row r="40">
      <c r="B40" s="27" t="n">
        <v>9</v>
      </c>
      <c r="C40" s="28">
        <f>IF('Входы и счёт'!$C$18="","",'Входы и счёт'!$C$18+7*(9-1))</f>
        <v/>
      </c>
      <c r="D40" s="3" t="inlineStr">
        <is>
          <t>Без денег</t>
        </is>
      </c>
      <c r="E40" s="29" t="n"/>
      <c r="F40" s="29" t="n"/>
      <c r="G40" s="29" t="n"/>
      <c r="H40" s="29" t="n"/>
      <c r="I40" s="29" t="n"/>
      <c r="J40" s="29" t="n"/>
      <c r="K40" s="11">
        <f>IF(N(H40)&gt;0,E40/H40,"")</f>
        <v/>
      </c>
      <c r="L40" s="11">
        <f>IF(N(J40)&gt;0,E40/J40,"")</f>
        <v/>
      </c>
      <c r="M40" s="3" t="n"/>
    </row>
    <row r="41">
      <c r="B41" s="27" t="n">
        <v>10</v>
      </c>
      <c r="C41" s="28">
        <f>IF('Входы и счёт'!$C$18="","",'Входы и счёт'!$C$18+7*(10-1))</f>
        <v/>
      </c>
      <c r="D41" s="3" t="inlineStr">
        <is>
          <t>Площадка 1</t>
        </is>
      </c>
      <c r="E41" s="29" t="n"/>
      <c r="F41" s="29" t="n"/>
      <c r="G41" s="29" t="n"/>
      <c r="H41" s="29" t="n"/>
      <c r="I41" s="29" t="n"/>
      <c r="J41" s="29" t="n"/>
      <c r="K41" s="11">
        <f>IF(N(H41)&gt;0,E41/H41,"")</f>
        <v/>
      </c>
      <c r="L41" s="11">
        <f>IF(N(J41)&gt;0,E41/J41,"")</f>
        <v/>
      </c>
      <c r="M41" s="3" t="n"/>
    </row>
    <row r="42">
      <c r="B42" s="27" t="n">
        <v>10</v>
      </c>
      <c r="C42" s="28">
        <f>IF('Входы и счёт'!$C$18="","",'Входы и счёт'!$C$18+7*(10-1))</f>
        <v/>
      </c>
      <c r="D42" s="3" t="inlineStr">
        <is>
          <t>Площадка 2</t>
        </is>
      </c>
      <c r="E42" s="29" t="n"/>
      <c r="F42" s="29" t="n"/>
      <c r="G42" s="29" t="n"/>
      <c r="H42" s="29" t="n"/>
      <c r="I42" s="29" t="n"/>
      <c r="J42" s="29" t="n"/>
      <c r="K42" s="11">
        <f>IF(N(H42)&gt;0,E42/H42,"")</f>
        <v/>
      </c>
      <c r="L42" s="11">
        <f>IF(N(J42)&gt;0,E42/J42,"")</f>
        <v/>
      </c>
      <c r="M42" s="3" t="n"/>
    </row>
    <row r="43">
      <c r="B43" s="27" t="n">
        <v>10</v>
      </c>
      <c r="C43" s="28">
        <f>IF('Входы и счёт'!$C$18="","",'Входы и счёт'!$C$18+7*(10-1))</f>
        <v/>
      </c>
      <c r="D43" s="3" t="inlineStr">
        <is>
          <t>Площадка 3</t>
        </is>
      </c>
      <c r="E43" s="29" t="n"/>
      <c r="F43" s="29" t="n"/>
      <c r="G43" s="29" t="n"/>
      <c r="H43" s="29" t="n"/>
      <c r="I43" s="29" t="n"/>
      <c r="J43" s="29" t="n"/>
      <c r="K43" s="11">
        <f>IF(N(H43)&gt;0,E43/H43,"")</f>
        <v/>
      </c>
      <c r="L43" s="11">
        <f>IF(N(J43)&gt;0,E43/J43,"")</f>
        <v/>
      </c>
      <c r="M43" s="3" t="n"/>
    </row>
    <row r="44">
      <c r="B44" s="27" t="n">
        <v>10</v>
      </c>
      <c r="C44" s="28">
        <f>IF('Входы и счёт'!$C$18="","",'Входы и счёт'!$C$18+7*(10-1))</f>
        <v/>
      </c>
      <c r="D44" s="3" t="inlineStr">
        <is>
          <t>Без денег</t>
        </is>
      </c>
      <c r="E44" s="29" t="n"/>
      <c r="F44" s="29" t="n"/>
      <c r="G44" s="29" t="n"/>
      <c r="H44" s="29" t="n"/>
      <c r="I44" s="29" t="n"/>
      <c r="J44" s="29" t="n"/>
      <c r="K44" s="11">
        <f>IF(N(H44)&gt;0,E44/H44,"")</f>
        <v/>
      </c>
      <c r="L44" s="11">
        <f>IF(N(J44)&gt;0,E44/J44,"")</f>
        <v/>
      </c>
      <c r="M44" s="3" t="n"/>
    </row>
    <row r="45">
      <c r="B45" s="27" t="n">
        <v>11</v>
      </c>
      <c r="C45" s="28">
        <f>IF('Входы и счёт'!$C$18="","",'Входы и счёт'!$C$18+7*(11-1))</f>
        <v/>
      </c>
      <c r="D45" s="3" t="inlineStr">
        <is>
          <t>Площадка 1</t>
        </is>
      </c>
      <c r="E45" s="29" t="n"/>
      <c r="F45" s="29" t="n"/>
      <c r="G45" s="29" t="n"/>
      <c r="H45" s="29" t="n"/>
      <c r="I45" s="29" t="n"/>
      <c r="J45" s="29" t="n"/>
      <c r="K45" s="11">
        <f>IF(N(H45)&gt;0,E45/H45,"")</f>
        <v/>
      </c>
      <c r="L45" s="11">
        <f>IF(N(J45)&gt;0,E45/J45,"")</f>
        <v/>
      </c>
      <c r="M45" s="3" t="n"/>
    </row>
    <row r="46">
      <c r="B46" s="27" t="n">
        <v>11</v>
      </c>
      <c r="C46" s="28">
        <f>IF('Входы и счёт'!$C$18="","",'Входы и счёт'!$C$18+7*(11-1))</f>
        <v/>
      </c>
      <c r="D46" s="3" t="inlineStr">
        <is>
          <t>Площадка 2</t>
        </is>
      </c>
      <c r="E46" s="29" t="n"/>
      <c r="F46" s="29" t="n"/>
      <c r="G46" s="29" t="n"/>
      <c r="H46" s="29" t="n"/>
      <c r="I46" s="29" t="n"/>
      <c r="J46" s="29" t="n"/>
      <c r="K46" s="11">
        <f>IF(N(H46)&gt;0,E46/H46,"")</f>
        <v/>
      </c>
      <c r="L46" s="11">
        <f>IF(N(J46)&gt;0,E46/J46,"")</f>
        <v/>
      </c>
      <c r="M46" s="3" t="n"/>
    </row>
    <row r="47">
      <c r="B47" s="27" t="n">
        <v>11</v>
      </c>
      <c r="C47" s="28">
        <f>IF('Входы и счёт'!$C$18="","",'Входы и счёт'!$C$18+7*(11-1))</f>
        <v/>
      </c>
      <c r="D47" s="3" t="inlineStr">
        <is>
          <t>Площадка 3</t>
        </is>
      </c>
      <c r="E47" s="29" t="n"/>
      <c r="F47" s="29" t="n"/>
      <c r="G47" s="29" t="n"/>
      <c r="H47" s="29" t="n"/>
      <c r="I47" s="29" t="n"/>
      <c r="J47" s="29" t="n"/>
      <c r="K47" s="11">
        <f>IF(N(H47)&gt;0,E47/H47,"")</f>
        <v/>
      </c>
      <c r="L47" s="11">
        <f>IF(N(J47)&gt;0,E47/J47,"")</f>
        <v/>
      </c>
      <c r="M47" s="3" t="n"/>
    </row>
    <row r="48">
      <c r="B48" s="27" t="n">
        <v>11</v>
      </c>
      <c r="C48" s="28">
        <f>IF('Входы и счёт'!$C$18="","",'Входы и счёт'!$C$18+7*(11-1))</f>
        <v/>
      </c>
      <c r="D48" s="3" t="inlineStr">
        <is>
          <t>Без денег</t>
        </is>
      </c>
      <c r="E48" s="29" t="n"/>
      <c r="F48" s="29" t="n"/>
      <c r="G48" s="29" t="n"/>
      <c r="H48" s="29" t="n"/>
      <c r="I48" s="29" t="n"/>
      <c r="J48" s="29" t="n"/>
      <c r="K48" s="11">
        <f>IF(N(H48)&gt;0,E48/H48,"")</f>
        <v/>
      </c>
      <c r="L48" s="11">
        <f>IF(N(J48)&gt;0,E48/J48,"")</f>
        <v/>
      </c>
      <c r="M48" s="3" t="n"/>
    </row>
    <row r="49">
      <c r="B49" s="27" t="n">
        <v>12</v>
      </c>
      <c r="C49" s="28">
        <f>IF('Входы и счёт'!$C$18="","",'Входы и счёт'!$C$18+7*(12-1))</f>
        <v/>
      </c>
      <c r="D49" s="3" t="inlineStr">
        <is>
          <t>Площадка 1</t>
        </is>
      </c>
      <c r="E49" s="29" t="n"/>
      <c r="F49" s="29" t="n"/>
      <c r="G49" s="29" t="n"/>
      <c r="H49" s="29" t="n"/>
      <c r="I49" s="29" t="n"/>
      <c r="J49" s="29" t="n"/>
      <c r="K49" s="11">
        <f>IF(N(H49)&gt;0,E49/H49,"")</f>
        <v/>
      </c>
      <c r="L49" s="11">
        <f>IF(N(J49)&gt;0,E49/J49,"")</f>
        <v/>
      </c>
      <c r="M49" s="3" t="n"/>
    </row>
    <row r="50">
      <c r="B50" s="27" t="n">
        <v>12</v>
      </c>
      <c r="C50" s="28">
        <f>IF('Входы и счёт'!$C$18="","",'Входы и счёт'!$C$18+7*(12-1))</f>
        <v/>
      </c>
      <c r="D50" s="3" t="inlineStr">
        <is>
          <t>Площадка 2</t>
        </is>
      </c>
      <c r="E50" s="29" t="n"/>
      <c r="F50" s="29" t="n"/>
      <c r="G50" s="29" t="n"/>
      <c r="H50" s="29" t="n"/>
      <c r="I50" s="29" t="n"/>
      <c r="J50" s="29" t="n"/>
      <c r="K50" s="11">
        <f>IF(N(H50)&gt;0,E50/H50,"")</f>
        <v/>
      </c>
      <c r="L50" s="11">
        <f>IF(N(J50)&gt;0,E50/J50,"")</f>
        <v/>
      </c>
      <c r="M50" s="3" t="n"/>
    </row>
    <row r="51">
      <c r="B51" s="27" t="n">
        <v>12</v>
      </c>
      <c r="C51" s="28">
        <f>IF('Входы и счёт'!$C$18="","",'Входы и счёт'!$C$18+7*(12-1))</f>
        <v/>
      </c>
      <c r="D51" s="3" t="inlineStr">
        <is>
          <t>Площадка 3</t>
        </is>
      </c>
      <c r="E51" s="29" t="n"/>
      <c r="F51" s="29" t="n"/>
      <c r="G51" s="29" t="n"/>
      <c r="H51" s="29" t="n"/>
      <c r="I51" s="29" t="n"/>
      <c r="J51" s="29" t="n"/>
      <c r="K51" s="11">
        <f>IF(N(H51)&gt;0,E51/H51,"")</f>
        <v/>
      </c>
      <c r="L51" s="11">
        <f>IF(N(J51)&gt;0,E51/J51,"")</f>
        <v/>
      </c>
      <c r="M51" s="3" t="n"/>
    </row>
    <row r="52">
      <c r="B52" s="27" t="n">
        <v>12</v>
      </c>
      <c r="C52" s="28">
        <f>IF('Входы и счёт'!$C$18="","",'Входы и счёт'!$C$18+7*(12-1))</f>
        <v/>
      </c>
      <c r="D52" s="3" t="inlineStr">
        <is>
          <t>Без денег</t>
        </is>
      </c>
      <c r="E52" s="29" t="n"/>
      <c r="F52" s="29" t="n"/>
      <c r="G52" s="29" t="n"/>
      <c r="H52" s="29" t="n"/>
      <c r="I52" s="29" t="n"/>
      <c r="J52" s="29" t="n"/>
      <c r="K52" s="11">
        <f>IF(N(H52)&gt;0,E52/H52,"")</f>
        <v/>
      </c>
      <c r="L52" s="11">
        <f>IF(N(J52)&gt;0,E52/J52,"")</f>
        <v/>
      </c>
      <c r="M52" s="3" t="n"/>
    </row>
    <row r="53">
      <c r="B53" s="18" t="inlineStr">
        <is>
          <t>Итого</t>
        </is>
      </c>
      <c r="C53" s="12" t="n"/>
      <c r="D53" s="5" t="n"/>
      <c r="E53" s="24">
        <f>SUM(E5:E52)</f>
        <v/>
      </c>
      <c r="F53" s="24">
        <f>SUM(F5:F52)</f>
        <v/>
      </c>
      <c r="G53" s="24">
        <f>SUM(G5:G52)</f>
        <v/>
      </c>
      <c r="H53" s="24">
        <f>SUM(H5:H52)</f>
        <v/>
      </c>
      <c r="I53" s="24">
        <f>SUM(I5:I52)</f>
        <v/>
      </c>
      <c r="J53" s="24">
        <f>SUM(J5:J52)</f>
        <v/>
      </c>
      <c r="K53" s="24">
        <f>IF(N(H53)&gt;0,E53/H53,"")</f>
        <v/>
      </c>
      <c r="L53" s="24">
        <f>IF(N(J53)&gt;0,E53/J53,"")</f>
        <v/>
      </c>
    </row>
    <row r="55" ht="30" customHeight="1">
      <c r="B55" s="17" t="inlineStr">
        <is>
          <t>Расход — как в кабинете. Заявки — те, что дошли до Битрикса с меткой источника; число кабинета сверяется с ним. Оплаты приходят позже заявок: цена оплаты за неделю занижена, смотреть накопительно и не раньше цикла сделки.</t>
        </is>
      </c>
    </row>
  </sheetData>
  <mergeCells count="2">
    <mergeCell ref="B53:D53"/>
    <mergeCell ref="B55:M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2026-10-13T09:01:16Z</dcterms:created>
  <dcterms:modified xmlns:dcterms="http://purl.org/dc/terms/" xmlns:xsi="http://www.w3.org/2001/XMLSchema-instance" xsi:type="dcterms:W3CDTF">2026-10-13T09:01:16Z</dcterms:modified>
</cp:coreProperties>
</file>